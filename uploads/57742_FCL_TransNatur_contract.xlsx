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F:\COMUN\Coordinacion Transnatur\Coordinación Marítimo\Fletes EXPORT\FCL EXPORT\COSCO EXPORT\COSCO MED\"/>
    </mc:Choice>
  </mc:AlternateContent>
  <xr:revisionPtr revIDLastSave="0" documentId="8_{C9096502-12D1-40A4-8465-6C5E68DF17E9}" xr6:coauthVersionLast="47" xr6:coauthVersionMax="47" xr10:uidLastSave="{00000000-0000-0000-0000-000000000000}"/>
  <bookViews>
    <workbookView xWindow="-19320" yWindow="-120" windowWidth="19440" windowHeight="14880" tabRatio="763" xr2:uid="{00000000-000D-0000-FFFF-FFFF00000000}"/>
  </bookViews>
  <sheets>
    <sheet name="Booking desk" sheetId="1" r:id="rId1"/>
    <sheet name="Far East " sheetId="116" r:id="rId2"/>
    <sheet name="Middle East" sheetId="117" state="hidden" r:id="rId3"/>
    <sheet name="IPBC" sheetId="118" r:id="rId4"/>
    <sheet name="OCEANIA" sheetId="115" r:id="rId5"/>
    <sheet name="USA " sheetId="126" r:id="rId6"/>
    <sheet name="CANADA" sheetId="123" r:id="rId7"/>
    <sheet name="LATAM" sheetId="119" r:id="rId8"/>
    <sheet name="AFRICA" sheetId="120" r:id="rId9"/>
    <sheet name="IET" sheetId="128" r:id="rId10"/>
    <sheet name="FOB" sheetId="129" r:id="rId11"/>
  </sheets>
  <externalReferences>
    <externalReference r:id="rId12"/>
  </externalReferences>
  <definedNames>
    <definedName name="_xlnm._FilterDatabase" localSheetId="1" hidden="1">'Far East '!$A$17:$CF$81</definedName>
    <definedName name="_xlnm._FilterDatabase" localSheetId="9" hidden="1">IET!$A$18:$CA$43</definedName>
    <definedName name="_xlnm._FilterDatabase" localSheetId="3" hidden="1">IPBC!$G$17:$K$17</definedName>
    <definedName name="_xlnm._FilterDatabase" localSheetId="2" hidden="1">'Middle East'!$A$16:$AC$34</definedName>
    <definedName name="_xlnm._FilterDatabase" localSheetId="4" hidden="1">OCEANIA!$A$17:$LH$27</definedName>
    <definedName name="a" localSheetId="1">#REF!</definedName>
    <definedName name="a" localSheetId="4">#REF!</definedName>
    <definedName name="a">#REF!</definedName>
    <definedName name="africa" localSheetId="1">#REF!</definedName>
    <definedName name="africa" localSheetId="4">#REF!</definedName>
    <definedName name="africa">#REF!</definedName>
    <definedName name="africaa" localSheetId="1">#REF!</definedName>
    <definedName name="africaa" localSheetId="4">#REF!</definedName>
    <definedName name="africaa">#REF!</definedName>
    <definedName name="ards" localSheetId="1">#REF!</definedName>
    <definedName name="ards" localSheetId="4">#REF!</definedName>
    <definedName name="ards">#REF!</definedName>
    <definedName name="EUROPA" localSheetId="1">#REF!</definedName>
    <definedName name="EUROPA" localSheetId="4">#REF!</definedName>
    <definedName name="EUROPA">#REF!</definedName>
    <definedName name="EUROPE" localSheetId="1">#REF!</definedName>
    <definedName name="EUROPE" localSheetId="4">#REF!</definedName>
    <definedName name="EUROPE">#REF!</definedName>
    <definedName name="EUROPEE" localSheetId="1">#REF!</definedName>
    <definedName name="EUROPEE" localSheetId="4">#REF!</definedName>
    <definedName name="EUROPEE">#REF!</definedName>
    <definedName name="europeee" localSheetId="1">#REF!</definedName>
    <definedName name="europeee" localSheetId="4">#REF!</definedName>
    <definedName name="europeee">#REF!</definedName>
    <definedName name="FILTRO" localSheetId="1">#REF!</definedName>
    <definedName name="FILTRO" localSheetId="4">#REF!</definedName>
    <definedName name="FILTRO">#REF!</definedName>
    <definedName name="filtroe" localSheetId="1">#REF!</definedName>
    <definedName name="filtroe" localSheetId="4">#REF!</definedName>
    <definedName name="filtroe">#REF!</definedName>
    <definedName name="ieet" localSheetId="1">#REF!</definedName>
    <definedName name="ieet" localSheetId="4">#REF!</definedName>
    <definedName name="ieet">#REF!</definedName>
    <definedName name="IET" localSheetId="1">#REF!</definedName>
    <definedName name="IET" localSheetId="4">#REF!</definedName>
    <definedName name="I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3" i="116" l="1"/>
  <c r="J73" i="116"/>
  <c r="I73" i="116"/>
  <c r="H73" i="116"/>
  <c r="G73" i="116"/>
  <c r="Q73" i="116"/>
  <c r="P73" i="116"/>
  <c r="O73" i="116"/>
  <c r="N73" i="116"/>
  <c r="M73" i="116"/>
  <c r="G32" i="126"/>
  <c r="H23" i="115" l="1"/>
  <c r="R23" i="115" s="1"/>
  <c r="H18" i="115"/>
  <c r="R18" i="115" s="1"/>
  <c r="G27" i="115"/>
  <c r="Q27" i="115" s="1"/>
  <c r="G26" i="115"/>
  <c r="L26" i="115" s="1"/>
  <c r="G25" i="115"/>
  <c r="Q25" i="115" s="1"/>
  <c r="G24" i="115"/>
  <c r="Q24" i="115" s="1"/>
  <c r="Q23" i="115"/>
  <c r="L23" i="115"/>
  <c r="G22" i="115"/>
  <c r="L22" i="115" s="1"/>
  <c r="G21" i="115"/>
  <c r="Q21" i="115" s="1"/>
  <c r="G20" i="115"/>
  <c r="Q20" i="115" s="1"/>
  <c r="G19" i="115"/>
  <c r="L19" i="115" s="1"/>
  <c r="Q18" i="115"/>
  <c r="L18" i="115"/>
  <c r="I18" i="115" l="1"/>
  <c r="S18" i="115" s="1"/>
  <c r="H21" i="115"/>
  <c r="R21" i="115" s="1"/>
  <c r="M18" i="115"/>
  <c r="H20" i="115"/>
  <c r="R20" i="115" s="1"/>
  <c r="H19" i="115"/>
  <c r="R19" i="115" s="1"/>
  <c r="Q22" i="115"/>
  <c r="I23" i="115"/>
  <c r="N23" i="115" s="1"/>
  <c r="H27" i="115"/>
  <c r="I27" i="115" s="1"/>
  <c r="S27" i="115" s="1"/>
  <c r="H26" i="115"/>
  <c r="I26" i="115" s="1"/>
  <c r="S26" i="115" s="1"/>
  <c r="M23" i="115"/>
  <c r="H25" i="115"/>
  <c r="R25" i="115" s="1"/>
  <c r="H24" i="115"/>
  <c r="R24" i="115" s="1"/>
  <c r="H22" i="115"/>
  <c r="R22" i="115" s="1"/>
  <c r="Q26" i="115"/>
  <c r="L27" i="115"/>
  <c r="Q19" i="115"/>
  <c r="L25" i="115"/>
  <c r="N18" i="115"/>
  <c r="L21" i="115"/>
  <c r="L24" i="115"/>
  <c r="L20" i="115"/>
  <c r="R26" i="115" l="1"/>
  <c r="M25" i="115"/>
  <c r="N26" i="115"/>
  <c r="R27" i="115"/>
  <c r="N27" i="115"/>
  <c r="M26" i="115"/>
  <c r="I21" i="115"/>
  <c r="M21" i="115"/>
  <c r="I25" i="115"/>
  <c r="N25" i="115" s="1"/>
  <c r="I19" i="115"/>
  <c r="N19" i="115" s="1"/>
  <c r="S23" i="115"/>
  <c r="I20" i="115"/>
  <c r="N20" i="115" s="1"/>
  <c r="I22" i="115"/>
  <c r="S22" i="115" s="1"/>
  <c r="M20" i="115"/>
  <c r="M19" i="115"/>
  <c r="M22" i="115"/>
  <c r="M24" i="115"/>
  <c r="M27" i="115"/>
  <c r="I24" i="115"/>
  <c r="S24" i="115" s="1"/>
  <c r="N24" i="115"/>
  <c r="N21" i="115"/>
  <c r="S21" i="115"/>
  <c r="S25" i="115"/>
  <c r="S20" i="115" l="1"/>
  <c r="S19" i="115"/>
  <c r="N22" i="115"/>
</calcChain>
</file>

<file path=xl/sharedStrings.xml><?xml version="1.0" encoding="utf-8"?>
<sst xmlns="http://schemas.openxmlformats.org/spreadsheetml/2006/main" count="2929" uniqueCount="746">
  <si>
    <t>DEAR VALUED CUSTOMER</t>
  </si>
  <si>
    <t xml:space="preserve">With immediate effect COSCO SHIPPING Lines (Spain) only accepts booking orders with a valid AGREEMENT NUMBER.            </t>
  </si>
  <si>
    <t xml:space="preserve">Without an Agreement Number your booking will be canceled automatically. [For more information, please contact your COSCO SHIPPING Sales Representative]. </t>
  </si>
  <si>
    <t xml:space="preserve">Please contact sales department for Agreement Number filing before sending booking request. </t>
  </si>
  <si>
    <t>BOOKING DESK CONTACT INFORMATION</t>
  </si>
  <si>
    <t>Office</t>
  </si>
  <si>
    <t>E-mail</t>
  </si>
  <si>
    <t>BARCELONA</t>
  </si>
  <si>
    <t>espexport@coscospain.com</t>
  </si>
  <si>
    <t>VALENCIA</t>
  </si>
  <si>
    <t>ALGECIRAS</t>
  </si>
  <si>
    <t>GENERAL CONTACT INFORMATION</t>
  </si>
  <si>
    <t>Address</t>
  </si>
  <si>
    <t>P.B.</t>
  </si>
  <si>
    <t>City</t>
  </si>
  <si>
    <t>Province</t>
  </si>
  <si>
    <t>Phone</t>
  </si>
  <si>
    <t>COSCO SHIPPING Lines (Spain) S.A. (Head office)</t>
  </si>
  <si>
    <t>C/ Casanova, 2, Planta 6</t>
  </si>
  <si>
    <t>Barcelona</t>
  </si>
  <si>
    <t>+34 93 304 71 26</t>
  </si>
  <si>
    <t>salesbcn@coscospain.com</t>
  </si>
  <si>
    <t>Valencia Branch</t>
  </si>
  <si>
    <t xml:space="preserve">C/ Menorca, 19, Edif. Aqua, Planta 11 </t>
  </si>
  <si>
    <t>Valencia</t>
  </si>
  <si>
    <t>+34 96 393 91 00</t>
  </si>
  <si>
    <t>salesvlc@coscospain.com</t>
  </si>
  <si>
    <t>Algeciras Branch</t>
  </si>
  <si>
    <t>Edificio de Servicios. Oficina B-202, Area de El Fresno.</t>
  </si>
  <si>
    <t>Los Barrios</t>
  </si>
  <si>
    <t>Cadiz</t>
  </si>
  <si>
    <t xml:space="preserve">+34 85 602 08 67 </t>
  </si>
  <si>
    <t>salesalg@coscospain.com</t>
  </si>
  <si>
    <t>Madrid Sales Office</t>
  </si>
  <si>
    <t>Paseo de Recoletos, 12, 2ª Planta 28001 Madrid</t>
  </si>
  <si>
    <t>Madrid</t>
  </si>
  <si>
    <t>+34 91 310 44 62</t>
  </si>
  <si>
    <t>salesmad@coscospain.com</t>
  </si>
  <si>
    <t>Zaragoza Sales Office</t>
  </si>
  <si>
    <t>EXPORT  TARIFF FOR FAR EAST TRADE (306)</t>
  </si>
  <si>
    <t>Validity:</t>
  </si>
  <si>
    <t>From 01/04/2026 until further notice, but not beyond 30/04/2026</t>
  </si>
  <si>
    <t>Commodity:</t>
  </si>
  <si>
    <t>All above rates are only valid for FAK general cargo and NOT for PPW, lumber/timber, logs, raw pulp and metal scrap.</t>
  </si>
  <si>
    <t>CONFIDENTIAL</t>
  </si>
  <si>
    <t>Please click below to check our terms, conditions and local export charges</t>
  </si>
  <si>
    <t>Terminos, condiciones y gastos locales</t>
  </si>
  <si>
    <t>Services Schedules</t>
  </si>
  <si>
    <t>Destination</t>
  </si>
  <si>
    <t>Code</t>
  </si>
  <si>
    <t>Destination Country</t>
  </si>
  <si>
    <t>Traffic Term</t>
  </si>
  <si>
    <t>Origin ESBCN-BARCELONA</t>
  </si>
  <si>
    <t>Origin ESVLC-VALENCIA</t>
  </si>
  <si>
    <t>Origin ESALG-ALGECIRAS</t>
  </si>
  <si>
    <t>Origin ESMAD-MADRID via Valencia</t>
  </si>
  <si>
    <t>Included Surcharges                     
(specific surcharges below)</t>
  </si>
  <si>
    <t>OTHER REMARKS</t>
  </si>
  <si>
    <t xml:space="preserve"> 20'GP</t>
  </si>
  <si>
    <t>40'GP/HC</t>
  </si>
  <si>
    <t>SVC</t>
  </si>
  <si>
    <t>VIA</t>
  </si>
  <si>
    <t>TT</t>
  </si>
  <si>
    <t>Sihanoukville</t>
  </si>
  <si>
    <t>KOS</t>
  </si>
  <si>
    <t>Cambodia</t>
  </si>
  <si>
    <t>CY-CY</t>
  </si>
  <si>
    <t>AEM2</t>
  </si>
  <si>
    <t>PKG</t>
  </si>
  <si>
    <t>AEM1</t>
  </si>
  <si>
    <t>SIN</t>
  </si>
  <si>
    <t>TSM</t>
  </si>
  <si>
    <t>PIR</t>
  </si>
  <si>
    <t>BUC;CAS;ETS;FAF;HCS;PSF;SUZ;THC</t>
  </si>
  <si>
    <t>Changsha</t>
  </si>
  <si>
    <t>CSX</t>
  </si>
  <si>
    <t>China</t>
  </si>
  <si>
    <t>SHA</t>
  </si>
  <si>
    <t>no service</t>
  </si>
  <si>
    <t>Changshu</t>
  </si>
  <si>
    <t>CGU</t>
  </si>
  <si>
    <t>Changzhou</t>
  </si>
  <si>
    <t>CZX</t>
  </si>
  <si>
    <t>Fuzhou</t>
  </si>
  <si>
    <t>FOC</t>
  </si>
  <si>
    <t>NGB</t>
  </si>
  <si>
    <t>Terminal at POD: FOC01</t>
  </si>
  <si>
    <t>Haikou</t>
  </si>
  <si>
    <t>HAK</t>
  </si>
  <si>
    <t>NSH</t>
  </si>
  <si>
    <t>HKG</t>
  </si>
  <si>
    <t>Dalian</t>
  </si>
  <si>
    <t>DLC</t>
  </si>
  <si>
    <t>China Base Port</t>
  </si>
  <si>
    <t>Hong Kong</t>
  </si>
  <si>
    <t>direct</t>
  </si>
  <si>
    <t>ESE2</t>
  </si>
  <si>
    <t>FXT</t>
  </si>
  <si>
    <t>Huangpu</t>
  </si>
  <si>
    <t>HUA</t>
  </si>
  <si>
    <t>Huangpu Old Port</t>
  </si>
  <si>
    <t>HPO</t>
  </si>
  <si>
    <t>Lianyungang</t>
  </si>
  <si>
    <t>LYG</t>
  </si>
  <si>
    <t xml:space="preserve">T/S via SHA is not accepted </t>
  </si>
  <si>
    <t>Luzhou</t>
  </si>
  <si>
    <t>LZU</t>
  </si>
  <si>
    <t>Sanshui</t>
  </si>
  <si>
    <t>SJQ</t>
  </si>
  <si>
    <t>Nanjing</t>
  </si>
  <si>
    <t>NKG</t>
  </si>
  <si>
    <t>Nansha</t>
  </si>
  <si>
    <t>AEM3</t>
  </si>
  <si>
    <t>Nantong</t>
  </si>
  <si>
    <t>NTG</t>
  </si>
  <si>
    <t>Ningbo</t>
  </si>
  <si>
    <t>Qingdao</t>
  </si>
  <si>
    <t>TAO</t>
  </si>
  <si>
    <t>Qinzhou</t>
  </si>
  <si>
    <t>QZH</t>
  </si>
  <si>
    <t>Shunde New Port</t>
  </si>
  <si>
    <t>SNP</t>
  </si>
  <si>
    <t>SHK</t>
  </si>
  <si>
    <t>Shanghai</t>
  </si>
  <si>
    <t>Shekou</t>
  </si>
  <si>
    <t>Taicang</t>
  </si>
  <si>
    <t>TAG</t>
  </si>
  <si>
    <t>Weihai</t>
  </si>
  <si>
    <t>WEI</t>
  </si>
  <si>
    <t>Wenzhou</t>
  </si>
  <si>
    <t>WNZ</t>
  </si>
  <si>
    <t>Wuhan</t>
  </si>
  <si>
    <t>WUH</t>
  </si>
  <si>
    <t>Xiamen</t>
  </si>
  <si>
    <t>XMN</t>
  </si>
  <si>
    <t>Xingang</t>
  </si>
  <si>
    <t>TSN</t>
  </si>
  <si>
    <t>Yantian</t>
  </si>
  <si>
    <t>YTN</t>
  </si>
  <si>
    <t>Xinhui</t>
  </si>
  <si>
    <t>XIN</t>
  </si>
  <si>
    <t>Yantai</t>
  </si>
  <si>
    <t>YNT</t>
  </si>
  <si>
    <t>Yunfu</t>
  </si>
  <si>
    <t>YNF</t>
  </si>
  <si>
    <t>Zhangjiagang</t>
  </si>
  <si>
    <t>ZJG</t>
  </si>
  <si>
    <t>Zhenjiang</t>
  </si>
  <si>
    <t>ZHE</t>
  </si>
  <si>
    <t>Belawan</t>
  </si>
  <si>
    <t>BLW</t>
  </si>
  <si>
    <t>Indonesia</t>
  </si>
  <si>
    <t>Jakarta</t>
  </si>
  <si>
    <t>JKT</t>
  </si>
  <si>
    <t>Semarang</t>
  </si>
  <si>
    <t>SRG</t>
  </si>
  <si>
    <t>Surabaya</t>
  </si>
  <si>
    <t>SUB</t>
  </si>
  <si>
    <t>Hakata</t>
  </si>
  <si>
    <t>HKT</t>
  </si>
  <si>
    <t>Japan</t>
  </si>
  <si>
    <t>Kobe</t>
  </si>
  <si>
    <t>UKB</t>
  </si>
  <si>
    <t>Moji</t>
  </si>
  <si>
    <t>MOJ</t>
  </si>
  <si>
    <t>Nagoya</t>
  </si>
  <si>
    <t>NGO</t>
  </si>
  <si>
    <t>Osaka</t>
  </si>
  <si>
    <t>OSA</t>
  </si>
  <si>
    <t>Tokuyama</t>
  </si>
  <si>
    <t>TKY</t>
  </si>
  <si>
    <t>Tokyo</t>
  </si>
  <si>
    <t>TYO</t>
  </si>
  <si>
    <t>Yokohama</t>
  </si>
  <si>
    <t>YOK</t>
  </si>
  <si>
    <t>Bintulu</t>
  </si>
  <si>
    <t>BTU</t>
  </si>
  <si>
    <t>Malaysia</t>
  </si>
  <si>
    <t>Kuantan</t>
  </si>
  <si>
    <t>KUA</t>
  </si>
  <si>
    <t>Kuching</t>
  </si>
  <si>
    <t>KCH</t>
  </si>
  <si>
    <t>Pasir Gudang</t>
  </si>
  <si>
    <t>PGU</t>
  </si>
  <si>
    <t>Penang</t>
  </si>
  <si>
    <t>PEN</t>
  </si>
  <si>
    <t>Port kelang</t>
  </si>
  <si>
    <t>Malaysia Base Port</t>
  </si>
  <si>
    <t>Yangon</t>
  </si>
  <si>
    <t>RGN</t>
  </si>
  <si>
    <t>Myanmar</t>
  </si>
  <si>
    <t>Manila North Harbour</t>
  </si>
  <si>
    <t>MNL</t>
  </si>
  <si>
    <t>Philippines</t>
  </si>
  <si>
    <t>Singapore</t>
  </si>
  <si>
    <t>Singapore Base Port</t>
  </si>
  <si>
    <t>Busan</t>
  </si>
  <si>
    <t>PUS</t>
  </si>
  <si>
    <t>South Korea Base Port</t>
  </si>
  <si>
    <t>Inchon</t>
  </si>
  <si>
    <t>INC</t>
  </si>
  <si>
    <t>South Korea</t>
  </si>
  <si>
    <t>Weight limit, please check general remarks.</t>
  </si>
  <si>
    <t>Kwangyang</t>
  </si>
  <si>
    <t>KAN</t>
  </si>
  <si>
    <t>Keelung</t>
  </si>
  <si>
    <t>KEL</t>
  </si>
  <si>
    <t>Taiwan</t>
  </si>
  <si>
    <t>Bangkok</t>
  </si>
  <si>
    <t>BKK</t>
  </si>
  <si>
    <t>Thailand</t>
  </si>
  <si>
    <t>Laem Chabang</t>
  </si>
  <si>
    <t>LCH</t>
  </si>
  <si>
    <t>Hai Phong</t>
  </si>
  <si>
    <t>HPH</t>
  </si>
  <si>
    <t>Vietnam</t>
  </si>
  <si>
    <t>Ho Chi Minh</t>
  </si>
  <si>
    <t>SGN</t>
  </si>
  <si>
    <t>Kaohsiung</t>
  </si>
  <si>
    <t>KHH</t>
  </si>
  <si>
    <t>Taiwan Base Port</t>
  </si>
  <si>
    <t>TERMS AND CONDITIONS</t>
  </si>
  <si>
    <t>All above rates are only valid for FAK general cargo and NOT for PPW, lumber/timber, logs, raw pulp and metal scrap</t>
  </si>
  <si>
    <t>SPECIAL REMARKS</t>
  </si>
  <si>
    <t>HO CHI MINH PORT  WILL NOT ACCEPT IMPORT IMDG CARGO WHICH HAVE DESTINATION CAT LAI (SGN08).</t>
  </si>
  <si>
    <t>Please note beverages loaded in Flexitanks may be subject to an extra surcharge of USD50/unit.</t>
  </si>
  <si>
    <t xml:space="preserve"> Please contact sales department for Agreement Number filling before sending booking request.   </t>
  </si>
  <si>
    <t xml:space="preserve">Transit Time is subject to changes. </t>
  </si>
  <si>
    <t>Please click here to check our standard free time tariff at destinations.</t>
  </si>
  <si>
    <t>Above offered rates are subject to contract filling by Sales Department, prior booking. Please contact us for further details.</t>
  </si>
  <si>
    <t>Above rates are subject to space, equipment and routing availability.</t>
  </si>
  <si>
    <t>Above rates are subject to any surcharge valid at GATE IN DATE and origin/ destination handlings, security and local charges, unless otherwise specified.</t>
  </si>
  <si>
    <t>All rates and surcharges are VATOS and subject to changes during the validity period- Valid for carriers own equipment only</t>
  </si>
  <si>
    <t>Prespecified routing may change at any time and without prior notice</t>
  </si>
  <si>
    <t>Above rates are only valid for shipments with receipt at terminal date (GATE IN DATE) From 01/04/2026 until further notice, but not beyond 30/04/2026</t>
  </si>
  <si>
    <t>Any Dangerous cargo booking is subject to final Export Department, Line Management, Transhipment Port (if any) and POD acceptance, and to general Dangerous policies of COSCO SHIPPING Lines, Ltd.</t>
  </si>
  <si>
    <t>Freight terms prepaid only</t>
  </si>
  <si>
    <t>Currenty USD only</t>
  </si>
  <si>
    <t>Freight basis: Inclusive BUC;CAS;ETS;FAF;HCS;PSF;SUZ;THC</t>
  </si>
  <si>
    <t>Subject to all others VATOS</t>
  </si>
  <si>
    <t>Subject to the Emergency Fuel Surcharge (EFS) applicable at the time of booking rate date</t>
  </si>
  <si>
    <t>ETS included</t>
  </si>
  <si>
    <t>PSS subject to USD/0 teu</t>
  </si>
  <si>
    <t>THD</t>
  </si>
  <si>
    <t>: SUBJECT TO, LOCAL CHARGES AT DESTINATION, ANY OTHER APPLICABLE SURCHARGE, FREE OUT COSTS</t>
  </si>
  <si>
    <t>AFS / AMS (JAPAN &amp; CHINA)</t>
  </si>
  <si>
    <t>: USD 30 per B/L - applicable for Japan and China import cargoes</t>
  </si>
  <si>
    <t>Amendment fee AFS / AMS</t>
  </si>
  <si>
    <t>: USD 40 per B/L - applicable for Japan and China import cargoes</t>
  </si>
  <si>
    <t>SOC</t>
  </si>
  <si>
    <r>
      <t xml:space="preserve">: SOC with valid CSC plate and DIN/ISO-Norm on </t>
    </r>
    <r>
      <rPr>
        <b/>
        <u/>
        <sz val="10"/>
        <rFont val="Arial"/>
        <family val="2"/>
      </rPr>
      <t>request</t>
    </r>
    <r>
      <rPr>
        <b/>
        <sz val="10"/>
        <rFont val="Arial"/>
        <family val="2"/>
      </rPr>
      <t xml:space="preserve"> only </t>
    </r>
  </si>
  <si>
    <t xml:space="preserve">Basic oceanfreight and other surcharges which you can find in our E-business website: </t>
  </si>
  <si>
    <t>http://elines.coscoshipping.com/ebusiness/EuropeTradePrice</t>
  </si>
  <si>
    <t>IMO (subj.to approval by line)</t>
  </si>
  <si>
    <t>: USD 50 / TEU FOR DIRECT BASE PORTS FOR CLASSES 3,6,8,9 &amp; 2.1 - USD 100 / TEU FOR NON DIRECT PORTS FOR CLASSES 3,6,8,9 &amp; 2.1 - other only on request</t>
  </si>
  <si>
    <t>Valid for one UN per container, if more than one UN mix stuffed, pls contact us</t>
  </si>
  <si>
    <r>
      <t xml:space="preserve">The IMO Surcharge shall be </t>
    </r>
    <r>
      <rPr>
        <u/>
        <sz val="10"/>
        <rFont val="Arial"/>
        <family val="2"/>
      </rPr>
      <t>subject to</t>
    </r>
    <r>
      <rPr>
        <sz val="10"/>
        <rFont val="Arial"/>
        <family val="2"/>
      </rPr>
      <t xml:space="preserve"> the Dangerous Goods Monitoring costs/Firemen Standby Charge at any port if any. </t>
    </r>
  </si>
  <si>
    <t>For example the DG Monitoring/PSA charges at/via Singapore or Fireman Standby Charge at/via Port Kelang.</t>
  </si>
  <si>
    <r>
      <rPr>
        <b/>
        <sz val="10"/>
        <color rgb="FF404040"/>
        <rFont val="Arial"/>
        <family val="2"/>
      </rPr>
      <t>Port Kelang</t>
    </r>
    <r>
      <rPr>
        <sz val="10"/>
        <color rgb="FF404040"/>
        <rFont val="Arial"/>
        <family val="2"/>
      </rPr>
      <t xml:space="preserve"> - This link can be used to check the acceptance of dangerous goods for transshipment:</t>
    </r>
  </si>
  <si>
    <t>http://pkapp.pka.gov.my/dg/unno.php?unno=3462&amp;Search=Search</t>
  </si>
  <si>
    <t>Kindly note fireman standby charges via Port Kelang are not included in the standard DG additional and will be charged on top, in case they occur.</t>
  </si>
  <si>
    <r>
      <rPr>
        <b/>
        <sz val="10"/>
        <rFont val="Arial"/>
        <family val="2"/>
      </rPr>
      <t xml:space="preserve">Singapore - </t>
    </r>
    <r>
      <rPr>
        <sz val="10"/>
        <rFont val="Arial"/>
        <family val="2"/>
      </rPr>
      <t>PSA Group Finder:</t>
    </r>
  </si>
  <si>
    <t>Please check with sales department</t>
  </si>
  <si>
    <t>Kindly note PSA monitoring charges via Singapore are not included in the standard DG additional and will be charged on top, in case they occur.</t>
  </si>
  <si>
    <t>Weight limit for Korea:</t>
  </si>
  <si>
    <t xml:space="preserve">a) Limit for inland delivery (CY/DR): 20 MT/20GP and 24 MT/40GP
</t>
  </si>
  <si>
    <t xml:space="preserve">b) Limit for CY/CY: 20MT/20GP and 24MT/40GP
</t>
  </si>
  <si>
    <t xml:space="preserve">c) Light chassis: 24,9 MT 
In case of exceeding 25 Tons, the bond clearance between both terminals/the bonded warehouse is not permitted according to Customs rule. </t>
  </si>
  <si>
    <t xml:space="preserve">LWS: </t>
  </si>
  <si>
    <t>(Low Water Surcharge) for destination of Yangon: USD 75/TEU as Prepaid, temporary surcharge, effective until further notice.</t>
  </si>
  <si>
    <t>Batam:</t>
  </si>
  <si>
    <t xml:space="preserve"> all charges including destination local charges should be collected at origin</t>
  </si>
  <si>
    <t>This guideline is subjected to the following terms and conditions:</t>
  </si>
  <si>
    <t>Freight term prepaid / local charges at POD for receivers account (in case of nonpayment, contracting party is responsible).</t>
  </si>
  <si>
    <t>Subject to equipment, space, handling, final IMO acceptance and service availability.</t>
  </si>
  <si>
    <t>PPW, tiles, lumber/timber, logs, raw pulp and metal scrap and waste cargo (paper+plastic) requires special permission. Restrictions apply.</t>
  </si>
  <si>
    <t>Ocean freight, peak season and all mentioned / unmentioned surcharges are based on cargo receive date only - no exception.</t>
  </si>
  <si>
    <t>All surcharges are subject to monthly adjustments / other surcharges, like local charges, additional fees at POD are valid at time of shipment.</t>
  </si>
  <si>
    <t>Demurrage/detention does not include storage at terminal, please click here to check our standard free time at destinations LINK</t>
  </si>
  <si>
    <t>Free time  will be applied to your shipment unless otherwise specified and confirmed by your Sales office, prior booking.</t>
  </si>
  <si>
    <t>In case picked up containers are not used for shipment and returned to depot/port – NO free time tariff DEM/DET is applicable. Full tariff will be charged starting from pick up date, additional handling costs will apply.</t>
  </si>
  <si>
    <t>If no response or nomination within two weeks, quotation would be invalid automatically / In case of insufficient performance, we reserve the right to withdraw the above-mentioned offer.</t>
  </si>
  <si>
    <t>Local charges/conditions listed on our homepage coscoshipping.es LINK (ESP version)</t>
  </si>
  <si>
    <t>Local charges/conditions listed on our homepage coscoshipping.es LINK (ENG version)</t>
  </si>
  <si>
    <t>Spain vessel schedules</t>
  </si>
  <si>
    <t>Spain local charges</t>
  </si>
  <si>
    <t>Subject to late booking cancellation fee ≤ 7 days before cut off date</t>
  </si>
  <si>
    <t>Errors and omissions excepted</t>
  </si>
  <si>
    <t xml:space="preserve">Furthermore you can find additional rates on our online Platform SynconHub: </t>
  </si>
  <si>
    <t>https://synconhub.coscoshipping.com/</t>
  </si>
  <si>
    <t>Tutorial video to WITHDRAW / Change Cntr type / Roll Bkg / Increase</t>
  </si>
  <si>
    <t>https://synconhub.coscoshipping.com/zh-cn/region/de/helps/tutorial-video/</t>
  </si>
  <si>
    <t>Rate is subject to any charges relating directly as a result of the changing requirement of MARPOL 2020 will apply in addition to the quoted terms</t>
  </si>
  <si>
    <t>BACK TO TOP</t>
  </si>
  <si>
    <t>EXPORT  TARIFF FOR MIDDLE EAST TRADE (306)</t>
  </si>
  <si>
    <t>Origin ESMAD-MADRID</t>
  </si>
  <si>
    <t>Included Surcharges                         (specific surcharges in the bottom)</t>
  </si>
  <si>
    <t>Rate 20'GP</t>
  </si>
  <si>
    <t>Rate 40'GP/HC</t>
  </si>
  <si>
    <t>Svc</t>
  </si>
  <si>
    <t>via</t>
  </si>
  <si>
    <t>Bahrain</t>
  </si>
  <si>
    <t>BAH</t>
  </si>
  <si>
    <t xml:space="preserve">Bahrain </t>
  </si>
  <si>
    <t>TSM+MINA</t>
  </si>
  <si>
    <t>AEM3+MINA</t>
  </si>
  <si>
    <t>EPI3</t>
  </si>
  <si>
    <t>KHL</t>
  </si>
  <si>
    <t>BUC;FAF;HCS;SUZ;WRS</t>
  </si>
  <si>
    <t>Djibouti</t>
  </si>
  <si>
    <t>JIB</t>
  </si>
  <si>
    <t>Djibouti </t>
  </si>
  <si>
    <t>Umm Qasar North</t>
  </si>
  <si>
    <t>ATP</t>
  </si>
  <si>
    <t>Iraq</t>
  </si>
  <si>
    <t>Aqaba</t>
  </si>
  <si>
    <t>AQB</t>
  </si>
  <si>
    <t xml:space="preserve">Jordan </t>
  </si>
  <si>
    <t>JEA</t>
  </si>
  <si>
    <t>Shuaiba</t>
  </si>
  <si>
    <t>AZN</t>
  </si>
  <si>
    <t xml:space="preserve">Kuwait </t>
  </si>
  <si>
    <t>Shuwaikh</t>
  </si>
  <si>
    <t>AZM</t>
  </si>
  <si>
    <t>Sohar</t>
  </si>
  <si>
    <t>SOH</t>
  </si>
  <si>
    <t xml:space="preserve">Oman </t>
  </si>
  <si>
    <t>Hamad</t>
  </si>
  <si>
    <t>HMD</t>
  </si>
  <si>
    <t xml:space="preserve">Qatar </t>
  </si>
  <si>
    <t>Jeddah</t>
  </si>
  <si>
    <t>JED</t>
  </si>
  <si>
    <t xml:space="preserve">Saudi Arabia </t>
  </si>
  <si>
    <t>Dammam</t>
  </si>
  <si>
    <t>DMN</t>
  </si>
  <si>
    <t>Jubail</t>
  </si>
  <si>
    <t>JUB</t>
  </si>
  <si>
    <t>Riyadh</t>
  </si>
  <si>
    <t>RUH</t>
  </si>
  <si>
    <t>Jebel Ali</t>
  </si>
  <si>
    <t xml:space="preserve">United Arab Emirates </t>
  </si>
  <si>
    <t>Khalifa Port</t>
  </si>
  <si>
    <t>Sharjah</t>
  </si>
  <si>
    <t>SHJ</t>
  </si>
  <si>
    <t>Ajman</t>
  </si>
  <si>
    <t>AJM</t>
  </si>
  <si>
    <t>Ras Al Khaimah</t>
  </si>
  <si>
    <t>RKT</t>
  </si>
  <si>
    <t xml:space="preserve">Please contact sales department for Agreement Number filling before sending booking request.   </t>
  </si>
  <si>
    <t>Freight basis: Inclusive  BUC;FAF;HCS;SUZ;WRS</t>
  </si>
  <si>
    <t>ETS subject to EUR13/TEU</t>
  </si>
  <si>
    <t>EIS USD/100/TEU on collect basis for Jordan</t>
  </si>
  <si>
    <t>ICD Riyadh</t>
  </si>
  <si>
    <t>: It is not accepted dangerous cargo to Riyadh with TS in Dammam with rail service</t>
  </si>
  <si>
    <t>: Railway HCS on collect basis for RFR cargo:  USD200/20' &gt;= 24TON (Gross)  USD400/40' &gt;= 30 TON (Gross)</t>
  </si>
  <si>
    <t>Weight limit for Riyadh</t>
  </si>
  <si>
    <t xml:space="preserve">: For 20’ – 24000 kg (cargo + tare weight) / For 20’ – 24000 kg (cargo + tare weight) </t>
  </si>
  <si>
    <t>EXPORT FAK TARIFF FOR IPBC TRADE (304)</t>
  </si>
  <si>
    <t>Included Surcharges                         
(specific surcharges in the bottom)</t>
  </si>
  <si>
    <t>Chittagong</t>
  </si>
  <si>
    <t>CGP</t>
  </si>
  <si>
    <t>Bangladesh</t>
  </si>
  <si>
    <t>case by case</t>
  </si>
  <si>
    <t>TSM+AEM3</t>
  </si>
  <si>
    <t>PIR+PKG</t>
  </si>
  <si>
    <t>BUC;FAF;HCS;SUZ;THC</t>
  </si>
  <si>
    <t>Chennai</t>
  </si>
  <si>
    <t>MAA</t>
  </si>
  <si>
    <t>India</t>
  </si>
  <si>
    <t>BUC;FAF;HCS;SUZ</t>
  </si>
  <si>
    <t>Mundra</t>
  </si>
  <si>
    <t>MUN</t>
  </si>
  <si>
    <t>Nhava Sheva</t>
  </si>
  <si>
    <t>NVA</t>
  </si>
  <si>
    <t>Karachi</t>
  </si>
  <si>
    <t>KHI</t>
  </si>
  <si>
    <t>Pakistan</t>
  </si>
  <si>
    <t>Colombo</t>
  </si>
  <si>
    <t>CMB</t>
  </si>
  <si>
    <t>Sri Lanka</t>
  </si>
  <si>
    <t>Freight basis: Inclusive  BUC;FAF;HCS;SUZ, except VLC/BCN to Chittagong</t>
  </si>
  <si>
    <t>BCN/VLC - CHITTAGONG: INCLUSIVE BUC;CAS;FAF;HCS;PSF;SUZ - subject to all others</t>
  </si>
  <si>
    <t xml:space="preserve">   </t>
  </si>
  <si>
    <t>EXPORT FAK TARIFF FOR OCEANIA Trade (501/503)</t>
  </si>
  <si>
    <t>General cargo only, excluding any kind of waste.</t>
  </si>
  <si>
    <t>Included Surcharges                                                                  (specific surcharges in the bottom)</t>
  </si>
  <si>
    <t>REMARKS</t>
  </si>
  <si>
    <t>Rate 40'GP</t>
  </si>
  <si>
    <t>Rate 40'HQ</t>
  </si>
  <si>
    <t>Via</t>
  </si>
  <si>
    <t>Adelaide</t>
  </si>
  <si>
    <t>ADL</t>
  </si>
  <si>
    <t>Australia</t>
  </si>
  <si>
    <t>AGS, SUZ, BUC; FAF, PSS</t>
  </si>
  <si>
    <t>Brisbane</t>
  </si>
  <si>
    <t>BNE</t>
  </si>
  <si>
    <t>Melbourne</t>
  </si>
  <si>
    <t>MEL</t>
  </si>
  <si>
    <t>Fremantle</t>
  </si>
  <si>
    <t>FRE</t>
  </si>
  <si>
    <t>Sydney</t>
  </si>
  <si>
    <t>SYD</t>
  </si>
  <si>
    <t xml:space="preserve">Auckland </t>
  </si>
  <si>
    <t>AKL</t>
  </si>
  <si>
    <t>New Zealand</t>
  </si>
  <si>
    <t>Lyttelton</t>
  </si>
  <si>
    <t>LYT</t>
  </si>
  <si>
    <t>11</t>
  </si>
  <si>
    <t>Napier</t>
  </si>
  <si>
    <t>NPE</t>
  </si>
  <si>
    <t>Tauranga</t>
  </si>
  <si>
    <t>TRG</t>
  </si>
  <si>
    <t>Wellington</t>
  </si>
  <si>
    <t>WLG</t>
  </si>
  <si>
    <t>* Shipments to TIMARU need to add rail transportation cost on top of LYTTELTON rate.</t>
  </si>
  <si>
    <t>Above offered rates are priviledged &amp; confidential. Valid only on CIF basis.</t>
  </si>
  <si>
    <t>Above rates are subject to any surcharge valid at ETD based on LTS (Long Time schedule) and origin/ destination handlings, security and local charges, unless otherwise specified.</t>
  </si>
  <si>
    <t xml:space="preserve">Above rates are only valid for shipments with sailing (ETD / LTS DATE) From 01/04/2026 until further notice, but not beyond 30/04/2026 </t>
  </si>
  <si>
    <t>Please check ETD/LTD date on COSCO website: </t>
  </si>
  <si>
    <t>1)  Browse:</t>
  </si>
  <si>
    <t>https://lines.coscoshipping.com/home/HelpCenter/business/ServiceSchedule </t>
  </si>
  <si>
    <t>2)  Select Trade: AET-Asia Europe</t>
  </si>
  <si>
    <t>3)  Select Service: AEM1, AEM2, AEM3 (actual departure service code)</t>
  </si>
  <si>
    <t>4)  Search + download the Excel file with the Long Term Schedule information for the selected service code.</t>
  </si>
  <si>
    <t>Above rates are only valid for general cargo, harmless, excluding ANY KIND OF WASTE. For Dangerous cargo, please see point 7.</t>
  </si>
  <si>
    <r>
      <t xml:space="preserve">For Dangerous cargo, the IMO surcharges to be added on top of above offered rates </t>
    </r>
    <r>
      <rPr>
        <b/>
        <sz val="10"/>
        <color theme="1"/>
        <rFont val="Arial"/>
        <family val="2"/>
      </rPr>
      <t>should be checked case by case.</t>
    </r>
  </si>
  <si>
    <t>: USD 100 / TEU FOR NON DIRECT PORTS FOR CLASSES 3,6,8,9 &amp; 2.1 - other only on request</t>
  </si>
  <si>
    <t>All rates and surcharges are VATOS and subject to changes during the validity period. Valid for carriers own equipment only.</t>
  </si>
  <si>
    <t>Prespecified routing may change at any time with or without prior notice.</t>
  </si>
  <si>
    <t>Freight terms: Prepaid only</t>
  </si>
  <si>
    <t>Currency: USD only</t>
  </si>
  <si>
    <t>Freight Basis: inlcusive AGS, SUZ, BUC, FAF, PSS</t>
  </si>
  <si>
    <t>ISPS subject to</t>
  </si>
  <si>
    <t>ETS subject to EUR25/teu</t>
  </si>
  <si>
    <t>SOC with valid CSC plate and DIN/ISO-Norm on request only</t>
  </si>
  <si>
    <r>
      <t>Subject to equipment, space, handling, final IMO acceptance</t>
    </r>
    <r>
      <rPr>
        <sz val="10"/>
        <rFont val="Arial"/>
        <family val="2"/>
      </rPr>
      <t xml:space="preserve"> and service availability</t>
    </r>
  </si>
  <si>
    <t>PPW, lumber/timber, logs, raw pulp and metal scrap and waste cargo (paper+plastic) requires special permission. Restrictions apply.</t>
  </si>
  <si>
    <t xml:space="preserve">By submitting a booking, you agree to our B/L terms LINK ( ENG version) </t>
  </si>
  <si>
    <t xml:space="preserve">By submitting a booking, you agree to our B/L terms LINK ( ESP version) </t>
  </si>
  <si>
    <t>EXPORT FAK TARIFF FOR USA Trade (098)</t>
  </si>
  <si>
    <t>From 1/4/2026 until further notice, but not beyond 30/04/2026</t>
  </si>
  <si>
    <t xml:space="preserve">TLI VLC &amp; ALG: </t>
  </si>
  <si>
    <t xml:space="preserve">TLI BCN: </t>
  </si>
  <si>
    <t xml:space="preserve">Origin ESALG-BARCELONA </t>
  </si>
  <si>
    <t>Included Surcharges</t>
  </si>
  <si>
    <t>New York, NY</t>
  </si>
  <si>
    <t>United States</t>
  </si>
  <si>
    <t>Direct MENA</t>
  </si>
  <si>
    <t xml:space="preserve">AEM2  via FOS + MENA WB </t>
  </si>
  <si>
    <t>THD; THC; CAS; PSD; PSL; ORS</t>
  </si>
  <si>
    <t>Norfolk, VA</t>
  </si>
  <si>
    <t>Savannah, GA</t>
  </si>
  <si>
    <t>Miami, FL</t>
  </si>
  <si>
    <t>Above rates are subject to following charges unless otherwise specified:</t>
  </si>
  <si>
    <t>Charge</t>
  </si>
  <si>
    <t>Charge Description</t>
  </si>
  <si>
    <t>Unit</t>
  </si>
  <si>
    <t>Amount</t>
  </si>
  <si>
    <t>Term</t>
  </si>
  <si>
    <t>Incl./Excl. In the OFT</t>
  </si>
  <si>
    <t>Remarks</t>
  </si>
  <si>
    <t>AMA</t>
  </si>
  <si>
    <t>Advance Amendment Fee</t>
  </si>
  <si>
    <t>B/L</t>
  </si>
  <si>
    <t>Prepaid</t>
  </si>
  <si>
    <t>Excluded</t>
  </si>
  <si>
    <t>MSC</t>
  </si>
  <si>
    <t>Advance Manifest Security Charge</t>
  </si>
  <si>
    <t>CAS</t>
  </si>
  <si>
    <t>Carrier Security Charge</t>
  </si>
  <si>
    <t>Contr.</t>
  </si>
  <si>
    <t>Included</t>
  </si>
  <si>
    <t>BUC</t>
  </si>
  <si>
    <t>Bunker Charge</t>
  </si>
  <si>
    <t>20' contr.</t>
  </si>
  <si>
    <t>40' contr.</t>
  </si>
  <si>
    <t>PSS</t>
  </si>
  <si>
    <t>Peak Season Surcharge</t>
  </si>
  <si>
    <t>ETS</t>
  </si>
  <si>
    <t>Carbon Emmissions Trading System Surcharge</t>
  </si>
  <si>
    <t>90 EUR</t>
  </si>
  <si>
    <t>180 EUR</t>
  </si>
  <si>
    <t>ORS</t>
  </si>
  <si>
    <t>Operational Recovery Charge</t>
  </si>
  <si>
    <t>EIS</t>
  </si>
  <si>
    <t>Equipment Imbalance Surcharge</t>
  </si>
  <si>
    <t>PCS</t>
  </si>
  <si>
    <t>Port Congestion Surcharge</t>
  </si>
  <si>
    <t>NPC</t>
  </si>
  <si>
    <t>Port Charge</t>
  </si>
  <si>
    <t>35 EUR</t>
  </si>
  <si>
    <t>55 EUR</t>
  </si>
  <si>
    <t>WHF</t>
  </si>
  <si>
    <t>Wharfage</t>
  </si>
  <si>
    <t>Collect</t>
  </si>
  <si>
    <t>Only Miami</t>
  </si>
  <si>
    <t>EBS</t>
  </si>
  <si>
    <t>Emergency Bunker Surcharge</t>
  </si>
  <si>
    <t>150 USD</t>
  </si>
  <si>
    <t>From 7th April 2026</t>
  </si>
  <si>
    <t>300 USD</t>
  </si>
  <si>
    <t xml:space="preserve">GRI </t>
  </si>
  <si>
    <t xml:space="preserve">                                                      General Rate Increase</t>
  </si>
  <si>
    <t>From 1st April 2026</t>
  </si>
  <si>
    <t>700 USD</t>
  </si>
  <si>
    <t>General Remarks:</t>
  </si>
  <si>
    <t>1. Above offered rates are priviledged &amp; confidential. Valid only on CIF basis.</t>
  </si>
  <si>
    <t>2. Above offered rates are subject to contract filling by Sales Department, prior booking. Please contact us for further details.</t>
  </si>
  <si>
    <t>3. Above rates are subject to space, equipment and routing availability.</t>
  </si>
  <si>
    <t>4. Above rates are only valid for shipments with GATE IN date from 1/4/2026 until 30/4/2026</t>
  </si>
  <si>
    <t>5. Above rates are only valid for : Please see commodity allowed on top of this page.</t>
  </si>
  <si>
    <t>6. Check our standard free time tariff at origin and destinations at:</t>
  </si>
  <si>
    <t>Destination :</t>
  </si>
  <si>
    <t>http://elines.coscoshipping.com/NewEB/informationQueryAndSubscribe.html?node=2009</t>
  </si>
  <si>
    <t>Origin :</t>
  </si>
  <si>
    <t>http://elines.coscoshipping.com/NewEBWeb/public/ti/cos/tariffRuleDetail.jsp?uuid=4958066963099146</t>
  </si>
  <si>
    <t>This is the free time that will be applied to your shipment unless otherwise specified and confirmed by your Sales office, prior booking.</t>
  </si>
  <si>
    <t>Subject to equipment, space, handling, final IMO acceptance and service availability</t>
  </si>
  <si>
    <t xml:space="preserve">Freight All Kinds (F.A.K.), Single Commodity, Excluding Hazardous Cargo, Plants and Livestock, Loose Metal Scrap, Beer, Wine and Spirits, Cargo Requiring Special Needs and Consolidation Cargo   </t>
  </si>
  <si>
    <t>EXPORT FAK TARIFF FOR CANADA (097)</t>
  </si>
  <si>
    <t>From 1/4/2026 until further notice, but not beyond 30/4/2026</t>
  </si>
  <si>
    <t>Halifax</t>
  </si>
  <si>
    <t>Canada</t>
  </si>
  <si>
    <t>BUC; EIS; LWS; ORS; PSS; THC; THD; DOC</t>
  </si>
  <si>
    <t>(GIGO all in)</t>
  </si>
  <si>
    <t>Subject to ETS; EBS, origin documentation fee ; all other vatos and locals both ends.</t>
  </si>
  <si>
    <t>Rate 40'RQ</t>
  </si>
  <si>
    <t>ORIGIN ADD-ONS</t>
  </si>
  <si>
    <t>USD 20GP</t>
  </si>
  <si>
    <t>USD 40GP&amp;HQ</t>
  </si>
  <si>
    <t>USD 40RQ</t>
  </si>
  <si>
    <t>POL BARCELONA (AEM2 via Fos + MENA WB)</t>
  </si>
  <si>
    <t xml:space="preserve"> POL BILBAO/VIGO (Feeder service via Algeciras)</t>
  </si>
  <si>
    <t>POL LISBOA/LEIXOES (Feeder service via Algeciras)</t>
  </si>
  <si>
    <t>DESTINATION RAIL RAMPS ADD-ONS</t>
  </si>
  <si>
    <t>MONTREAL</t>
  </si>
  <si>
    <t>incl. FSC</t>
  </si>
  <si>
    <t>TORONTO</t>
  </si>
  <si>
    <t>WINNIPEG</t>
  </si>
  <si>
    <t>NA</t>
  </si>
  <si>
    <t>CALGARY</t>
  </si>
  <si>
    <t>EDMONTON</t>
  </si>
  <si>
    <t>VANCOUVER</t>
  </si>
  <si>
    <t>Maximum authorized weight for rail transport from Halifax to Montreal or Toronto</t>
  </si>
  <si>
    <t>20’ &lt;   47,900 lbs / 21.727 MT Commodity Weight</t>
  </si>
  <si>
    <t>40’/45’ &lt;  60,000 lbs / 27.215 MT Commodity Weight</t>
  </si>
  <si>
    <t>20’- containers with a net weight between 47,900 and 55,000 pounds would be subject to Excess Weight Surcharges (pelase check the link)</t>
  </si>
  <si>
    <t>40’/45’- containers with a net weight between 60,000 and 65,000 pounds would be subject to Excess Weight Surcharges (please check the link)</t>
  </si>
  <si>
    <t>Any containers with a net capacity exceeding 24.947 MT for a 20’ or 29.484 MT for a 40’ will not be handled by CN.</t>
  </si>
  <si>
    <t xml:space="preserve">CN Rail - Rail and Terminal Weight Limitations &amp; Charges </t>
  </si>
  <si>
    <t>https://world.lines.coscoshipping.com/canada/en/services/containerweightLimit/1/1</t>
  </si>
  <si>
    <t>FSC surcharge (CN 7405 -  Intra-Canada monthly rate)</t>
  </si>
  <si>
    <t>https://www.cn.ca/en/customer-centre/prices-tariffs-transit-times/fuel-surcharge/</t>
  </si>
  <si>
    <r>
      <t>IMPORTANT</t>
    </r>
    <r>
      <rPr>
        <sz val="11"/>
        <color rgb="FF000000"/>
        <rFont val="Calibri"/>
        <family val="2"/>
        <scheme val="minor"/>
      </rPr>
      <t>: Under no circumstances may the commodity weight exceed the maximum Net capacity that is noted on the container door. Any container that is found to be over-loaded beyond the Net capacity will immediately be grounded at the discharge port and the importer is responsible for any and all cost and arrangements associated with removal of the over capacity cargo.</t>
    </r>
  </si>
  <si>
    <t>Bunker charge</t>
  </si>
  <si>
    <t>EDO</t>
  </si>
  <si>
    <t>Electronic booking doc Fee</t>
  </si>
  <si>
    <t>35 USD</t>
  </si>
  <si>
    <t>DOC</t>
  </si>
  <si>
    <t>Origin Documentation Fee</t>
  </si>
  <si>
    <t>63 USD</t>
  </si>
  <si>
    <t>From 24th March 2026</t>
  </si>
  <si>
    <t>General Rate Increase</t>
  </si>
  <si>
    <t>as per HQ announcements</t>
  </si>
  <si>
    <t>4. Above rates are only valid for shipments with GATE IN date from 1/4/2026 until 30/04/2026</t>
  </si>
  <si>
    <t>EXPORT FAK TARIFF FOR LATAM Trade (309 Tariff)</t>
  </si>
  <si>
    <t xml:space="preserve"> </t>
  </si>
  <si>
    <t>Santos</t>
  </si>
  <si>
    <t>Brasil</t>
  </si>
  <si>
    <t>ALG</t>
  </si>
  <si>
    <t>DIR</t>
  </si>
  <si>
    <t xml:space="preserve"> BUC, FAF, NPC, THC</t>
  </si>
  <si>
    <t>Itajai</t>
  </si>
  <si>
    <t>Paranagua</t>
  </si>
  <si>
    <t>No Service currently available</t>
  </si>
  <si>
    <t>Rio de Janeiro</t>
  </si>
  <si>
    <t xml:space="preserve">Buenos Aires </t>
  </si>
  <si>
    <t xml:space="preserve">Argentina </t>
  </si>
  <si>
    <t>Montevideo</t>
  </si>
  <si>
    <t>Uruguay</t>
  </si>
  <si>
    <t>Rates from Valencia subject to space on 1st leg TSM &amp; MENA services</t>
  </si>
  <si>
    <t>All above rates are only valid for General cargo only, excluding any kind of waste.</t>
  </si>
  <si>
    <t>Click here for more details</t>
  </si>
  <si>
    <t>Click here to get updated ones.</t>
  </si>
  <si>
    <t>Above rates are only applied for general cargo on CY/CY term; except for the shipment to Asuncion , Paraguay which should be CY/FO term</t>
  </si>
  <si>
    <t>Rates for Asuncion, Paraguay will add EUR 800/20GP EUR 1600/40GP EUR 1600/40HQ on top of Montevideo</t>
  </si>
  <si>
    <r>
      <t xml:space="preserve">For Dangerous cargo, the IMO surcharges to be added on top of above offered rates </t>
    </r>
    <r>
      <rPr>
        <b/>
        <sz val="8"/>
        <color theme="1"/>
        <rFont val="Arial"/>
        <family val="2"/>
      </rPr>
      <t>should be checked case by case.</t>
    </r>
  </si>
  <si>
    <r>
      <t xml:space="preserve">The IMO Surcharge shall be </t>
    </r>
    <r>
      <rPr>
        <u/>
        <sz val="8"/>
        <rFont val="Arial"/>
        <family val="2"/>
      </rPr>
      <t>subject to</t>
    </r>
    <r>
      <rPr>
        <sz val="8"/>
        <rFont val="Arial"/>
        <family val="2"/>
      </rPr>
      <t xml:space="preserve"> the Dangerous Goods Monitoring costs/Firemen Standby Charge at any port if any. </t>
    </r>
  </si>
  <si>
    <t>The rates are valid from  1.04.2026-30.04.2026 (LTS date)</t>
  </si>
  <si>
    <t>Currency: EUR only</t>
  </si>
  <si>
    <t>Freight Basis: inlcusive  BUC, FAF, NPC, THC</t>
  </si>
  <si>
    <t>ETS subject to EUR 35/TEU</t>
  </si>
  <si>
    <t>EBS subject to EUR 50/TEU</t>
  </si>
  <si>
    <t>8. Please click here to check our standard free time tariff at destinations.</t>
  </si>
  <si>
    <r>
      <t>Subject to equipment, space, handling, final IMO acceptance</t>
    </r>
    <r>
      <rPr>
        <sz val="8"/>
        <rFont val="Arial"/>
        <family val="2"/>
      </rPr>
      <t xml:space="preserve"> and service availability</t>
    </r>
  </si>
  <si>
    <t>EXPORT FAK TARIFF FOR WEST AFRICA Trade (380 Tariff)</t>
  </si>
  <si>
    <t>Dakar</t>
  </si>
  <si>
    <t>Senegal</t>
  </si>
  <si>
    <t>Abidjan</t>
  </si>
  <si>
    <t>Ivory Coast</t>
  </si>
  <si>
    <t>Tema</t>
  </si>
  <si>
    <t>Ghana</t>
  </si>
  <si>
    <t>Cotonou</t>
  </si>
  <si>
    <t>Benin</t>
  </si>
  <si>
    <t>TEM</t>
  </si>
  <si>
    <t>Apapa</t>
  </si>
  <si>
    <t>Nigeria</t>
  </si>
  <si>
    <t xml:space="preserve">For the shipment with place of receipt from base ports and outports on relevant carriage contract , the rate valid date should be in accordance with the date of relevant vessel/voyage  ETD  on the update version of carrier's long term schedule </t>
  </si>
  <si>
    <t>*IVORY COAST DOESN'T ACCEPT DG CARGO</t>
  </si>
  <si>
    <t>Freight Basis: inlcusive  BUC, FAF, GPC, HCS, NPC</t>
  </si>
  <si>
    <t>ETS subject to EUR 50/TEU</t>
  </si>
  <si>
    <t>EBS subject to EUR 110/TEU</t>
  </si>
  <si>
    <t>HCS subject to EUR 90/20' with Gross weight =&gt; 16tons</t>
  </si>
  <si>
    <t>EXPORT  TARIFF FOR IET TRADE (312)</t>
  </si>
  <si>
    <t>Mediterranean destinations</t>
  </si>
  <si>
    <t>Direct / TS</t>
  </si>
  <si>
    <t>ALEXANDRIA EDK</t>
  </si>
  <si>
    <t>EGYPT</t>
  </si>
  <si>
    <t>CY-FO</t>
  </si>
  <si>
    <t>T/S</t>
  </si>
  <si>
    <t>BUC;FAF;RRR;SSD;SSL;TCP</t>
  </si>
  <si>
    <t>ALGER</t>
  </si>
  <si>
    <t>ALGERIA</t>
  </si>
  <si>
    <t>DIRECT</t>
  </si>
  <si>
    <t>ALIAGA</t>
  </si>
  <si>
    <t>TURKEY</t>
  </si>
  <si>
    <t>ASHDOD</t>
  </si>
  <si>
    <t>ISRAEL</t>
  </si>
  <si>
    <t>CY-LO</t>
  </si>
  <si>
    <t>BUC;FAF;RRR;SSD;SSL;TCP;WRS</t>
  </si>
  <si>
    <t>BEIRUT</t>
  </si>
  <si>
    <t>LEBANON</t>
  </si>
  <si>
    <t>CASABLANCA</t>
  </si>
  <si>
    <t xml:space="preserve">MOROCCO </t>
  </si>
  <si>
    <t>DIRECT (IFS)</t>
  </si>
  <si>
    <t>BUC;FAF;PCS;RRR;SSD;SSL;TCP</t>
  </si>
  <si>
    <t>CONSTANTZA</t>
  </si>
  <si>
    <t>ROMANIA</t>
  </si>
  <si>
    <t>DAMIETTA/DUMYAT</t>
  </si>
  <si>
    <t>DERINCE</t>
  </si>
  <si>
    <t>DURRES</t>
  </si>
  <si>
    <t>ALBANIA</t>
  </si>
  <si>
    <t>GEMLIK</t>
  </si>
  <si>
    <t>HAIFA</t>
  </si>
  <si>
    <t>ISKENDERUN</t>
  </si>
  <si>
    <t>ISTANBUL (KUMPORT)</t>
  </si>
  <si>
    <t>IZMIR</t>
  </si>
  <si>
    <t>KOPER</t>
  </si>
  <si>
    <t>SLOVENIA</t>
  </si>
  <si>
    <t xml:space="preserve">LIMASSOL </t>
  </si>
  <si>
    <t>CYPRUS</t>
  </si>
  <si>
    <t>MALTA</t>
  </si>
  <si>
    <t>MERSIN</t>
  </si>
  <si>
    <t>PIRAEUS</t>
  </si>
  <si>
    <t>GREECE</t>
  </si>
  <si>
    <t>PORT SAID WEST</t>
  </si>
  <si>
    <t>POTI</t>
  </si>
  <si>
    <t>GEORGIA</t>
  </si>
  <si>
    <t>RIJEKA</t>
  </si>
  <si>
    <t>CROATIA</t>
  </si>
  <si>
    <t>THESSALONIKI</t>
  </si>
  <si>
    <t>YARIMCA</t>
  </si>
  <si>
    <t>North West Europe destinations</t>
  </si>
  <si>
    <t>Origin ESBCN-BARCELONA - VIA PIRAEUS WITH TSM SERVICE</t>
  </si>
  <si>
    <t>AARHUS</t>
  </si>
  <si>
    <t>DENMARK</t>
  </si>
  <si>
    <t>CY/CY</t>
  </si>
  <si>
    <t>ANTWERP</t>
  </si>
  <si>
    <t>BELGIUM</t>
  </si>
  <si>
    <t>BERGEN</t>
  </si>
  <si>
    <t>NORWAY</t>
  </si>
  <si>
    <t>COPENHAGEN</t>
  </si>
  <si>
    <t>CORK</t>
  </si>
  <si>
    <t>THE REPUBLIC OF IRELAND</t>
  </si>
  <si>
    <t>DUBLIN</t>
  </si>
  <si>
    <t>FELIXSTOWE</t>
  </si>
  <si>
    <t>UNITED KINGDOM</t>
  </si>
  <si>
    <t>FREDERICIA</t>
  </si>
  <si>
    <t>FREDRIKSTAD</t>
  </si>
  <si>
    <t>GDANSK</t>
  </si>
  <si>
    <t>POLAND</t>
  </si>
  <si>
    <t>GOTHENBURG</t>
  </si>
  <si>
    <t>SWEDEN</t>
  </si>
  <si>
    <t>HAMBURG</t>
  </si>
  <si>
    <t>GERMANY</t>
  </si>
  <si>
    <t>HELSINKI</t>
  </si>
  <si>
    <t>FINLAND</t>
  </si>
  <si>
    <t>KLAIPEDA</t>
  </si>
  <si>
    <t>LITHUANIA</t>
  </si>
  <si>
    <t>KOTKA</t>
  </si>
  <si>
    <t>LARVIK</t>
  </si>
  <si>
    <t>OSLO</t>
  </si>
  <si>
    <t>RIGA</t>
  </si>
  <si>
    <t>LATVIA</t>
  </si>
  <si>
    <t>ROTTERDAM</t>
  </si>
  <si>
    <t>NETHERLANDS</t>
  </si>
  <si>
    <t>STOCKHOLM</t>
  </si>
  <si>
    <t>TALLINN</t>
  </si>
  <si>
    <t>ESTONIA</t>
  </si>
  <si>
    <t>TANANGER</t>
  </si>
  <si>
    <t>TERMS &amp; CONDITONS</t>
  </si>
  <si>
    <t>CoFe: common feeder</t>
  </si>
  <si>
    <r>
      <t xml:space="preserve">Transit Time is subject to changes    </t>
    </r>
    <r>
      <rPr>
        <b/>
        <u/>
        <sz val="12"/>
        <color theme="0"/>
        <rFont val="Arial"/>
        <family val="2"/>
      </rPr>
      <t>Click here for more details</t>
    </r>
  </si>
  <si>
    <r>
      <rPr>
        <b/>
        <sz val="11"/>
        <color theme="1"/>
        <rFont val="Arial"/>
        <family val="2"/>
      </rPr>
      <t xml:space="preserve">1. </t>
    </r>
    <r>
      <rPr>
        <sz val="11"/>
        <color theme="1"/>
        <rFont val="Arial"/>
        <family val="2"/>
      </rPr>
      <t>Above offered rates are priviledged &amp; confidential. Valid only on CIF basis.</t>
    </r>
  </si>
  <si>
    <r>
      <rPr>
        <b/>
        <sz val="11"/>
        <color theme="1"/>
        <rFont val="Arial"/>
        <family val="2"/>
      </rPr>
      <t xml:space="preserve">2. </t>
    </r>
    <r>
      <rPr>
        <sz val="11"/>
        <color theme="1"/>
        <rFont val="Arial"/>
        <family val="2"/>
      </rPr>
      <t>Above offered rates are subject to contract filling by Sales Department, prior booking. Please contact us for further details.</t>
    </r>
  </si>
  <si>
    <r>
      <rPr>
        <b/>
        <sz val="11"/>
        <color theme="1"/>
        <rFont val="Arial"/>
        <family val="2"/>
      </rPr>
      <t>3</t>
    </r>
    <r>
      <rPr>
        <sz val="11"/>
        <color theme="1"/>
        <rFont val="Arial"/>
        <family val="2"/>
      </rPr>
      <t xml:space="preserve">. Above rates are subject to space, equipment and routing availability. </t>
    </r>
    <r>
      <rPr>
        <b/>
        <sz val="11"/>
        <color rgb="FFC00000"/>
        <rFont val="Arial"/>
        <family val="2"/>
      </rPr>
      <t>In case of any changes in routing/services, rates to be checked case-by-case.</t>
    </r>
  </si>
  <si>
    <r>
      <rPr>
        <b/>
        <sz val="11"/>
        <color theme="1"/>
        <rFont val="Arial"/>
        <family val="2"/>
      </rPr>
      <t>4.</t>
    </r>
    <r>
      <rPr>
        <sz val="11"/>
        <color theme="1"/>
        <rFont val="Arial"/>
        <family val="2"/>
      </rPr>
      <t xml:space="preserve"> Above rates are subject to any surcharge VATOS (Valid At Time Of Sailing / BL DATE) and origin/ destination handlings, security and local charges, unless otherwise specified.</t>
    </r>
  </si>
  <si>
    <r>
      <rPr>
        <b/>
        <sz val="11"/>
        <color theme="1"/>
        <rFont val="Arial"/>
        <family val="2"/>
      </rPr>
      <t xml:space="preserve">5. </t>
    </r>
    <r>
      <rPr>
        <sz val="11"/>
        <color theme="1"/>
        <rFont val="Arial"/>
        <family val="2"/>
      </rPr>
      <t>Above rates are only valid for shipments with sailing (BL date)</t>
    </r>
    <r>
      <rPr>
        <sz val="11"/>
        <color rgb="FFC00000"/>
        <rFont val="Arial"/>
        <family val="2"/>
      </rPr>
      <t xml:space="preserve"> </t>
    </r>
    <r>
      <rPr>
        <b/>
        <sz val="11"/>
        <color rgb="FFC00000"/>
        <rFont val="Arial"/>
        <family val="2"/>
      </rPr>
      <t>from 01/04/2026 until further notice, but not beyond 30/04/2026.</t>
    </r>
  </si>
  <si>
    <r>
      <rPr>
        <b/>
        <sz val="11"/>
        <color theme="1"/>
        <rFont val="Arial"/>
        <family val="2"/>
      </rPr>
      <t>6.</t>
    </r>
    <r>
      <rPr>
        <sz val="11"/>
        <color theme="1"/>
        <rFont val="Arial"/>
        <family val="2"/>
      </rPr>
      <t xml:space="preserve"> Above rates are only valid for general cargo, harmless, excluding ANY KIND OF WASTE. For Dangerous cargo, please see point 7.</t>
    </r>
  </si>
  <si>
    <t>Specific Surchages of the Trade:</t>
  </si>
  <si>
    <t>FAF</t>
  </si>
  <si>
    <r>
      <t xml:space="preserve">: EUR 107/TEU (APRIL); Only for destinations where FAF is </t>
    </r>
    <r>
      <rPr>
        <b/>
        <u/>
        <sz val="11"/>
        <color theme="0"/>
        <rFont val="Arial"/>
        <family val="2"/>
      </rPr>
      <t>not</t>
    </r>
    <r>
      <rPr>
        <b/>
        <sz val="11"/>
        <color theme="0"/>
        <rFont val="Arial"/>
        <family val="2"/>
      </rPr>
      <t xml:space="preserve"> included, please see above remarks.</t>
    </r>
  </si>
  <si>
    <t>TCP</t>
  </si>
  <si>
    <t>: EUR 50/UNIT ; there are destinations where TCP is included in Freight, please see above remarks.</t>
  </si>
  <si>
    <t>RRR</t>
  </si>
  <si>
    <t>: EUR 50/TEU; on all port connections involving NET2 &amp; NET (except for loading area UK &amp; Ireland).</t>
  </si>
  <si>
    <t xml:space="preserve">: subject to. EUR 46/TEU (APRIL);  for Intra Mediterranean (incl. Black Sea &amp; North Africa) - Dry cargo </t>
  </si>
  <si>
    <t xml:space="preserve">: subject to. EUR 74/TEU (APRIL);  for Mediterranean to Northwest Europe (incl. UK) - Dry cargo </t>
  </si>
  <si>
    <t>PCS (for Casablanca only)</t>
  </si>
  <si>
    <r>
      <t xml:space="preserve">: EUR 50/TEU ; all import cargoes to Casablanca with effect from June 1st, 2025 (sailing date). </t>
    </r>
    <r>
      <rPr>
        <b/>
        <u/>
        <sz val="11"/>
        <color theme="0"/>
        <rFont val="Arial"/>
        <family val="2"/>
      </rPr>
      <t>PCS Included in January tariff, please see above remarks.</t>
    </r>
  </si>
  <si>
    <t>ORS (for Casablanca only)</t>
  </si>
  <si>
    <t xml:space="preserve">: EUR 100/TEU ; all import cargoes to Casablanca with effect from February 15th, 2026 (sailing date). </t>
  </si>
  <si>
    <t>ECC (for Israel only)</t>
  </si>
  <si>
    <t>: EUR 300/TEU payment term: same as the ocean freight.</t>
  </si>
  <si>
    <t>WRS (destinations in Israel)</t>
  </si>
  <si>
    <t>: USD 100/TEU payment term: same as the ocean freight.</t>
  </si>
  <si>
    <t>ESG (for Mersin)</t>
  </si>
  <si>
    <t>: USD 6/UNIT payment term: same as the ocean freight.</t>
  </si>
  <si>
    <t>ESG (for Iskenderun (Limak))</t>
  </si>
  <si>
    <t>: USD 5/UNIT payment term: same as the ocean freight.</t>
  </si>
  <si>
    <t>TAC (for Mersin only)</t>
  </si>
  <si>
    <t>: USD 31.5/TEU payment term: same as the ocean freight.</t>
  </si>
  <si>
    <t>: EUR 75/TEU for Dry,  EUR 95/TEU for Reefer with effect from March 24 th ,2026 (sailing date) until further notice.</t>
  </si>
  <si>
    <t>IMO additionals for Intra-Europe</t>
  </si>
  <si>
    <t xml:space="preserve">* Any Intra-Europe Dangerous cargo booking is subject to final Export Department, Line Management, Transhipment Port (if any) and POD acceptance, and to general Dangerous policies of </t>
  </si>
  <si>
    <t xml:space="preserve">  DIAMOND Line GmbH and COSCO SHIPPING Lines, Ltd.</t>
  </si>
  <si>
    <t>* Subject to general DG policy and cargo working procedure.</t>
  </si>
  <si>
    <t>* Subject to final approval by all parties involved prior to booking.</t>
  </si>
  <si>
    <t>* DG surcharge applicable for IMO Class 3/ 6 / 8 / 9,  which are not mixed &amp; not listed in Carrier’s prohibition and restriction list, please check case by case.</t>
  </si>
  <si>
    <t>* For IMO Class not shown above &amp; mixed DG, please check case by case.</t>
  </si>
  <si>
    <t>* No IMO accepted in Reefer.</t>
  </si>
  <si>
    <t>* IMO shipments prohibited from/to port of ALGER, BARI.</t>
  </si>
  <si>
    <t>* IMO shipments Class 1 &amp; 2 prohibited to ISRAEL</t>
  </si>
  <si>
    <t>*Rate is subject to any charges relating directly as a result of the changing requirement of MARPOL 2020 will apply in addition to the quoted terms</t>
  </si>
  <si>
    <t xml:space="preserve"> BUC, FAF, GPC, NPC</t>
  </si>
  <si>
    <t xml:space="preserve"> BUC, FAF, GPC, , NPC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</si>
</sst>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USD]"/>
    <numFmt numFmtId="165" formatCode="#,##0\ [$EUR]"/>
    <numFmt numFmtId="166" formatCode="#,##0.00\ &quot;XDR&quot;"/>
    <numFmt numFmtId="167" formatCode="[$EUR]\ #,##0"/>
    <numFmt numFmtId="168" formatCode="_-[$$-409]* #,##0.00_ ;_-[$$-409]* \-#,##0.00\ ;_-[$$-409]* &quot;-&quot;??_ ;_-@_ "/>
    <numFmt numFmtId="169" formatCode="[$EUR]\ #,##0.00"/>
  </numFmts>
  <fonts count="117">
    <font>
      <sz val="11"/>
      <color theme="1"/>
      <name val="Calibri"/>
      <family val="2"/>
      <scheme val="minor"/>
    </font>
    <font>
      <sz val="11"/>
      <color theme="1"/>
      <name val="Arial"/>
      <family val="2"/>
    </font>
    <font>
      <sz val="8"/>
      <color theme="1"/>
      <name val="Arial"/>
      <family val="2"/>
    </font>
    <font>
      <b/>
      <sz val="8"/>
      <color theme="1"/>
      <name val="Arial"/>
      <family val="2"/>
    </font>
    <font>
      <b/>
      <sz val="9"/>
      <color theme="1"/>
      <name val="Arial"/>
      <family val="2"/>
    </font>
    <font>
      <b/>
      <sz val="8"/>
      <color theme="0"/>
      <name val="Arial"/>
      <family val="2"/>
    </font>
    <font>
      <sz val="10"/>
      <name val="Arial"/>
      <family val="2"/>
    </font>
    <font>
      <u/>
      <sz val="11"/>
      <color theme="10"/>
      <name val="Calibri"/>
      <family val="2"/>
      <scheme val="minor"/>
    </font>
    <font>
      <u/>
      <sz val="8"/>
      <color theme="10"/>
      <name val="Arial"/>
      <family val="2"/>
    </font>
    <font>
      <b/>
      <i/>
      <sz val="8"/>
      <color theme="1"/>
      <name val="Arial"/>
      <family val="2"/>
    </font>
    <font>
      <b/>
      <i/>
      <sz val="8"/>
      <color rgb="FFFF0000"/>
      <name val="Arial"/>
      <family val="2"/>
    </font>
    <font>
      <b/>
      <sz val="8"/>
      <color rgb="FFFF0000"/>
      <name val="Arial"/>
      <family val="2"/>
    </font>
    <font>
      <b/>
      <i/>
      <sz val="8"/>
      <color rgb="FFC00000"/>
      <name val="Arial"/>
      <family val="2"/>
    </font>
    <font>
      <sz val="8"/>
      <color rgb="FFFF0000"/>
      <name val="Arial"/>
      <family val="2"/>
    </font>
    <font>
      <sz val="8"/>
      <name val="Arial"/>
      <family val="2"/>
    </font>
    <font>
      <b/>
      <i/>
      <sz val="11"/>
      <color rgb="FFC00000"/>
      <name val="Arial"/>
      <family val="2"/>
    </font>
    <font>
      <b/>
      <sz val="8"/>
      <name val="Arial"/>
      <family val="2"/>
    </font>
    <font>
      <b/>
      <sz val="11"/>
      <color theme="1"/>
      <name val="Arial"/>
      <family val="2"/>
    </font>
    <font>
      <b/>
      <sz val="11"/>
      <color theme="0"/>
      <name val="Arial"/>
      <family val="2"/>
    </font>
    <font>
      <b/>
      <sz val="10"/>
      <color theme="0"/>
      <name val="Calibri"/>
      <family val="2"/>
      <scheme val="minor"/>
    </font>
    <font>
      <b/>
      <u/>
      <sz val="11"/>
      <color theme="1"/>
      <name val="Arial"/>
      <family val="2"/>
    </font>
    <font>
      <b/>
      <sz val="9"/>
      <color theme="0"/>
      <name val="Arial"/>
      <family val="2"/>
    </font>
    <font>
      <b/>
      <sz val="13"/>
      <color rgb="FF002060"/>
      <name val="Arial"/>
      <family val="2"/>
    </font>
    <font>
      <b/>
      <sz val="13"/>
      <color rgb="FF0070C0"/>
      <name val="Arial"/>
      <family val="2"/>
    </font>
    <font>
      <sz val="11"/>
      <color theme="1"/>
      <name val="Calibri"/>
      <family val="2"/>
      <charset val="134"/>
      <scheme val="minor"/>
    </font>
    <font>
      <sz val="12"/>
      <name val="宋体"/>
      <family val="3"/>
      <charset val="134"/>
    </font>
    <font>
      <b/>
      <sz val="15"/>
      <color theme="0"/>
      <name val="Arial"/>
      <family val="2"/>
    </font>
    <font>
      <sz val="11"/>
      <color theme="1"/>
      <name val="Calibri"/>
      <family val="2"/>
      <scheme val="minor"/>
    </font>
    <font>
      <sz val="11"/>
      <color rgb="FF9C0006"/>
      <name val="Calibri"/>
      <family val="2"/>
      <scheme val="minor"/>
    </font>
    <font>
      <sz val="11"/>
      <color rgb="FF006100"/>
      <name val="Calibri"/>
      <family val="2"/>
      <scheme val="minor"/>
    </font>
    <font>
      <b/>
      <i/>
      <sz val="12"/>
      <color rgb="FF002060"/>
      <name val="Arial"/>
      <family val="2"/>
    </font>
    <font>
      <i/>
      <sz val="8"/>
      <color rgb="FFC00000"/>
      <name val="Arial"/>
      <family val="2"/>
    </font>
    <font>
      <b/>
      <i/>
      <u/>
      <sz val="11"/>
      <color theme="10"/>
      <name val="Calibri"/>
      <family val="2"/>
      <scheme val="minor"/>
    </font>
    <font>
      <b/>
      <i/>
      <u/>
      <sz val="11"/>
      <name val="Calibri"/>
      <family val="2"/>
      <scheme val="minor"/>
    </font>
    <font>
      <b/>
      <i/>
      <sz val="8"/>
      <name val="Arial"/>
      <family val="2"/>
    </font>
    <font>
      <b/>
      <u/>
      <sz val="11"/>
      <color rgb="FF002060"/>
      <name val="Calibri"/>
      <family val="2"/>
      <scheme val="minor"/>
    </font>
    <font>
      <sz val="8"/>
      <color theme="0"/>
      <name val="Arial"/>
      <family val="2"/>
    </font>
    <font>
      <b/>
      <sz val="8"/>
      <color rgb="FFC00000"/>
      <name val="Arial"/>
      <family val="2"/>
    </font>
    <font>
      <sz val="8"/>
      <color rgb="FFC00000"/>
      <name val="Arial"/>
      <family val="2"/>
    </font>
    <font>
      <sz val="8"/>
      <color rgb="FF404040"/>
      <name val="Arial"/>
      <family val="2"/>
    </font>
    <font>
      <sz val="12"/>
      <color theme="1"/>
      <name val="Arial"/>
      <family val="2"/>
    </font>
    <font>
      <b/>
      <i/>
      <sz val="12"/>
      <color rgb="FFFF0000"/>
      <name val="Arial"/>
      <family val="2"/>
    </font>
    <font>
      <b/>
      <i/>
      <u/>
      <sz val="12"/>
      <color rgb="FF002060"/>
      <name val="Arial"/>
      <family val="2"/>
    </font>
    <font>
      <sz val="12"/>
      <color rgb="FF002060"/>
      <name val="Arial"/>
      <family val="2"/>
    </font>
    <font>
      <sz val="10"/>
      <color theme="1"/>
      <name val="Arial"/>
      <family val="2"/>
    </font>
    <font>
      <b/>
      <i/>
      <sz val="11"/>
      <name val="Arial"/>
      <family val="2"/>
    </font>
    <font>
      <b/>
      <sz val="10"/>
      <color theme="1"/>
      <name val="Arial"/>
      <family val="2"/>
    </font>
    <font>
      <b/>
      <sz val="10"/>
      <name val="Arial"/>
      <family val="2"/>
    </font>
    <font>
      <b/>
      <sz val="10"/>
      <color theme="0"/>
      <name val="Arial"/>
      <family val="2"/>
    </font>
    <font>
      <b/>
      <sz val="10"/>
      <color rgb="FFC00000"/>
      <name val="Arial"/>
      <family val="2"/>
    </font>
    <font>
      <b/>
      <u/>
      <sz val="10"/>
      <color theme="0"/>
      <name val="Arial"/>
      <family val="2"/>
    </font>
    <font>
      <sz val="10"/>
      <color rgb="FFC00000"/>
      <name val="Arial"/>
      <family val="2"/>
    </font>
    <font>
      <b/>
      <sz val="10"/>
      <color rgb="FFFF0000"/>
      <name val="Arial"/>
      <family val="2"/>
    </font>
    <font>
      <u/>
      <sz val="10"/>
      <name val="Arial"/>
      <family val="2"/>
    </font>
    <font>
      <sz val="10"/>
      <color rgb="FF404040"/>
      <name val="Arial"/>
      <family val="2"/>
    </font>
    <font>
      <b/>
      <sz val="10"/>
      <color rgb="FF404040"/>
      <name val="Arial"/>
      <family val="2"/>
    </font>
    <font>
      <u/>
      <sz val="10"/>
      <color theme="10"/>
      <name val="Arial"/>
      <family val="2"/>
    </font>
    <font>
      <b/>
      <u/>
      <sz val="10"/>
      <color rgb="FFFF0000"/>
      <name val="Arial"/>
      <family val="2"/>
    </font>
    <font>
      <sz val="10"/>
      <color theme="1"/>
      <name val="Calibri"/>
      <family val="2"/>
      <scheme val="minor"/>
    </font>
    <font>
      <sz val="10"/>
      <color rgb="FF000000"/>
      <name val="Arial"/>
      <family val="2"/>
    </font>
    <font>
      <sz val="10"/>
      <color theme="10"/>
      <name val="Arial"/>
      <family val="2"/>
    </font>
    <font>
      <u/>
      <sz val="10"/>
      <color rgb="FF0070C0"/>
      <name val="Arial"/>
      <family val="2"/>
    </font>
    <font>
      <b/>
      <sz val="10"/>
      <color rgb="FF000000"/>
      <name val="Arial"/>
      <family val="2"/>
    </font>
    <font>
      <b/>
      <u/>
      <sz val="10"/>
      <color theme="10"/>
      <name val="Arial"/>
      <family val="2"/>
    </font>
    <font>
      <b/>
      <sz val="10"/>
      <color indexed="8"/>
      <name val="Arial"/>
      <family val="2"/>
    </font>
    <font>
      <b/>
      <u/>
      <sz val="10"/>
      <color rgb="FF002060"/>
      <name val="Calibri"/>
      <family val="2"/>
      <scheme val="minor"/>
    </font>
    <font>
      <i/>
      <sz val="8"/>
      <color theme="1"/>
      <name val="Arial"/>
      <family val="2"/>
    </font>
    <font>
      <strike/>
      <sz val="8"/>
      <color rgb="FFC00000"/>
      <name val="Arial"/>
      <family val="2"/>
    </font>
    <font>
      <b/>
      <sz val="9"/>
      <name val="Arial"/>
      <family val="2"/>
    </font>
    <font>
      <b/>
      <sz val="9"/>
      <color rgb="FFC00000"/>
      <name val="Arial"/>
      <family val="2"/>
    </font>
    <font>
      <b/>
      <u/>
      <sz val="10"/>
      <name val="Arial"/>
      <family val="2"/>
    </font>
    <font>
      <sz val="10"/>
      <color rgb="FFFF0000"/>
      <name val="Arial"/>
      <family val="2"/>
    </font>
    <font>
      <b/>
      <u/>
      <sz val="11"/>
      <color theme="10"/>
      <name val="Calibri"/>
      <family val="2"/>
      <scheme val="minor"/>
    </font>
    <font>
      <b/>
      <i/>
      <sz val="10"/>
      <color theme="1"/>
      <name val="Arial"/>
      <family val="2"/>
    </font>
    <font>
      <i/>
      <sz val="10"/>
      <color theme="1"/>
      <name val="Arial"/>
      <family val="2"/>
    </font>
    <font>
      <u/>
      <sz val="8"/>
      <color theme="1"/>
      <name val="Arial"/>
      <family val="2"/>
    </font>
    <font>
      <b/>
      <u/>
      <sz val="8"/>
      <color theme="0"/>
      <name val="Arial"/>
      <family val="2"/>
    </font>
    <font>
      <b/>
      <sz val="11"/>
      <name val="Arial"/>
      <family val="2"/>
    </font>
    <font>
      <b/>
      <i/>
      <sz val="8"/>
      <color theme="1" tint="0.34998626667073579"/>
      <name val="Arial"/>
      <family val="2"/>
    </font>
    <font>
      <b/>
      <i/>
      <sz val="9"/>
      <color theme="1"/>
      <name val="Arial"/>
      <family val="2"/>
    </font>
    <font>
      <sz val="8"/>
      <color rgb="FF242424"/>
      <name val="Arial"/>
      <family val="2"/>
    </font>
    <font>
      <sz val="10"/>
      <color theme="0"/>
      <name val="Arial"/>
      <family val="2"/>
    </font>
    <font>
      <u/>
      <sz val="8"/>
      <name val="Arial"/>
      <family val="2"/>
    </font>
    <font>
      <u/>
      <sz val="10"/>
      <name val="Calibri"/>
      <family val="2"/>
      <scheme val="minor"/>
    </font>
    <font>
      <b/>
      <u/>
      <sz val="11"/>
      <color theme="0"/>
      <name val="Calibri"/>
      <family val="2"/>
      <scheme val="minor"/>
    </font>
    <font>
      <sz val="8"/>
      <color theme="1"/>
      <name val="Calibri"/>
      <family val="2"/>
      <scheme val="minor"/>
    </font>
    <font>
      <b/>
      <u/>
      <sz val="8"/>
      <color rgb="FFFF0000"/>
      <name val="Arial"/>
      <family val="2"/>
    </font>
    <font>
      <sz val="8"/>
      <color rgb="FF000000"/>
      <name val="Arial"/>
      <family val="2"/>
    </font>
    <font>
      <sz val="8"/>
      <color theme="10"/>
      <name val="Arial"/>
      <family val="2"/>
    </font>
    <font>
      <u/>
      <sz val="8"/>
      <color rgb="FF0070C0"/>
      <name val="Arial"/>
      <family val="2"/>
    </font>
    <font>
      <b/>
      <sz val="8"/>
      <color rgb="FF000000"/>
      <name val="Arial"/>
      <family val="2"/>
    </font>
    <font>
      <b/>
      <u/>
      <sz val="8"/>
      <color theme="10"/>
      <name val="Arial"/>
      <family val="2"/>
    </font>
    <font>
      <b/>
      <sz val="8"/>
      <color indexed="8"/>
      <name val="Arial"/>
      <family val="2"/>
    </font>
    <font>
      <b/>
      <sz val="16"/>
      <color rgb="FF00B050"/>
      <name val="Calibri"/>
      <family val="2"/>
      <scheme val="minor"/>
    </font>
    <font>
      <b/>
      <sz val="16"/>
      <name val="Calibri"/>
      <family val="2"/>
      <scheme val="minor"/>
    </font>
    <font>
      <b/>
      <sz val="9"/>
      <color rgb="FFFF0000"/>
      <name val="Arial"/>
      <family val="2"/>
    </font>
    <font>
      <b/>
      <sz val="11"/>
      <color theme="0"/>
      <name val="Calibri"/>
      <family val="2"/>
      <scheme val="minor"/>
    </font>
    <font>
      <sz val="11"/>
      <color rgb="FFFF0000"/>
      <name val="Calibri"/>
      <family val="2"/>
      <scheme val="minor"/>
    </font>
    <font>
      <sz val="11"/>
      <color theme="1"/>
      <name val="Calibri"/>
      <family val="2"/>
    </font>
    <font>
      <b/>
      <sz val="12"/>
      <color theme="0"/>
      <name val="Arial"/>
      <family val="2"/>
    </font>
    <font>
      <b/>
      <u/>
      <sz val="12"/>
      <color theme="0"/>
      <name val="Arial"/>
      <family val="2"/>
    </font>
    <font>
      <b/>
      <sz val="11"/>
      <color rgb="FFC00000"/>
      <name val="Arial"/>
      <family val="2"/>
    </font>
    <font>
      <sz val="11"/>
      <color rgb="FFC00000"/>
      <name val="Arial"/>
      <family val="2"/>
    </font>
    <font>
      <sz val="9"/>
      <color theme="1"/>
      <name val="Arial"/>
      <family val="2"/>
    </font>
    <font>
      <b/>
      <u/>
      <sz val="11"/>
      <color theme="0"/>
      <name val="Arial"/>
      <family val="2"/>
    </font>
    <font>
      <sz val="11"/>
      <name val="Arial"/>
      <family val="2"/>
    </font>
    <font>
      <sz val="11"/>
      <name val="Calibri"/>
      <family val="2"/>
      <scheme val="minor"/>
    </font>
    <font>
      <sz val="11"/>
      <color rgb="FFFF0000"/>
      <name val="Arial"/>
      <family val="2"/>
    </font>
    <font>
      <u/>
      <sz val="11"/>
      <color theme="10"/>
      <name val="Arial"/>
      <family val="2"/>
    </font>
    <font>
      <b/>
      <sz val="11"/>
      <color theme="1"/>
      <name val="Calibri"/>
      <family val="2"/>
    </font>
    <font>
      <b/>
      <u/>
      <sz val="10.5"/>
      <color rgb="FF00B050"/>
      <name val="Calibri"/>
      <family val="2"/>
      <scheme val="minor"/>
    </font>
    <font>
      <sz val="11"/>
      <color rgb="FF000000"/>
      <name val="Calibri"/>
      <family val="2"/>
      <scheme val="minor"/>
    </font>
    <font>
      <b/>
      <u/>
      <sz val="11"/>
      <color rgb="FF00B050"/>
      <name val="Calibri"/>
      <family val="2"/>
      <scheme val="minor"/>
    </font>
    <font>
      <u/>
      <sz val="11"/>
      <color rgb="FF0563C1"/>
      <name val="Calibri"/>
      <family val="2"/>
      <scheme val="minor"/>
    </font>
    <font>
      <b/>
      <sz val="11"/>
      <name val="Calibri"/>
      <family val="2"/>
      <scheme val="minor"/>
    </font>
    <font>
      <b/>
      <sz val="11"/>
      <color rgb="FFFF0000"/>
      <name val="Calibri"/>
      <family val="2"/>
      <scheme val="minor"/>
    </font>
    <font>
      <b/>
      <sz val="12"/>
      <name val="Arial"/>
      <family val="2"/>
    </font>
  </fonts>
  <fills count="38">
    <fill>
      <patternFill patternType="none"/>
    </fill>
    <fill>
      <patternFill patternType="gray125"/>
    </fill>
    <fill>
      <patternFill patternType="solid">
        <fgColor theme="0"/>
        <bgColor theme="0"/>
      </patternFill>
    </fill>
    <fill>
      <patternFill patternType="solid">
        <fgColor indexed="65"/>
        <bgColor theme="0"/>
      </patternFill>
    </fill>
    <fill>
      <patternFill patternType="solid">
        <fgColor theme="0"/>
        <bgColor indexed="64"/>
      </patternFill>
    </fill>
    <fill>
      <patternFill patternType="solid">
        <fgColor theme="8" tint="-0.499984740745262"/>
        <bgColor auto="1"/>
      </patternFill>
    </fill>
    <fill>
      <patternFill patternType="solid">
        <fgColor theme="8" tint="-0.499984740745262"/>
        <bgColor indexed="64"/>
      </patternFill>
    </fill>
    <fill>
      <patternFill patternType="solid">
        <fgColor rgb="FF99CCFF"/>
        <bgColor theme="0"/>
      </patternFill>
    </fill>
    <fill>
      <patternFill patternType="solid">
        <fgColor rgb="FFDDDDDD"/>
        <bgColor theme="0"/>
      </patternFill>
    </fill>
    <fill>
      <patternFill patternType="solid">
        <fgColor rgb="FFEAEAEA"/>
        <bgColor theme="0"/>
      </patternFill>
    </fill>
    <fill>
      <patternFill patternType="solid">
        <fgColor theme="4" tint="-0.249977111117893"/>
        <bgColor theme="0"/>
      </patternFill>
    </fill>
    <fill>
      <patternFill patternType="solid">
        <fgColor rgb="FFC6EFCE"/>
      </patternFill>
    </fill>
    <fill>
      <patternFill patternType="solid">
        <fgColor rgb="FFFFC7CE"/>
      </patternFill>
    </fill>
    <fill>
      <patternFill patternType="solid">
        <fgColor theme="8" tint="0.79998168889431442"/>
        <bgColor indexed="65"/>
      </patternFill>
    </fill>
    <fill>
      <patternFill patternType="solid">
        <fgColor theme="4" tint="0.79998168889431442"/>
        <bgColor theme="0"/>
      </patternFill>
    </fill>
    <fill>
      <patternFill patternType="solid">
        <fgColor rgb="FF002060"/>
        <bgColor auto="1"/>
      </patternFill>
    </fill>
    <fill>
      <patternFill patternType="solid">
        <fgColor rgb="FF002060"/>
        <bgColor indexed="64"/>
      </patternFill>
    </fill>
    <fill>
      <patternFill patternType="solid">
        <fgColor theme="0" tint="-0.14999847407452621"/>
        <bgColor indexed="64"/>
      </patternFill>
    </fill>
    <fill>
      <patternFill patternType="solid">
        <fgColor theme="7" tint="0.59999389629810485"/>
        <bgColor theme="0"/>
      </patternFill>
    </fill>
    <fill>
      <patternFill patternType="solid">
        <fgColor theme="4" tint="-0.249977111117893"/>
        <bgColor indexed="64"/>
      </patternFill>
    </fill>
    <fill>
      <patternFill patternType="solid">
        <fgColor rgb="FF0070C0"/>
        <bgColor indexed="64"/>
      </patternFill>
    </fill>
    <fill>
      <patternFill patternType="solid">
        <fgColor theme="9" tint="0.79998168889431442"/>
        <bgColor theme="0"/>
      </patternFill>
    </fill>
    <fill>
      <patternFill patternType="solid">
        <fgColor theme="3" tint="0.79998168889431442"/>
        <bgColor theme="0"/>
      </patternFill>
    </fill>
    <fill>
      <patternFill patternType="solid">
        <fgColor theme="3" tint="0.79998168889431442"/>
        <bgColor indexed="64"/>
      </patternFill>
    </fill>
    <fill>
      <patternFill patternType="solid">
        <fgColor auto="1"/>
        <bgColor theme="0"/>
      </patternFill>
    </fill>
    <fill>
      <patternFill patternType="solid">
        <fgColor rgb="FFFFFF00"/>
        <bgColor theme="0"/>
      </patternFill>
    </fill>
    <fill>
      <patternFill patternType="solid">
        <fgColor theme="8" tint="-0.499984740745262"/>
        <bgColor theme="0"/>
      </patternFill>
    </fill>
    <fill>
      <patternFill patternType="solid">
        <fgColor theme="8" tint="0.79998168889431442"/>
        <bgColor indexed="64"/>
      </patternFill>
    </fill>
    <fill>
      <patternFill patternType="solid">
        <fgColor rgb="FF002060"/>
        <bgColor theme="0"/>
      </patternFill>
    </fill>
    <fill>
      <patternFill patternType="solid">
        <fgColor rgb="FFD6DCE4"/>
        <bgColor rgb="FFFFFFFF"/>
      </patternFill>
    </fill>
    <fill>
      <patternFill patternType="solid">
        <fgColor theme="4" tint="0.79998168889431442"/>
        <bgColor indexed="64"/>
      </patternFill>
    </fill>
    <fill>
      <patternFill patternType="solid">
        <fgColor theme="4"/>
        <bgColor indexed="64"/>
      </patternFill>
    </fill>
    <fill>
      <patternFill patternType="solid">
        <fgColor rgb="FF3399FF"/>
        <bgColor indexed="64"/>
      </patternFill>
    </fill>
    <fill>
      <patternFill patternType="solid">
        <fgColor theme="4"/>
        <bgColor theme="0"/>
      </patternFill>
    </fill>
    <fill>
      <patternFill patternType="solid">
        <fgColor rgb="FFFFFFFF"/>
        <bgColor rgb="FF000000"/>
      </patternFill>
    </fill>
    <fill>
      <patternFill patternType="solid">
        <fgColor indexed="65"/>
        <bgColor rgb="FFFFFFFF"/>
      </patternFill>
    </fill>
    <fill>
      <patternFill patternType="solid">
        <fgColor theme="7" tint="0.59999389629810485"/>
        <bgColor indexed="64"/>
      </patternFill>
    </fill>
    <fill>
      <patternFill patternType="solid">
        <fgColor rgb="FFFFFF00"/>
        <bgColor indexed="64"/>
      </patternFill>
    </fill>
  </fills>
  <borders count="3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medium">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4">
    <xf numFmtId="0" fontId="0" fillId="0" borderId="0"/>
    <xf numFmtId="0" fontId="6" fillId="0" borderId="0"/>
    <xf numFmtId="0" fontId="7" fillId="0" borderId="0" applyNumberFormat="0" applyFill="0" applyBorder="0" applyAlignment="0" applyProtection="0"/>
    <xf numFmtId="0" fontId="24" fillId="0" borderId="0">
      <alignment vertical="center"/>
    </xf>
    <xf numFmtId="0" fontId="6" fillId="0" borderId="0"/>
    <xf numFmtId="0" fontId="25" fillId="0" borderId="0"/>
    <xf numFmtId="0" fontId="27" fillId="13" borderId="0" applyNumberFormat="0" applyBorder="0" applyAlignment="0" applyProtection="0"/>
    <xf numFmtId="0" fontId="28" fillId="12" borderId="0" applyNumberFormat="0" applyBorder="0" applyAlignment="0" applyProtection="0"/>
    <xf numFmtId="0" fontId="29" fillId="11" borderId="0" applyNumberFormat="0" applyBorder="0" applyAlignment="0" applyProtection="0"/>
    <xf numFmtId="0" fontId="1" fillId="0" borderId="0"/>
    <xf numFmtId="0" fontId="27" fillId="0" borderId="0"/>
    <xf numFmtId="0" fontId="6" fillId="0" borderId="0"/>
    <xf numFmtId="0" fontId="6" fillId="0" borderId="0"/>
    <xf numFmtId="0" fontId="27" fillId="0" borderId="0"/>
  </cellStyleXfs>
  <cellXfs count="581">
    <xf numFmtId="0" fontId="0" fillId="0" borderId="0" xfId="0"/>
    <xf numFmtId="0" fontId="2" fillId="2" borderId="0" xfId="0" applyFont="1" applyFill="1" applyAlignment="1">
      <alignment vertical="center"/>
    </xf>
    <xf numFmtId="0" fontId="2" fillId="3" borderId="0" xfId="0" applyFont="1" applyFill="1" applyAlignment="1">
      <alignment vertical="center"/>
    </xf>
    <xf numFmtId="0" fontId="2" fillId="3" borderId="0" xfId="0" applyFont="1" applyFill="1"/>
    <xf numFmtId="0" fontId="2" fillId="2" borderId="0" xfId="0" applyFont="1" applyFill="1" applyAlignment="1">
      <alignment horizontal="left" vertical="center" wrapText="1"/>
    </xf>
    <xf numFmtId="0" fontId="2" fillId="2" borderId="0" xfId="0" applyFont="1" applyFill="1" applyAlignment="1">
      <alignment vertical="center" wrapText="1"/>
    </xf>
    <xf numFmtId="0" fontId="2" fillId="2" borderId="0" xfId="0" applyFont="1" applyFill="1" applyAlignment="1">
      <alignment horizontal="left" vertical="center"/>
    </xf>
    <xf numFmtId="49" fontId="2" fillId="2" borderId="0" xfId="1" applyNumberFormat="1" applyFont="1" applyFill="1" applyAlignment="1">
      <alignment vertical="center" wrapText="1"/>
    </xf>
    <xf numFmtId="49" fontId="8" fillId="2" borderId="0" xfId="2" applyNumberFormat="1" applyFont="1" applyFill="1" applyBorder="1" applyAlignment="1" applyProtection="1">
      <alignment horizontal="left" vertical="center" wrapText="1"/>
    </xf>
    <xf numFmtId="49" fontId="2" fillId="2" borderId="0" xfId="1" applyNumberFormat="1" applyFont="1" applyFill="1" applyAlignment="1">
      <alignment horizontal="left" vertical="center" wrapText="1"/>
    </xf>
    <xf numFmtId="0" fontId="2" fillId="3" borderId="0" xfId="0" applyFont="1" applyFill="1" applyAlignment="1">
      <alignment horizontal="center" vertical="center"/>
    </xf>
    <xf numFmtId="0" fontId="9" fillId="3" borderId="0" xfId="0" applyFont="1" applyFill="1" applyAlignment="1">
      <alignment horizontal="center" vertical="center" wrapText="1"/>
    </xf>
    <xf numFmtId="0" fontId="2" fillId="0" borderId="0" xfId="0" applyFont="1" applyAlignment="1">
      <alignment vertical="center"/>
    </xf>
    <xf numFmtId="0" fontId="10" fillId="3" borderId="0" xfId="0" applyFont="1" applyFill="1" applyAlignment="1">
      <alignment horizontal="center" vertical="center"/>
    </xf>
    <xf numFmtId="0" fontId="12" fillId="3" borderId="0" xfId="0" applyFont="1" applyFill="1" applyAlignment="1">
      <alignment vertical="center"/>
    </xf>
    <xf numFmtId="0" fontId="12" fillId="3" borderId="0" xfId="0" applyFont="1" applyFill="1" applyAlignment="1">
      <alignment horizontal="center" vertical="center"/>
    </xf>
    <xf numFmtId="49" fontId="2" fillId="2" borderId="0" xfId="1" applyNumberFormat="1" applyFont="1" applyFill="1" applyAlignment="1">
      <alignment horizontal="right" vertical="center" wrapText="1"/>
    </xf>
    <xf numFmtId="0" fontId="2" fillId="4" borderId="0" xfId="0" applyFont="1" applyFill="1" applyAlignment="1">
      <alignment vertical="center"/>
    </xf>
    <xf numFmtId="0" fontId="2" fillId="3" borderId="0" xfId="0" applyFont="1" applyFill="1" applyAlignment="1">
      <alignment horizontal="left" vertical="center"/>
    </xf>
    <xf numFmtId="0" fontId="2" fillId="0" borderId="0" xfId="0" applyFont="1"/>
    <xf numFmtId="0" fontId="0" fillId="4" borderId="0" xfId="0" applyFill="1"/>
    <xf numFmtId="0" fontId="10" fillId="2" borderId="0" xfId="0" applyFont="1" applyFill="1" applyAlignment="1">
      <alignment horizontal="center" vertical="center"/>
    </xf>
    <xf numFmtId="0" fontId="12" fillId="2" borderId="0" xfId="0" applyFont="1" applyFill="1" applyAlignment="1">
      <alignment vertical="center"/>
    </xf>
    <xf numFmtId="0" fontId="15" fillId="3" borderId="0" xfId="0" applyFont="1" applyFill="1" applyAlignment="1">
      <alignment vertical="center"/>
    </xf>
    <xf numFmtId="0" fontId="2" fillId="2" borderId="0" xfId="0" applyFont="1" applyFill="1" applyAlignment="1">
      <alignment horizontal="center" vertical="center"/>
    </xf>
    <xf numFmtId="49" fontId="2" fillId="2" borderId="0" xfId="1" applyNumberFormat="1" applyFont="1" applyFill="1" applyAlignment="1">
      <alignment horizontal="center" vertical="center" wrapText="1"/>
    </xf>
    <xf numFmtId="0" fontId="3" fillId="3" borderId="0" xfId="0" applyFont="1" applyFill="1" applyAlignment="1">
      <alignment horizontal="left" vertical="center"/>
    </xf>
    <xf numFmtId="0" fontId="20" fillId="2" borderId="0" xfId="0" applyFont="1" applyFill="1" applyAlignment="1">
      <alignment horizontal="left" vertical="center"/>
    </xf>
    <xf numFmtId="0" fontId="17" fillId="2" borderId="0" xfId="0" applyFont="1" applyFill="1" applyAlignment="1">
      <alignment horizontal="center" vertical="center"/>
    </xf>
    <xf numFmtId="0" fontId="14" fillId="0" borderId="0" xfId="0" applyFont="1" applyAlignment="1">
      <alignment vertical="center"/>
    </xf>
    <xf numFmtId="0" fontId="7" fillId="0" borderId="0" xfId="2" applyBorder="1" applyAlignment="1">
      <alignment vertical="center"/>
    </xf>
    <xf numFmtId="0" fontId="30" fillId="3" borderId="0" xfId="0" applyFont="1" applyFill="1" applyAlignment="1">
      <alignment vertical="center"/>
    </xf>
    <xf numFmtId="0" fontId="30" fillId="2" borderId="0" xfId="0" applyFont="1" applyFill="1" applyAlignment="1">
      <alignment vertical="center"/>
    </xf>
    <xf numFmtId="0" fontId="30" fillId="3" borderId="0" xfId="0" applyFont="1" applyFill="1" applyAlignment="1">
      <alignment horizontal="center" vertical="center"/>
    </xf>
    <xf numFmtId="0" fontId="15" fillId="2" borderId="0" xfId="0" applyFont="1" applyFill="1" applyAlignment="1">
      <alignment vertical="center"/>
    </xf>
    <xf numFmtId="0" fontId="31" fillId="2" borderId="0" xfId="0" applyFont="1" applyFill="1" applyAlignment="1">
      <alignment vertical="center"/>
    </xf>
    <xf numFmtId="0" fontId="32" fillId="0" borderId="0" xfId="2" applyFont="1" applyBorder="1" applyAlignment="1">
      <alignment vertical="center"/>
    </xf>
    <xf numFmtId="0" fontId="33" fillId="0" borderId="0" xfId="2" applyFont="1" applyBorder="1" applyAlignment="1">
      <alignment vertical="center"/>
    </xf>
    <xf numFmtId="0" fontId="34" fillId="2" borderId="0" xfId="0" applyFont="1" applyFill="1" applyAlignment="1">
      <alignment vertical="center"/>
    </xf>
    <xf numFmtId="0" fontId="2" fillId="14" borderId="0" xfId="0" applyFont="1" applyFill="1" applyAlignment="1">
      <alignment horizontal="center" vertical="center" wrapText="1"/>
    </xf>
    <xf numFmtId="4" fontId="2" fillId="14" borderId="0" xfId="0" applyNumberFormat="1" applyFont="1" applyFill="1" applyAlignment="1">
      <alignment horizontal="center" vertical="center" wrapText="1"/>
    </xf>
    <xf numFmtId="49" fontId="2" fillId="14" borderId="0" xfId="1" applyNumberFormat="1" applyFont="1" applyFill="1" applyAlignment="1">
      <alignment horizontal="center" vertical="center" wrapText="1"/>
    </xf>
    <xf numFmtId="0" fontId="19" fillId="6" borderId="11" xfId="0" applyFont="1" applyFill="1" applyBorder="1" applyAlignment="1">
      <alignment horizontal="center" vertical="center"/>
    </xf>
    <xf numFmtId="0" fontId="19" fillId="6" borderId="7" xfId="0" applyFont="1" applyFill="1" applyBorder="1" applyAlignment="1">
      <alignment horizontal="center" vertical="center"/>
    </xf>
    <xf numFmtId="0" fontId="19" fillId="6" borderId="8" xfId="0" applyFont="1" applyFill="1" applyBorder="1" applyAlignment="1">
      <alignment horizontal="center" vertical="center"/>
    </xf>
    <xf numFmtId="0" fontId="19" fillId="6" borderId="9" xfId="0" applyFont="1" applyFill="1" applyBorder="1" applyAlignment="1">
      <alignment horizontal="center" vertical="center"/>
    </xf>
    <xf numFmtId="164" fontId="2" fillId="14" borderId="0" xfId="0" applyNumberFormat="1" applyFont="1" applyFill="1" applyAlignment="1">
      <alignment horizontal="center" vertical="center" wrapText="1"/>
    </xf>
    <xf numFmtId="0" fontId="35" fillId="3" borderId="0" xfId="2" applyFont="1" applyFill="1" applyAlignment="1">
      <alignment vertical="center"/>
    </xf>
    <xf numFmtId="0" fontId="36" fillId="0" borderId="0" xfId="0" applyFont="1" applyAlignment="1">
      <alignment horizontal="center"/>
    </xf>
    <xf numFmtId="0" fontId="36" fillId="15" borderId="0" xfId="0" applyFont="1" applyFill="1" applyAlignment="1">
      <alignment horizontal="center" vertical="center" wrapText="1"/>
    </xf>
    <xf numFmtId="0" fontId="36" fillId="15" borderId="0" xfId="0" applyFont="1" applyFill="1" applyAlignment="1">
      <alignment vertical="center"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3" fontId="13" fillId="0" borderId="0" xfId="0" applyNumberFormat="1" applyFont="1" applyAlignment="1">
      <alignment horizontal="center" vertical="center" wrapText="1"/>
    </xf>
    <xf numFmtId="0" fontId="36" fillId="16" borderId="0" xfId="0" applyFont="1" applyFill="1" applyAlignment="1">
      <alignment horizontal="center" vertical="center" wrapText="1"/>
    </xf>
    <xf numFmtId="165" fontId="2" fillId="14" borderId="0" xfId="0" applyNumberFormat="1" applyFont="1" applyFill="1" applyAlignment="1">
      <alignment horizontal="center" vertical="center" wrapText="1"/>
    </xf>
    <xf numFmtId="0" fontId="19" fillId="4" borderId="0" xfId="0" applyFont="1" applyFill="1" applyAlignment="1">
      <alignment horizontal="center" vertical="center" wrapText="1"/>
    </xf>
    <xf numFmtId="49" fontId="14" fillId="2" borderId="0" xfId="1" applyNumberFormat="1" applyFont="1" applyFill="1" applyAlignment="1">
      <alignment horizontal="center" vertical="center" wrapText="1"/>
    </xf>
    <xf numFmtId="0" fontId="2" fillId="2" borderId="0" xfId="0" applyFont="1" applyFill="1" applyAlignment="1">
      <alignment horizontal="center" vertical="center" wrapText="1"/>
    </xf>
    <xf numFmtId="4" fontId="2" fillId="2" borderId="0" xfId="0" applyNumberFormat="1" applyFont="1" applyFill="1" applyAlignment="1">
      <alignment horizontal="center" vertical="center" wrapText="1"/>
    </xf>
    <xf numFmtId="49" fontId="2" fillId="4" borderId="0" xfId="1" applyNumberFormat="1" applyFont="1" applyFill="1" applyAlignment="1">
      <alignment horizontal="right" vertical="center" wrapText="1"/>
    </xf>
    <xf numFmtId="164" fontId="2" fillId="2" borderId="0" xfId="0" applyNumberFormat="1" applyFont="1" applyFill="1" applyAlignment="1">
      <alignment horizontal="center" vertical="center"/>
    </xf>
    <xf numFmtId="0" fontId="2" fillId="4" borderId="0" xfId="0" applyFont="1" applyFill="1" applyAlignment="1">
      <alignment horizontal="center" vertical="center"/>
    </xf>
    <xf numFmtId="49" fontId="2" fillId="4" borderId="0" xfId="1" applyNumberFormat="1" applyFont="1" applyFill="1" applyAlignment="1">
      <alignment horizontal="center" vertical="center" wrapText="1"/>
    </xf>
    <xf numFmtId="0" fontId="36" fillId="17" borderId="0" xfId="0" applyFont="1" applyFill="1" applyAlignment="1">
      <alignment horizontal="center"/>
    </xf>
    <xf numFmtId="0" fontId="11" fillId="3" borderId="0" xfId="0" applyFont="1" applyFill="1" applyAlignment="1">
      <alignment horizontal="left" vertical="center"/>
    </xf>
    <xf numFmtId="0" fontId="14" fillId="0" borderId="0" xfId="0" applyFont="1"/>
    <xf numFmtId="0" fontId="38" fillId="3" borderId="0" xfId="0" applyFont="1" applyFill="1" applyAlignment="1">
      <alignment horizontal="center" vertical="center"/>
    </xf>
    <xf numFmtId="0" fontId="2" fillId="3" borderId="0" xfId="0" applyFont="1" applyFill="1" applyAlignment="1">
      <alignment horizontal="left"/>
    </xf>
    <xf numFmtId="0" fontId="16" fillId="0" borderId="0" xfId="0" applyFont="1"/>
    <xf numFmtId="0" fontId="14" fillId="0" borderId="0" xfId="0" applyFont="1" applyAlignment="1">
      <alignment horizontal="center"/>
    </xf>
    <xf numFmtId="0" fontId="2" fillId="2" borderId="0" xfId="0" applyFont="1" applyFill="1"/>
    <xf numFmtId="0" fontId="2" fillId="4" borderId="0" xfId="0" applyFont="1" applyFill="1"/>
    <xf numFmtId="0" fontId="11" fillId="0" borderId="0" xfId="0" applyFont="1"/>
    <xf numFmtId="0" fontId="11" fillId="0" borderId="0" xfId="11" applyFont="1" applyAlignment="1">
      <alignment horizontal="center" vertical="center"/>
    </xf>
    <xf numFmtId="0" fontId="39" fillId="0" borderId="0" xfId="0" applyFont="1" applyAlignment="1">
      <alignment vertical="center"/>
    </xf>
    <xf numFmtId="0" fontId="11" fillId="0" borderId="0" xfId="11" applyFont="1" applyAlignment="1">
      <alignment horizontal="left" vertical="top"/>
    </xf>
    <xf numFmtId="0" fontId="8" fillId="0" borderId="0" xfId="2" applyFont="1" applyBorder="1" applyAlignment="1" applyProtection="1">
      <alignment vertical="center"/>
    </xf>
    <xf numFmtId="0" fontId="36" fillId="0" borderId="0" xfId="0" applyFont="1" applyAlignment="1">
      <alignment horizontal="left" vertical="top"/>
    </xf>
    <xf numFmtId="0" fontId="3" fillId="2" borderId="0" xfId="0" applyFont="1" applyFill="1" applyAlignment="1">
      <alignment horizontal="left" vertical="center"/>
    </xf>
    <xf numFmtId="0" fontId="3" fillId="3" borderId="0" xfId="0" applyFont="1" applyFill="1" applyAlignment="1">
      <alignment horizontal="center" vertical="center"/>
    </xf>
    <xf numFmtId="0" fontId="19" fillId="4" borderId="0" xfId="0" applyFont="1" applyFill="1" applyAlignment="1">
      <alignment horizontal="center" vertical="center"/>
    </xf>
    <xf numFmtId="49" fontId="37" fillId="14" borderId="0" xfId="1" applyNumberFormat="1" applyFont="1" applyFill="1" applyAlignment="1">
      <alignment horizontal="center" vertical="center" wrapText="1"/>
    </xf>
    <xf numFmtId="49" fontId="4" fillId="2" borderId="0" xfId="1" applyNumberFormat="1" applyFont="1" applyFill="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xf>
    <xf numFmtId="0" fontId="19" fillId="6" borderId="12" xfId="0" applyFont="1" applyFill="1" applyBorder="1" applyAlignment="1">
      <alignment horizontal="center" vertical="center"/>
    </xf>
    <xf numFmtId="49" fontId="4" fillId="2" borderId="0" xfId="1" applyNumberFormat="1" applyFont="1" applyFill="1" applyAlignment="1">
      <alignment vertical="center" wrapText="1"/>
    </xf>
    <xf numFmtId="0" fontId="19" fillId="6" borderId="10" xfId="0" applyFont="1" applyFill="1" applyBorder="1" applyAlignment="1">
      <alignment horizontal="center" vertical="center"/>
    </xf>
    <xf numFmtId="0" fontId="40" fillId="0" borderId="0" xfId="0" applyFont="1" applyAlignment="1">
      <alignment vertical="center"/>
    </xf>
    <xf numFmtId="0" fontId="41" fillId="2" borderId="0" xfId="0" applyFont="1" applyFill="1" applyAlignment="1">
      <alignment horizontal="center" vertical="center"/>
    </xf>
    <xf numFmtId="0" fontId="42" fillId="0" borderId="0" xfId="2" applyFont="1" applyBorder="1" applyAlignment="1">
      <alignment vertical="center"/>
    </xf>
    <xf numFmtId="0" fontId="43" fillId="0" borderId="0" xfId="0" applyFont="1" applyAlignment="1">
      <alignment vertical="center"/>
    </xf>
    <xf numFmtId="0" fontId="2" fillId="0" borderId="0" xfId="0" applyFont="1" applyAlignment="1">
      <alignment horizontal="center" vertical="center"/>
    </xf>
    <xf numFmtId="0" fontId="19" fillId="6" borderId="0" xfId="0" applyFont="1" applyFill="1" applyAlignment="1">
      <alignment horizontal="center" vertical="center"/>
    </xf>
    <xf numFmtId="0" fontId="2" fillId="0" borderId="0" xfId="0" applyFont="1" applyAlignment="1">
      <alignment vertical="center" wrapText="1"/>
    </xf>
    <xf numFmtId="49" fontId="14" fillId="14" borderId="0" xfId="1" applyNumberFormat="1" applyFont="1" applyFill="1" applyAlignment="1">
      <alignment horizontal="center" vertical="center" wrapText="1"/>
    </xf>
    <xf numFmtId="49" fontId="2" fillId="0" borderId="0" xfId="1" applyNumberFormat="1" applyFont="1" applyAlignment="1">
      <alignment horizontal="right" vertical="center" wrapText="1"/>
    </xf>
    <xf numFmtId="164" fontId="2" fillId="14" borderId="0" xfId="0" applyNumberFormat="1" applyFont="1" applyFill="1" applyAlignment="1">
      <alignment horizontal="center" vertical="center"/>
    </xf>
    <xf numFmtId="49" fontId="2" fillId="0" borderId="0" xfId="1" applyNumberFormat="1" applyFont="1" applyAlignment="1">
      <alignment horizontal="center" vertical="center" wrapText="1"/>
    </xf>
    <xf numFmtId="166" fontId="2" fillId="14" borderId="0" xfId="0" applyNumberFormat="1" applyFont="1" applyFill="1" applyAlignment="1">
      <alignment horizontal="center" vertical="center" wrapText="1"/>
    </xf>
    <xf numFmtId="4" fontId="2" fillId="14" borderId="0" xfId="0" applyNumberFormat="1" applyFont="1" applyFill="1" applyAlignment="1">
      <alignment horizontal="center" vertical="center"/>
    </xf>
    <xf numFmtId="0" fontId="44" fillId="3" borderId="0" xfId="0" applyFont="1" applyFill="1" applyAlignment="1">
      <alignment horizontal="center" vertical="center"/>
    </xf>
    <xf numFmtId="0" fontId="45" fillId="3" borderId="13" xfId="0" applyFont="1" applyFill="1" applyBorder="1" applyAlignment="1">
      <alignment vertical="center"/>
    </xf>
    <xf numFmtId="0" fontId="2" fillId="3" borderId="13" xfId="0" applyFont="1" applyFill="1" applyBorder="1" applyAlignment="1">
      <alignment horizontal="center" vertical="center"/>
    </xf>
    <xf numFmtId="0" fontId="2" fillId="3" borderId="13" xfId="0" applyFont="1" applyFill="1" applyBorder="1" applyAlignment="1">
      <alignment horizontal="left" vertical="center"/>
    </xf>
    <xf numFmtId="0" fontId="2" fillId="2" borderId="13" xfId="0" applyFont="1" applyFill="1" applyBorder="1" applyAlignment="1">
      <alignment horizontal="center" vertical="center"/>
    </xf>
    <xf numFmtId="0" fontId="2" fillId="3" borderId="13" xfId="0" applyFont="1" applyFill="1" applyBorder="1" applyAlignment="1">
      <alignment vertical="center"/>
    </xf>
    <xf numFmtId="0" fontId="45" fillId="3" borderId="0" xfId="0" applyFont="1" applyFill="1" applyAlignment="1">
      <alignment vertical="center"/>
    </xf>
    <xf numFmtId="0" fontId="46" fillId="2" borderId="0" xfId="0" applyFont="1" applyFill="1" applyAlignment="1">
      <alignment horizontal="left" vertical="center"/>
    </xf>
    <xf numFmtId="0" fontId="4" fillId="2" borderId="0" xfId="0" applyFont="1" applyFill="1" applyAlignment="1">
      <alignment horizontal="left" vertical="center"/>
    </xf>
    <xf numFmtId="0" fontId="47" fillId="18" borderId="0" xfId="0" applyFont="1" applyFill="1" applyAlignment="1">
      <alignment vertical="center"/>
    </xf>
    <xf numFmtId="0" fontId="48" fillId="0" borderId="0" xfId="0" applyFont="1" applyAlignment="1">
      <alignment horizontal="left" vertical="center"/>
    </xf>
    <xf numFmtId="0" fontId="49" fillId="0" borderId="0" xfId="0" applyFont="1" applyAlignment="1">
      <alignment vertical="center"/>
    </xf>
    <xf numFmtId="0" fontId="50" fillId="0" borderId="0" xfId="0" applyFont="1"/>
    <xf numFmtId="0" fontId="48" fillId="10" borderId="0" xfId="0" applyFont="1" applyFill="1"/>
    <xf numFmtId="0" fontId="44" fillId="19" borderId="0" xfId="0" applyFont="1" applyFill="1" applyAlignment="1">
      <alignment vertical="center"/>
    </xf>
    <xf numFmtId="0" fontId="44" fillId="0" borderId="0" xfId="0" applyFont="1" applyAlignment="1">
      <alignment vertical="center"/>
    </xf>
    <xf numFmtId="0" fontId="17" fillId="3" borderId="0" xfId="0" applyFont="1" applyFill="1" applyAlignment="1">
      <alignment horizontal="left" vertical="center"/>
    </xf>
    <xf numFmtId="0" fontId="44" fillId="3" borderId="0" xfId="0" applyFont="1" applyFill="1" applyAlignment="1">
      <alignment horizontal="left" vertical="center"/>
    </xf>
    <xf numFmtId="0" fontId="51" fillId="3" borderId="0" xfId="0" applyFont="1" applyFill="1" applyAlignment="1">
      <alignment horizontal="center" vertical="center"/>
    </xf>
    <xf numFmtId="0" fontId="52" fillId="3" borderId="0" xfId="0" applyFont="1" applyFill="1" applyAlignment="1">
      <alignment horizontal="left" vertical="center"/>
    </xf>
    <xf numFmtId="0" fontId="52" fillId="3" borderId="0" xfId="0" applyFont="1" applyFill="1" applyAlignment="1">
      <alignment horizontal="center" vertical="center"/>
    </xf>
    <xf numFmtId="0" fontId="44" fillId="3" borderId="0" xfId="0" applyFont="1" applyFill="1" applyAlignment="1">
      <alignment horizontal="left"/>
    </xf>
    <xf numFmtId="0" fontId="44" fillId="2" borderId="0" xfId="0" applyFont="1" applyFill="1" applyAlignment="1">
      <alignment horizontal="left" vertical="center"/>
    </xf>
    <xf numFmtId="0" fontId="6" fillId="0" borderId="0" xfId="0" applyFont="1" applyAlignment="1">
      <alignment horizontal="center"/>
    </xf>
    <xf numFmtId="0" fontId="52" fillId="0" borderId="0" xfId="0" applyFont="1"/>
    <xf numFmtId="0" fontId="47" fillId="0" borderId="0" xfId="0" applyFont="1"/>
    <xf numFmtId="0" fontId="6" fillId="0" borderId="0" xfId="0" applyFont="1"/>
    <xf numFmtId="0" fontId="54" fillId="0" borderId="0" xfId="0" applyFont="1" applyAlignment="1">
      <alignment vertical="center"/>
    </xf>
    <xf numFmtId="0" fontId="56" fillId="0" borderId="0" xfId="2" applyFont="1" applyBorder="1" applyAlignment="1" applyProtection="1">
      <alignment vertical="center"/>
    </xf>
    <xf numFmtId="0" fontId="6" fillId="0" borderId="0" xfId="0" applyFont="1" applyAlignment="1">
      <alignment vertical="center"/>
    </xf>
    <xf numFmtId="0" fontId="46" fillId="2" borderId="14" xfId="0" applyFont="1" applyFill="1" applyBorder="1" applyAlignment="1">
      <alignment horizontal="left" vertical="center"/>
    </xf>
    <xf numFmtId="0" fontId="46" fillId="2" borderId="15" xfId="0" applyFont="1" applyFill="1" applyBorder="1" applyAlignment="1">
      <alignment horizontal="left" vertical="center"/>
    </xf>
    <xf numFmtId="0" fontId="44" fillId="0" borderId="15" xfId="0" applyFont="1" applyBorder="1" applyAlignment="1">
      <alignment vertical="center"/>
    </xf>
    <xf numFmtId="0" fontId="44" fillId="0" borderId="16" xfId="0" applyFont="1" applyBorder="1" applyAlignment="1">
      <alignment vertical="center"/>
    </xf>
    <xf numFmtId="0" fontId="46" fillId="2" borderId="17" xfId="0" applyFont="1" applyFill="1" applyBorder="1" applyAlignment="1">
      <alignment horizontal="left" vertical="center"/>
    </xf>
    <xf numFmtId="0" fontId="44" fillId="3" borderId="18" xfId="0" applyFont="1" applyFill="1" applyBorder="1" applyAlignment="1">
      <alignment horizontal="center" vertical="center"/>
    </xf>
    <xf numFmtId="0" fontId="46" fillId="3" borderId="0" xfId="0" applyFont="1" applyFill="1" applyAlignment="1">
      <alignment horizontal="center" vertical="center"/>
    </xf>
    <xf numFmtId="0" fontId="46" fillId="2" borderId="17" xfId="0" applyFont="1" applyFill="1" applyBorder="1" applyAlignment="1">
      <alignment horizontal="left"/>
    </xf>
    <xf numFmtId="0" fontId="46" fillId="2" borderId="19" xfId="0" applyFont="1" applyFill="1" applyBorder="1" applyAlignment="1">
      <alignment horizontal="left" vertical="center"/>
    </xf>
    <xf numFmtId="0" fontId="46" fillId="2" borderId="20" xfId="0" applyFont="1" applyFill="1" applyBorder="1" applyAlignment="1">
      <alignment horizontal="left" vertical="center"/>
    </xf>
    <xf numFmtId="0" fontId="46" fillId="3" borderId="20" xfId="0" applyFont="1" applyFill="1" applyBorder="1" applyAlignment="1">
      <alignment horizontal="center" vertical="center"/>
    </xf>
    <xf numFmtId="0" fontId="44" fillId="3" borderId="20" xfId="0" applyFont="1" applyFill="1" applyBorder="1" applyAlignment="1">
      <alignment horizontal="center" vertical="center"/>
    </xf>
    <xf numFmtId="0" fontId="44" fillId="3" borderId="21" xfId="0" applyFont="1" applyFill="1" applyBorder="1" applyAlignment="1">
      <alignment horizontal="center" vertical="center"/>
    </xf>
    <xf numFmtId="0" fontId="6" fillId="0" borderId="0" xfId="0" applyFont="1" applyAlignment="1">
      <alignment horizontal="left"/>
    </xf>
    <xf numFmtId="0" fontId="56" fillId="0" borderId="0" xfId="2" applyFont="1" applyBorder="1"/>
    <xf numFmtId="0" fontId="47" fillId="2" borderId="0" xfId="0" applyFont="1" applyFill="1" applyAlignment="1">
      <alignment horizontal="left" vertical="center"/>
    </xf>
    <xf numFmtId="0" fontId="47" fillId="3" borderId="0" xfId="0" applyFont="1" applyFill="1" applyAlignment="1">
      <alignment horizontal="center" vertical="center"/>
    </xf>
    <xf numFmtId="0" fontId="6" fillId="3" borderId="0" xfId="0" applyFont="1" applyFill="1" applyAlignment="1">
      <alignment horizontal="center" vertical="center"/>
    </xf>
    <xf numFmtId="0" fontId="57" fillId="0" borderId="0" xfId="0" applyFont="1" applyAlignment="1">
      <alignment vertical="center"/>
    </xf>
    <xf numFmtId="0" fontId="58" fillId="0" borderId="0" xfId="0" applyFont="1"/>
    <xf numFmtId="0" fontId="59" fillId="0" borderId="0" xfId="0" applyFont="1" applyAlignment="1">
      <alignment vertical="center"/>
    </xf>
    <xf numFmtId="0" fontId="44" fillId="0" borderId="0" xfId="0" applyFont="1" applyAlignment="1">
      <alignment horizontal="left"/>
    </xf>
    <xf numFmtId="0" fontId="60" fillId="0" borderId="0" xfId="2" applyFont="1" applyBorder="1" applyAlignment="1">
      <alignment horizontal="left" vertical="top"/>
    </xf>
    <xf numFmtId="0" fontId="56" fillId="0" borderId="0" xfId="2" applyFont="1" applyBorder="1" applyAlignment="1"/>
    <xf numFmtId="0" fontId="61" fillId="0" borderId="0" xfId="0" applyFont="1"/>
    <xf numFmtId="0" fontId="56" fillId="0" borderId="0" xfId="2" applyFont="1" applyFill="1" applyBorder="1"/>
    <xf numFmtId="0" fontId="62" fillId="0" borderId="0" xfId="0" applyFont="1" applyAlignment="1">
      <alignment vertical="center"/>
    </xf>
    <xf numFmtId="0" fontId="63" fillId="0" borderId="0" xfId="2" applyFont="1" applyFill="1" applyBorder="1" applyAlignment="1">
      <alignment vertical="center"/>
    </xf>
    <xf numFmtId="0" fontId="64" fillId="0" borderId="0" xfId="12" applyFont="1" applyAlignment="1">
      <alignment horizontal="left"/>
    </xf>
    <xf numFmtId="0" fontId="56" fillId="0" borderId="0" xfId="2" applyFont="1" applyFill="1" applyBorder="1" applyAlignment="1">
      <alignment horizontal="left"/>
    </xf>
    <xf numFmtId="0" fontId="47" fillId="0" borderId="0" xfId="0" applyFont="1" applyAlignment="1">
      <alignment horizontal="center" vertical="center" wrapText="1"/>
    </xf>
    <xf numFmtId="0" fontId="44" fillId="3" borderId="0" xfId="0" applyFont="1" applyFill="1"/>
    <xf numFmtId="0" fontId="44" fillId="0" borderId="0" xfId="0" applyFont="1"/>
    <xf numFmtId="0" fontId="65" fillId="3" borderId="0" xfId="2" applyFont="1" applyFill="1" applyAlignment="1">
      <alignment vertical="center"/>
    </xf>
    <xf numFmtId="0" fontId="44" fillId="0" borderId="0" xfId="0" applyFont="1" applyAlignment="1">
      <alignment horizontal="center" vertical="center"/>
    </xf>
    <xf numFmtId="0" fontId="21" fillId="6" borderId="22" xfId="0" applyFont="1" applyFill="1" applyBorder="1" applyAlignment="1">
      <alignment horizontal="center" vertical="center"/>
    </xf>
    <xf numFmtId="0" fontId="21" fillId="0" borderId="0" xfId="0" applyFont="1" applyAlignment="1">
      <alignment horizontal="center" vertical="center"/>
    </xf>
    <xf numFmtId="0" fontId="4" fillId="2" borderId="0" xfId="1" applyFont="1" applyFill="1" applyAlignment="1">
      <alignment horizontal="center" vertical="center" wrapText="1"/>
    </xf>
    <xf numFmtId="0" fontId="21" fillId="6" borderId="23" xfId="0" applyFont="1" applyFill="1" applyBorder="1" applyAlignment="1">
      <alignment horizontal="center" vertical="center"/>
    </xf>
    <xf numFmtId="0" fontId="21" fillId="0" borderId="6" xfId="0" applyFont="1" applyBorder="1" applyAlignment="1">
      <alignment horizontal="center" vertical="center"/>
    </xf>
    <xf numFmtId="0" fontId="34" fillId="3" borderId="0" xfId="0" applyFont="1" applyFill="1" applyAlignment="1">
      <alignment horizontal="center" vertical="center"/>
    </xf>
    <xf numFmtId="49" fontId="2" fillId="21" borderId="0" xfId="1" applyNumberFormat="1" applyFont="1" applyFill="1" applyAlignment="1">
      <alignment horizontal="center" vertical="center" wrapText="1"/>
    </xf>
    <xf numFmtId="0" fontId="2" fillId="21" borderId="0" xfId="0" applyFont="1" applyFill="1" applyAlignment="1">
      <alignment horizontal="center" vertical="center" wrapText="1"/>
    </xf>
    <xf numFmtId="4" fontId="2" fillId="21" borderId="0" xfId="0" applyNumberFormat="1" applyFont="1" applyFill="1" applyAlignment="1">
      <alignment horizontal="center" vertical="center" wrapText="1"/>
    </xf>
    <xf numFmtId="164" fontId="14" fillId="21" borderId="0" xfId="0" applyNumberFormat="1" applyFont="1" applyFill="1" applyAlignment="1" applyProtection="1">
      <alignment horizontal="center" vertical="center" wrapText="1"/>
      <protection hidden="1"/>
    </xf>
    <xf numFmtId="0" fontId="14" fillId="21" borderId="0" xfId="0" applyFont="1" applyFill="1" applyAlignment="1" applyProtection="1">
      <alignment horizontal="center" vertical="center" wrapText="1"/>
      <protection hidden="1"/>
    </xf>
    <xf numFmtId="0" fontId="14" fillId="0" borderId="0" xfId="0" applyFont="1" applyAlignment="1">
      <alignment horizontal="center" vertical="center"/>
    </xf>
    <xf numFmtId="164" fontId="2" fillId="21" borderId="0" xfId="0" applyNumberFormat="1" applyFont="1" applyFill="1" applyAlignment="1" applyProtection="1">
      <alignment horizontal="center" vertical="center" wrapText="1"/>
      <protection hidden="1"/>
    </xf>
    <xf numFmtId="0" fontId="2" fillId="21" borderId="0" xfId="1" applyFont="1" applyFill="1" applyAlignment="1">
      <alignment horizontal="center" vertical="center" wrapText="1"/>
    </xf>
    <xf numFmtId="164" fontId="2" fillId="21" borderId="0" xfId="0" applyNumberFormat="1" applyFont="1" applyFill="1" applyAlignment="1">
      <alignment horizontal="center" vertical="center" wrapText="1"/>
    </xf>
    <xf numFmtId="4" fontId="14" fillId="21" borderId="0" xfId="0" applyNumberFormat="1" applyFont="1" applyFill="1" applyAlignment="1">
      <alignment horizontal="center" vertical="center" wrapText="1"/>
    </xf>
    <xf numFmtId="0" fontId="14" fillId="21" borderId="0" xfId="0" applyFont="1" applyFill="1" applyAlignment="1">
      <alignment horizontal="center" vertical="center" wrapText="1"/>
    </xf>
    <xf numFmtId="49" fontId="14" fillId="0" borderId="0" xfId="1" applyNumberFormat="1" applyFont="1" applyAlignment="1">
      <alignment horizontal="center" vertical="center" wrapText="1"/>
    </xf>
    <xf numFmtId="49" fontId="3" fillId="21" borderId="0" xfId="1" applyNumberFormat="1" applyFont="1" applyFill="1" applyAlignment="1">
      <alignment horizontal="center" vertical="center" wrapText="1"/>
    </xf>
    <xf numFmtId="164" fontId="14" fillId="21" borderId="0" xfId="0" applyNumberFormat="1" applyFont="1" applyFill="1" applyAlignment="1">
      <alignment horizontal="center" vertical="center" wrapText="1"/>
    </xf>
    <xf numFmtId="0" fontId="3" fillId="14" borderId="0" xfId="0" applyFont="1" applyFill="1" applyAlignment="1">
      <alignment horizontal="center" vertical="center" wrapText="1"/>
    </xf>
    <xf numFmtId="164" fontId="2" fillId="14" borderId="0" xfId="0" applyNumberFormat="1" applyFont="1" applyFill="1" applyAlignment="1" applyProtection="1">
      <alignment horizontal="center" vertical="center" wrapText="1"/>
      <protection hidden="1"/>
    </xf>
    <xf numFmtId="164" fontId="14" fillId="14" borderId="0" xfId="0" applyNumberFormat="1" applyFont="1" applyFill="1" applyAlignment="1" applyProtection="1">
      <alignment horizontal="center" vertical="center" wrapText="1"/>
      <protection hidden="1"/>
    </xf>
    <xf numFmtId="164" fontId="14" fillId="14" borderId="0" xfId="0" applyNumberFormat="1" applyFont="1" applyFill="1" applyAlignment="1">
      <alignment horizontal="center" vertical="center" wrapText="1"/>
    </xf>
    <xf numFmtId="4" fontId="14" fillId="14" borderId="0" xfId="0" applyNumberFormat="1" applyFont="1" applyFill="1" applyAlignment="1">
      <alignment horizontal="center" vertical="center" wrapText="1"/>
    </xf>
    <xf numFmtId="0" fontId="14" fillId="14" borderId="0" xfId="0" applyFont="1" applyFill="1" applyAlignment="1">
      <alignment horizontal="center" vertical="center" wrapText="1"/>
    </xf>
    <xf numFmtId="0" fontId="16" fillId="0" borderId="0" xfId="0" applyFont="1" applyAlignment="1">
      <alignment vertical="center"/>
    </xf>
    <xf numFmtId="49" fontId="14" fillId="21" borderId="0" xfId="1" applyNumberFormat="1" applyFont="1" applyFill="1" applyAlignment="1">
      <alignment horizontal="center" vertical="center" wrapText="1"/>
    </xf>
    <xf numFmtId="0" fontId="13" fillId="0" borderId="0" xfId="0" applyFont="1" applyAlignment="1">
      <alignment horizontal="center" vertical="center"/>
    </xf>
    <xf numFmtId="0" fontId="2" fillId="21" borderId="0" xfId="0" applyFont="1" applyFill="1" applyAlignment="1">
      <alignment horizontal="center" vertical="center"/>
    </xf>
    <xf numFmtId="164" fontId="2" fillId="21" borderId="0" xfId="0" applyNumberFormat="1" applyFont="1" applyFill="1" applyAlignment="1">
      <alignment horizontal="center" vertical="center"/>
    </xf>
    <xf numFmtId="49" fontId="13" fillId="0" borderId="0" xfId="1" applyNumberFormat="1" applyFont="1" applyAlignment="1">
      <alignment horizontal="center" vertical="center" wrapText="1"/>
    </xf>
    <xf numFmtId="0" fontId="13" fillId="0" borderId="0" xfId="0" applyFont="1" applyAlignment="1">
      <alignment vertical="center"/>
    </xf>
    <xf numFmtId="0" fontId="16" fillId="14" borderId="0" xfId="0" applyFont="1" applyFill="1" applyAlignment="1">
      <alignment horizontal="center" vertical="center" wrapText="1"/>
    </xf>
    <xf numFmtId="164" fontId="14" fillId="14" borderId="0" xfId="0" applyNumberFormat="1" applyFont="1" applyFill="1" applyAlignment="1">
      <alignment horizontal="center" vertical="center"/>
    </xf>
    <xf numFmtId="164" fontId="14" fillId="21" borderId="0" xfId="0" applyNumberFormat="1" applyFont="1" applyFill="1" applyAlignment="1">
      <alignment horizontal="center" vertical="center"/>
    </xf>
    <xf numFmtId="49" fontId="16" fillId="0" borderId="0" xfId="1" applyNumberFormat="1" applyFont="1" applyAlignment="1">
      <alignment horizontal="center" vertical="center" wrapText="1"/>
    </xf>
    <xf numFmtId="164" fontId="66" fillId="21" borderId="0" xfId="0" applyNumberFormat="1" applyFont="1" applyFill="1" applyAlignment="1">
      <alignment horizontal="center" vertical="center"/>
    </xf>
    <xf numFmtId="0" fontId="3" fillId="0" borderId="0" xfId="0" applyFont="1" applyAlignment="1">
      <alignment vertical="center"/>
    </xf>
    <xf numFmtId="49" fontId="3" fillId="0" borderId="0" xfId="1" applyNumberFormat="1" applyFont="1" applyAlignment="1">
      <alignment horizontal="center" vertical="center" wrapText="1"/>
    </xf>
    <xf numFmtId="0" fontId="67" fillId="0" borderId="0" xfId="0" applyFont="1" applyAlignment="1">
      <alignment horizontal="center" vertical="center"/>
    </xf>
    <xf numFmtId="49" fontId="67" fillId="0" borderId="0" xfId="1" applyNumberFormat="1" applyFont="1" applyAlignment="1">
      <alignment horizontal="center" vertical="center" wrapText="1"/>
    </xf>
    <xf numFmtId="0" fontId="14" fillId="0" borderId="0" xfId="0" applyFont="1" applyAlignment="1">
      <alignment horizontal="center" vertical="center" wrapText="1"/>
    </xf>
    <xf numFmtId="4" fontId="14" fillId="0" borderId="0" xfId="0" applyNumberFormat="1" applyFont="1" applyAlignment="1">
      <alignment horizontal="center" vertical="center" wrapText="1"/>
    </xf>
    <xf numFmtId="49" fontId="14" fillId="0" borderId="0" xfId="1" applyNumberFormat="1" applyFont="1" applyAlignment="1">
      <alignment horizontal="right" vertical="center" wrapText="1"/>
    </xf>
    <xf numFmtId="164" fontId="14"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2" borderId="13" xfId="1" applyNumberFormat="1" applyFont="1" applyFill="1" applyBorder="1" applyAlignment="1">
      <alignment horizontal="right" vertical="center" wrapText="1"/>
    </xf>
    <xf numFmtId="0" fontId="2" fillId="0" borderId="13" xfId="0" applyFont="1" applyBorder="1" applyAlignment="1">
      <alignment horizontal="center" vertical="center"/>
    </xf>
    <xf numFmtId="49" fontId="44" fillId="2" borderId="0" xfId="1" applyNumberFormat="1" applyFont="1" applyFill="1" applyAlignment="1">
      <alignment horizontal="right" vertical="center" wrapText="1"/>
    </xf>
    <xf numFmtId="0" fontId="2" fillId="4" borderId="13" xfId="0" applyFont="1" applyFill="1" applyBorder="1" applyAlignment="1">
      <alignment horizontal="center" vertical="center"/>
    </xf>
    <xf numFmtId="0" fontId="2" fillId="4" borderId="13" xfId="0" applyFont="1" applyFill="1" applyBorder="1"/>
    <xf numFmtId="0" fontId="68" fillId="3" borderId="0" xfId="0" applyFont="1" applyFill="1" applyAlignment="1">
      <alignment horizontal="left" vertical="center"/>
    </xf>
    <xf numFmtId="0" fontId="47" fillId="3" borderId="0" xfId="0" applyFont="1" applyFill="1" applyAlignment="1">
      <alignment horizontal="left" vertical="center"/>
    </xf>
    <xf numFmtId="0" fontId="47" fillId="0" borderId="0" xfId="0" applyFont="1" applyAlignment="1">
      <alignment vertical="center"/>
    </xf>
    <xf numFmtId="0" fontId="69" fillId="3" borderId="0" xfId="0" applyFont="1" applyFill="1" applyAlignment="1">
      <alignment horizontal="left" vertical="center"/>
    </xf>
    <xf numFmtId="1" fontId="2" fillId="0" borderId="0" xfId="0" applyNumberFormat="1" applyFont="1" applyAlignment="1">
      <alignment horizontal="center" vertical="center"/>
    </xf>
    <xf numFmtId="0" fontId="48" fillId="0" borderId="0" xfId="0" applyFont="1"/>
    <xf numFmtId="0" fontId="48" fillId="0" borderId="0" xfId="0" applyFont="1" applyAlignment="1">
      <alignment horizontal="left"/>
    </xf>
    <xf numFmtId="0" fontId="49" fillId="3" borderId="0" xfId="0" applyFont="1" applyFill="1" applyAlignment="1">
      <alignment horizontal="left" vertical="center"/>
    </xf>
    <xf numFmtId="0" fontId="46" fillId="3" borderId="14" xfId="0" applyFont="1" applyFill="1" applyBorder="1" applyAlignment="1">
      <alignment horizontal="left" vertical="center"/>
    </xf>
    <xf numFmtId="0" fontId="46" fillId="3" borderId="15" xfId="0" applyFont="1" applyFill="1" applyBorder="1" applyAlignment="1">
      <alignment horizontal="left" vertical="center"/>
    </xf>
    <xf numFmtId="0" fontId="46" fillId="0" borderId="15" xfId="0" applyFont="1" applyBorder="1" applyAlignment="1">
      <alignment vertical="center"/>
    </xf>
    <xf numFmtId="0" fontId="46" fillId="0" borderId="16" xfId="0" applyFont="1" applyBorder="1" applyAlignment="1">
      <alignment vertical="center"/>
    </xf>
    <xf numFmtId="0" fontId="46" fillId="3" borderId="17" xfId="0" applyFont="1" applyFill="1" applyBorder="1" applyAlignment="1">
      <alignment horizontal="left" vertical="center"/>
    </xf>
    <xf numFmtId="0" fontId="70" fillId="4" borderId="0" xfId="1" applyFont="1" applyFill="1"/>
    <xf numFmtId="0" fontId="46" fillId="0" borderId="0" xfId="0" applyFont="1" applyAlignment="1">
      <alignment vertical="center"/>
    </xf>
    <xf numFmtId="0" fontId="46" fillId="0" borderId="18" xfId="0" applyFont="1" applyBorder="1" applyAlignment="1">
      <alignment vertical="center"/>
    </xf>
    <xf numFmtId="0" fontId="46" fillId="3" borderId="0" xfId="0" applyFont="1" applyFill="1" applyAlignment="1">
      <alignment horizontal="left" vertical="center"/>
    </xf>
    <xf numFmtId="0" fontId="46" fillId="2" borderId="0" xfId="0" applyFont="1" applyFill="1" applyAlignment="1">
      <alignment horizontal="left"/>
    </xf>
    <xf numFmtId="0" fontId="47" fillId="0" borderId="17" xfId="0" applyFont="1" applyBorder="1" applyAlignment="1">
      <alignment horizontal="left"/>
    </xf>
    <xf numFmtId="0" fontId="47" fillId="0" borderId="17" xfId="0" applyFont="1" applyBorder="1"/>
    <xf numFmtId="0" fontId="47" fillId="0" borderId="19" xfId="0" applyFont="1" applyBorder="1"/>
    <xf numFmtId="0" fontId="47" fillId="0" borderId="20" xfId="0" applyFont="1" applyBorder="1"/>
    <xf numFmtId="0" fontId="46" fillId="0" borderId="20" xfId="0" applyFont="1" applyBorder="1" applyAlignment="1">
      <alignment vertical="center"/>
    </xf>
    <xf numFmtId="0" fontId="46" fillId="0" borderId="21" xfId="0" applyFont="1" applyBorder="1" applyAlignment="1">
      <alignment vertical="center"/>
    </xf>
    <xf numFmtId="0" fontId="44" fillId="0" borderId="0" xfId="1" applyFont="1"/>
    <xf numFmtId="0" fontId="6" fillId="0" borderId="0" xfId="0" applyFont="1" applyAlignment="1">
      <alignment horizontal="left" vertical="center"/>
    </xf>
    <xf numFmtId="0" fontId="44" fillId="4" borderId="0" xfId="1" applyFont="1" applyFill="1"/>
    <xf numFmtId="0" fontId="71" fillId="0" borderId="0" xfId="0" applyFont="1"/>
    <xf numFmtId="0" fontId="59" fillId="0" borderId="0" xfId="0" applyFont="1" applyAlignment="1">
      <alignment horizontal="left" vertical="top"/>
    </xf>
    <xf numFmtId="0" fontId="46" fillId="0" borderId="0" xfId="0" applyFont="1" applyAlignment="1">
      <alignment horizontal="left" vertical="top"/>
    </xf>
    <xf numFmtId="0" fontId="6" fillId="0" borderId="0" xfId="0" applyFont="1" applyAlignment="1">
      <alignment horizontal="left" vertical="top"/>
    </xf>
    <xf numFmtId="0" fontId="47" fillId="0" borderId="0" xfId="0" applyFont="1" applyAlignment="1">
      <alignment horizontal="left" vertical="top"/>
    </xf>
    <xf numFmtId="0" fontId="44" fillId="0" borderId="0" xfId="0" applyFont="1" applyAlignment="1">
      <alignment horizontal="left" vertical="top"/>
    </xf>
    <xf numFmtId="0" fontId="60" fillId="0" borderId="0" xfId="2" applyFont="1" applyFill="1" applyBorder="1" applyAlignment="1">
      <alignment horizontal="left" vertical="top"/>
    </xf>
    <xf numFmtId="0" fontId="56" fillId="0" borderId="0" xfId="2" applyFont="1" applyFill="1" applyBorder="1" applyAlignment="1"/>
    <xf numFmtId="0" fontId="62" fillId="0" borderId="0" xfId="0" applyFont="1" applyAlignment="1">
      <alignment horizontal="left" vertical="center"/>
    </xf>
    <xf numFmtId="0" fontId="63" fillId="0" borderId="0" xfId="2" applyFont="1" applyFill="1" applyBorder="1" applyAlignment="1">
      <alignment horizontal="left" vertical="center"/>
    </xf>
    <xf numFmtId="0" fontId="64" fillId="0" borderId="0" xfId="12" applyFont="1"/>
    <xf numFmtId="0" fontId="63" fillId="0" borderId="0" xfId="2" applyFont="1" applyFill="1" applyBorder="1" applyAlignment="1"/>
    <xf numFmtId="0" fontId="7" fillId="3" borderId="0" xfId="2" applyFill="1" applyBorder="1" applyAlignment="1">
      <alignment vertical="center"/>
    </xf>
    <xf numFmtId="0" fontId="72" fillId="3" borderId="0" xfId="2" applyFont="1" applyFill="1" applyBorder="1" applyAlignment="1">
      <alignment vertical="center"/>
    </xf>
    <xf numFmtId="0" fontId="19" fillId="0" borderId="0" xfId="0" applyFont="1" applyAlignment="1">
      <alignment horizontal="center" vertical="center"/>
    </xf>
    <xf numFmtId="49" fontId="11" fillId="2" borderId="0" xfId="1" applyNumberFormat="1" applyFont="1" applyFill="1" applyAlignment="1">
      <alignment horizontal="center" vertical="center" wrapText="1"/>
    </xf>
    <xf numFmtId="0" fontId="21" fillId="6" borderId="12" xfId="0" applyFont="1" applyFill="1" applyBorder="1" applyAlignment="1">
      <alignment horizontal="center" vertical="center"/>
    </xf>
    <xf numFmtId="0" fontId="4" fillId="0" borderId="0" xfId="1" applyFont="1" applyAlignment="1">
      <alignment horizontal="center" vertical="center" wrapText="1"/>
    </xf>
    <xf numFmtId="0" fontId="21" fillId="6" borderId="10" xfId="0" applyFont="1" applyFill="1" applyBorder="1" applyAlignment="1">
      <alignment horizontal="center" vertical="center"/>
    </xf>
    <xf numFmtId="49" fontId="4" fillId="0" borderId="0" xfId="1" applyNumberFormat="1" applyFont="1" applyAlignment="1">
      <alignment horizontal="center" vertical="center" wrapText="1"/>
    </xf>
    <xf numFmtId="49" fontId="14" fillId="22" borderId="0" xfId="1" applyNumberFormat="1" applyFont="1" applyFill="1" applyAlignment="1">
      <alignment horizontal="center" vertical="center" wrapText="1"/>
    </xf>
    <xf numFmtId="0" fontId="2" fillId="22" borderId="0" xfId="0" applyFont="1" applyFill="1" applyAlignment="1">
      <alignment horizontal="center" vertical="center" wrapText="1"/>
    </xf>
    <xf numFmtId="4" fontId="2" fillId="22" borderId="0" xfId="0" applyNumberFormat="1" applyFont="1" applyFill="1" applyAlignment="1">
      <alignment horizontal="center" vertical="center" wrapText="1"/>
    </xf>
    <xf numFmtId="4" fontId="2" fillId="0" borderId="0" xfId="0" applyNumberFormat="1" applyFont="1" applyAlignment="1">
      <alignment horizontal="center" vertical="center" wrapText="1"/>
    </xf>
    <xf numFmtId="164" fontId="14" fillId="22" borderId="0" xfId="0" applyNumberFormat="1" applyFont="1" applyFill="1" applyAlignment="1" applyProtection="1">
      <alignment horizontal="center" vertical="center" wrapText="1"/>
      <protection hidden="1"/>
    </xf>
    <xf numFmtId="0" fontId="14" fillId="22" borderId="0" xfId="0" applyFont="1" applyFill="1" applyAlignment="1" applyProtection="1">
      <alignment horizontal="center" vertical="center" wrapText="1"/>
      <protection hidden="1"/>
    </xf>
    <xf numFmtId="0" fontId="14" fillId="0" borderId="0" xfId="0" applyFont="1" applyAlignment="1" applyProtection="1">
      <alignment horizontal="center" vertical="center" wrapText="1"/>
      <protection hidden="1"/>
    </xf>
    <xf numFmtId="49" fontId="2" fillId="22" borderId="0" xfId="1" applyNumberFormat="1" applyFont="1" applyFill="1" applyAlignment="1">
      <alignment horizontal="center" vertical="center" wrapText="1"/>
    </xf>
    <xf numFmtId="0" fontId="2" fillId="3" borderId="0" xfId="0" applyFont="1" applyFill="1" applyAlignment="1">
      <alignment vertical="center" wrapText="1"/>
    </xf>
    <xf numFmtId="0" fontId="2" fillId="0" borderId="13" xfId="0" applyFont="1" applyBorder="1" applyAlignment="1">
      <alignment vertical="center"/>
    </xf>
    <xf numFmtId="0" fontId="73" fillId="2" borderId="0" xfId="0" applyFont="1" applyFill="1" applyAlignment="1">
      <alignment horizontal="left" vertical="center"/>
    </xf>
    <xf numFmtId="0" fontId="74" fillId="3" borderId="0" xfId="0" applyFont="1" applyFill="1" applyAlignment="1">
      <alignment horizontal="center" vertical="center"/>
    </xf>
    <xf numFmtId="0" fontId="66" fillId="3" borderId="0" xfId="0" applyFont="1" applyFill="1" applyAlignment="1">
      <alignment horizontal="center" vertical="center"/>
    </xf>
    <xf numFmtId="0" fontId="47" fillId="2" borderId="13" xfId="0" applyFont="1" applyFill="1" applyBorder="1" applyAlignment="1">
      <alignment vertical="center"/>
    </xf>
    <xf numFmtId="0" fontId="44" fillId="4" borderId="13" xfId="0" applyFont="1" applyFill="1" applyBorder="1" applyAlignment="1">
      <alignment horizontal="center" vertical="center"/>
    </xf>
    <xf numFmtId="0" fontId="75" fillId="3" borderId="0" xfId="0" applyFont="1" applyFill="1" applyAlignment="1">
      <alignment horizontal="center" vertical="center"/>
    </xf>
    <xf numFmtId="0" fontId="5" fillId="0" borderId="0" xfId="0" applyFont="1" applyAlignment="1">
      <alignment horizontal="left"/>
    </xf>
    <xf numFmtId="0" fontId="76" fillId="0" borderId="0" xfId="0" applyFont="1" applyAlignment="1">
      <alignment horizontal="left"/>
    </xf>
    <xf numFmtId="0" fontId="46" fillId="3" borderId="15" xfId="0" applyFont="1" applyFill="1" applyBorder="1" applyAlignment="1">
      <alignment horizontal="center" vertical="center"/>
    </xf>
    <xf numFmtId="0" fontId="46" fillId="2" borderId="0" xfId="0" applyFont="1" applyFill="1" applyAlignment="1">
      <alignment horizontal="center" vertical="center"/>
    </xf>
    <xf numFmtId="0" fontId="56" fillId="0" borderId="0" xfId="2" applyFont="1"/>
    <xf numFmtId="0" fontId="56" fillId="0" borderId="0" xfId="2" applyFont="1" applyAlignment="1">
      <alignment vertical="center"/>
    </xf>
    <xf numFmtId="0" fontId="60" fillId="0" borderId="0" xfId="2" applyFont="1" applyAlignment="1">
      <alignment horizontal="left" vertical="top"/>
    </xf>
    <xf numFmtId="0" fontId="63" fillId="0" borderId="0" xfId="2" applyFont="1" applyAlignment="1">
      <alignment horizontal="left" vertical="center"/>
    </xf>
    <xf numFmtId="0" fontId="63" fillId="0" borderId="0" xfId="2" applyFont="1"/>
    <xf numFmtId="49" fontId="2" fillId="23" borderId="0" xfId="1" applyNumberFormat="1" applyFont="1" applyFill="1" applyAlignment="1">
      <alignment horizontal="center" vertical="center" wrapText="1"/>
    </xf>
    <xf numFmtId="4" fontId="2" fillId="23" borderId="0" xfId="0" applyNumberFormat="1" applyFont="1" applyFill="1" applyAlignment="1">
      <alignment horizontal="center" vertical="center" wrapText="1"/>
    </xf>
    <xf numFmtId="4" fontId="14" fillId="22" borderId="0" xfId="0" applyNumberFormat="1" applyFont="1" applyFill="1" applyAlignment="1">
      <alignment horizontal="center" vertical="center" wrapText="1"/>
    </xf>
    <xf numFmtId="1" fontId="14" fillId="0" borderId="0" xfId="0" applyNumberFormat="1" applyFont="1" applyAlignment="1">
      <alignment horizontal="center" vertical="center" wrapText="1"/>
    </xf>
    <xf numFmtId="0" fontId="77" fillId="2" borderId="13" xfId="0" applyFont="1" applyFill="1" applyBorder="1" applyAlignment="1">
      <alignment vertical="center"/>
    </xf>
    <xf numFmtId="0" fontId="46" fillId="3" borderId="16" xfId="0" applyFont="1" applyFill="1" applyBorder="1" applyAlignment="1">
      <alignment horizontal="center" vertical="center"/>
    </xf>
    <xf numFmtId="0" fontId="46" fillId="3" borderId="18" xfId="0" applyFont="1" applyFill="1" applyBorder="1" applyAlignment="1">
      <alignment horizontal="center" vertical="center"/>
    </xf>
    <xf numFmtId="0" fontId="47" fillId="0" borderId="0" xfId="0" applyFont="1" applyAlignment="1">
      <alignment horizontal="center"/>
    </xf>
    <xf numFmtId="0" fontId="47" fillId="0" borderId="0" xfId="0" applyFont="1" applyAlignment="1">
      <alignment horizontal="left"/>
    </xf>
    <xf numFmtId="0" fontId="46" fillId="3" borderId="21" xfId="0" applyFont="1" applyFill="1" applyBorder="1" applyAlignment="1">
      <alignment horizontal="center" vertical="center"/>
    </xf>
    <xf numFmtId="0" fontId="46" fillId="0" borderId="0" xfId="0" applyFont="1" applyAlignment="1">
      <alignment horizontal="center"/>
    </xf>
    <xf numFmtId="0" fontId="48" fillId="0" borderId="0" xfId="0" applyFont="1" applyAlignment="1">
      <alignment horizontal="center"/>
    </xf>
    <xf numFmtId="0" fontId="47" fillId="0" borderId="0" xfId="12" applyFont="1"/>
    <xf numFmtId="0" fontId="46" fillId="0" borderId="0" xfId="0" applyFont="1"/>
    <xf numFmtId="0" fontId="44" fillId="2" borderId="0" xfId="0" applyFont="1" applyFill="1" applyAlignment="1">
      <alignment horizontal="left"/>
    </xf>
    <xf numFmtId="0" fontId="56" fillId="3" borderId="0" xfId="2" applyFont="1" applyFill="1" applyAlignment="1">
      <alignment vertical="center"/>
    </xf>
    <xf numFmtId="0" fontId="56" fillId="3" borderId="0" xfId="2" applyFont="1" applyFill="1" applyAlignment="1">
      <alignment horizontal="center" vertical="center"/>
    </xf>
    <xf numFmtId="0" fontId="9" fillId="2" borderId="0" xfId="0" applyFont="1" applyFill="1" applyAlignment="1">
      <alignment horizontal="center" vertical="center" wrapText="1"/>
    </xf>
    <xf numFmtId="0" fontId="19" fillId="6" borderId="24" xfId="0" applyFont="1" applyFill="1" applyBorder="1" applyAlignment="1">
      <alignment horizontal="center" vertical="center"/>
    </xf>
    <xf numFmtId="49" fontId="2" fillId="24" borderId="0" xfId="1" applyNumberFormat="1" applyFont="1" applyFill="1" applyAlignment="1">
      <alignment horizontal="center" vertical="center" wrapText="1"/>
    </xf>
    <xf numFmtId="0" fontId="7" fillId="0" borderId="0" xfId="2" applyAlignment="1">
      <alignment vertical="center"/>
    </xf>
    <xf numFmtId="0" fontId="32" fillId="0" borderId="0" xfId="2" applyFont="1" applyAlignment="1">
      <alignment vertical="center"/>
    </xf>
    <xf numFmtId="0" fontId="33" fillId="0" borderId="0" xfId="2" applyFont="1" applyAlignment="1">
      <alignment vertical="center"/>
    </xf>
    <xf numFmtId="0" fontId="12" fillId="2" borderId="0" xfId="0" applyFont="1" applyFill="1" applyAlignment="1">
      <alignment horizontal="center" vertical="center"/>
    </xf>
    <xf numFmtId="0" fontId="78" fillId="3" borderId="0" xfId="0" applyFont="1" applyFill="1" applyAlignment="1">
      <alignment horizontal="center" vertical="center" wrapText="1"/>
    </xf>
    <xf numFmtId="167" fontId="2" fillId="14" borderId="0" xfId="0" applyNumberFormat="1" applyFont="1" applyFill="1" applyAlignment="1">
      <alignment horizontal="center" vertical="center"/>
    </xf>
    <xf numFmtId="167" fontId="11" fillId="14" borderId="0" xfId="0" applyNumberFormat="1" applyFont="1" applyFill="1" applyAlignment="1">
      <alignment horizontal="center" vertical="center"/>
    </xf>
    <xf numFmtId="168" fontId="2" fillId="3" borderId="0" xfId="0" applyNumberFormat="1" applyFont="1" applyFill="1" applyAlignment="1">
      <alignment vertical="center"/>
    </xf>
    <xf numFmtId="0" fontId="13" fillId="25" borderId="0" xfId="0" applyFont="1" applyFill="1" applyAlignment="1">
      <alignment vertical="center"/>
    </xf>
    <xf numFmtId="0" fontId="2" fillId="25" borderId="0" xfId="0" applyFont="1" applyFill="1" applyAlignment="1">
      <alignment vertical="center"/>
    </xf>
    <xf numFmtId="0" fontId="9" fillId="3" borderId="0" xfId="0" applyFont="1" applyFill="1" applyAlignment="1">
      <alignment horizontal="left" vertical="center"/>
    </xf>
    <xf numFmtId="49" fontId="66" fillId="2" borderId="0" xfId="1" applyNumberFormat="1" applyFont="1" applyFill="1" applyAlignment="1">
      <alignment horizontal="right" vertical="center" wrapText="1"/>
    </xf>
    <xf numFmtId="0" fontId="79" fillId="2" borderId="0" xfId="0" applyFont="1" applyFill="1" applyAlignment="1">
      <alignment horizontal="left" vertical="center"/>
    </xf>
    <xf numFmtId="0" fontId="48" fillId="10" borderId="0" xfId="0" applyFont="1" applyFill="1" applyAlignment="1">
      <alignment horizontal="left" vertical="center"/>
    </xf>
    <xf numFmtId="0" fontId="48" fillId="0" borderId="0" xfId="0" applyFont="1" applyAlignment="1">
      <alignment vertical="center"/>
    </xf>
    <xf numFmtId="0" fontId="7" fillId="3" borderId="0" xfId="2" applyFill="1" applyAlignment="1">
      <alignment vertical="center"/>
    </xf>
    <xf numFmtId="0" fontId="80" fillId="0" borderId="0" xfId="0" applyFont="1"/>
    <xf numFmtId="0" fontId="81" fillId="0" borderId="0" xfId="0" applyFont="1"/>
    <xf numFmtId="0" fontId="36" fillId="0" borderId="0" xfId="0" applyFont="1"/>
    <xf numFmtId="0" fontId="83" fillId="2" borderId="0" xfId="2" applyFont="1" applyFill="1" applyAlignment="1">
      <alignment horizontal="left" vertical="center"/>
    </xf>
    <xf numFmtId="0" fontId="3" fillId="3" borderId="0" xfId="0" applyFont="1" applyFill="1" applyAlignment="1">
      <alignment vertical="center"/>
    </xf>
    <xf numFmtId="0" fontId="8" fillId="26" borderId="0" xfId="2" applyFont="1" applyFill="1" applyAlignment="1">
      <alignment horizontal="center" vertical="center"/>
    </xf>
    <xf numFmtId="0" fontId="8" fillId="0" borderId="0" xfId="2" applyFont="1" applyAlignment="1">
      <alignment horizontal="center" vertical="center"/>
    </xf>
    <xf numFmtId="0" fontId="8" fillId="3" borderId="0" xfId="2" applyFont="1" applyFill="1" applyAlignment="1">
      <alignment horizontal="center" vertical="center"/>
    </xf>
    <xf numFmtId="0" fontId="8" fillId="3" borderId="0" xfId="2" applyFont="1" applyFill="1" applyAlignment="1">
      <alignment vertical="center"/>
    </xf>
    <xf numFmtId="0" fontId="77" fillId="0" borderId="0" xfId="0" applyFont="1" applyAlignment="1">
      <alignment vertical="center" wrapText="1"/>
    </xf>
    <xf numFmtId="0" fontId="21" fillId="0" borderId="0" xfId="2" applyFont="1" applyAlignment="1">
      <alignment vertical="center"/>
    </xf>
    <xf numFmtId="0" fontId="77" fillId="0" borderId="0" xfId="0" applyFont="1" applyAlignment="1">
      <alignment horizontal="center" vertical="center" wrapText="1"/>
    </xf>
    <xf numFmtId="0" fontId="14" fillId="0" borderId="0" xfId="0" applyFont="1" applyAlignment="1">
      <alignment horizontal="left"/>
    </xf>
    <xf numFmtId="0" fontId="16" fillId="0" borderId="0" xfId="0" applyFont="1" applyAlignment="1">
      <alignment vertical="center" wrapText="1"/>
    </xf>
    <xf numFmtId="0" fontId="5" fillId="0" borderId="0" xfId="2" applyFont="1" applyAlignment="1">
      <alignment vertical="center"/>
    </xf>
    <xf numFmtId="0" fontId="85" fillId="0" borderId="0" xfId="0" applyFont="1"/>
    <xf numFmtId="0" fontId="85" fillId="4" borderId="0" xfId="0" applyFont="1" applyFill="1"/>
    <xf numFmtId="0" fontId="86" fillId="0" borderId="0" xfId="0" applyFont="1" applyAlignment="1">
      <alignment vertical="center"/>
    </xf>
    <xf numFmtId="0" fontId="13" fillId="0" borderId="0" xfId="0" applyFont="1"/>
    <xf numFmtId="0" fontId="2" fillId="0" borderId="0" xfId="0" applyFont="1" applyAlignment="1">
      <alignment horizontal="center"/>
    </xf>
    <xf numFmtId="0" fontId="87" fillId="0" borderId="0" xfId="0" applyFont="1" applyAlignment="1">
      <alignment vertical="center"/>
    </xf>
    <xf numFmtId="0" fontId="3" fillId="0" borderId="0" xfId="0" applyFont="1"/>
    <xf numFmtId="0" fontId="3" fillId="0" borderId="0" xfId="0" applyFont="1" applyAlignment="1">
      <alignment horizontal="center"/>
    </xf>
    <xf numFmtId="0" fontId="16" fillId="0" borderId="0" xfId="0" applyFont="1" applyAlignment="1">
      <alignment horizontal="center"/>
    </xf>
    <xf numFmtId="0" fontId="2" fillId="0" borderId="0" xfId="0" applyFont="1" applyAlignment="1">
      <alignment horizontal="left"/>
    </xf>
    <xf numFmtId="0" fontId="88" fillId="0" borderId="0" xfId="2" applyFont="1" applyAlignment="1">
      <alignment horizontal="left" vertical="top"/>
    </xf>
    <xf numFmtId="0" fontId="14" fillId="0" borderId="0" xfId="0" applyFont="1" applyAlignment="1">
      <alignment horizontal="left" vertical="top"/>
    </xf>
    <xf numFmtId="0" fontId="8" fillId="0" borderId="0" xfId="2" applyFont="1"/>
    <xf numFmtId="0" fontId="16" fillId="0" borderId="0" xfId="0" applyFont="1" applyAlignment="1">
      <alignment horizontal="left" vertical="top"/>
    </xf>
    <xf numFmtId="0" fontId="89" fillId="0" borderId="0" xfId="0" applyFont="1"/>
    <xf numFmtId="0" fontId="90" fillId="0" borderId="0" xfId="0" applyFont="1" applyAlignment="1">
      <alignment vertical="center"/>
    </xf>
    <xf numFmtId="0" fontId="5" fillId="27" borderId="0" xfId="0" applyFont="1" applyFill="1" applyAlignment="1">
      <alignment horizontal="center"/>
    </xf>
    <xf numFmtId="0" fontId="91" fillId="0" borderId="0" xfId="2" applyFont="1" applyAlignment="1">
      <alignment vertical="center"/>
    </xf>
    <xf numFmtId="0" fontId="92" fillId="0" borderId="0" xfId="12" applyFont="1" applyAlignment="1">
      <alignment horizontal="left"/>
    </xf>
    <xf numFmtId="0" fontId="16" fillId="0" borderId="0" xfId="12" applyFont="1"/>
    <xf numFmtId="0" fontId="92" fillId="0" borderId="0" xfId="1" applyFont="1"/>
    <xf numFmtId="0" fontId="8" fillId="0" borderId="0" xfId="2" applyFont="1" applyAlignment="1">
      <alignment horizontal="left"/>
    </xf>
    <xf numFmtId="0" fontId="3" fillId="27" borderId="0" xfId="0" applyFont="1" applyFill="1"/>
    <xf numFmtId="169" fontId="10" fillId="3" borderId="0" xfId="0" applyNumberFormat="1" applyFont="1" applyFill="1" applyAlignment="1">
      <alignment horizontal="center" vertical="center"/>
    </xf>
    <xf numFmtId="167" fontId="2" fillId="14" borderId="0" xfId="0" applyNumberFormat="1" applyFont="1" applyFill="1" applyAlignment="1">
      <alignment horizontal="center" vertical="center" wrapText="1"/>
    </xf>
    <xf numFmtId="167" fontId="2" fillId="0" borderId="0" xfId="0" applyNumberFormat="1" applyFont="1" applyAlignment="1">
      <alignment horizontal="center" vertical="center"/>
    </xf>
    <xf numFmtId="167" fontId="2" fillId="0" borderId="0" xfId="1" applyNumberFormat="1" applyFont="1" applyAlignment="1">
      <alignment horizontal="center" vertical="center" wrapText="1"/>
    </xf>
    <xf numFmtId="0" fontId="87" fillId="0" borderId="0" xfId="0" applyFont="1"/>
    <xf numFmtId="0" fontId="19" fillId="6" borderId="0" xfId="0" applyFont="1" applyFill="1" applyAlignment="1">
      <alignment horizontal="center" vertical="center" wrapText="1"/>
    </xf>
    <xf numFmtId="49" fontId="14" fillId="4" borderId="0" xfId="1" applyNumberFormat="1" applyFont="1" applyFill="1" applyAlignment="1">
      <alignment horizontal="center" vertical="center" wrapText="1"/>
    </xf>
    <xf numFmtId="0" fontId="2" fillId="14" borderId="8" xfId="0" applyFont="1" applyFill="1" applyBorder="1" applyAlignment="1">
      <alignment horizontal="center" vertical="center" wrapText="1"/>
    </xf>
    <xf numFmtId="164" fontId="2" fillId="14" borderId="8" xfId="0" applyNumberFormat="1" applyFont="1" applyFill="1" applyBorder="1" applyAlignment="1">
      <alignment horizontal="center" vertical="center" wrapText="1"/>
    </xf>
    <xf numFmtId="0" fontId="2" fillId="14" borderId="6" xfId="0" applyFont="1" applyFill="1" applyBorder="1" applyAlignment="1">
      <alignment horizontal="center" vertical="center" wrapText="1"/>
    </xf>
    <xf numFmtId="164" fontId="2" fillId="14" borderId="6" xfId="0" applyNumberFormat="1" applyFont="1" applyFill="1" applyBorder="1" applyAlignment="1">
      <alignment horizontal="center" vertical="center" wrapText="1"/>
    </xf>
    <xf numFmtId="0" fontId="5" fillId="28" borderId="11" xfId="0" applyFont="1" applyFill="1" applyBorder="1" applyAlignment="1">
      <alignment horizontal="center" vertical="center"/>
    </xf>
    <xf numFmtId="0" fontId="14" fillId="29" borderId="0" xfId="0" applyFont="1" applyFill="1" applyAlignment="1">
      <alignment horizontal="center" vertical="center" wrapText="1"/>
    </xf>
    <xf numFmtId="3" fontId="13" fillId="4" borderId="0" xfId="0" applyNumberFormat="1" applyFont="1" applyFill="1" applyAlignment="1">
      <alignment horizontal="center" vertical="center" wrapText="1"/>
    </xf>
    <xf numFmtId="0" fontId="5" fillId="15" borderId="0" xfId="0" applyFont="1" applyFill="1" applyAlignment="1">
      <alignment horizontal="center" vertical="center"/>
    </xf>
    <xf numFmtId="0" fontId="2" fillId="3" borderId="11" xfId="0" applyFont="1" applyFill="1" applyBorder="1" applyAlignment="1">
      <alignment horizontal="center" vertical="center" wrapText="1"/>
    </xf>
    <xf numFmtId="0" fontId="2" fillId="3" borderId="11" xfId="0" applyFont="1" applyFill="1" applyBorder="1" applyAlignment="1">
      <alignment horizontal="center" vertical="center"/>
    </xf>
    <xf numFmtId="0" fontId="5" fillId="28" borderId="11" xfId="0" applyFont="1" applyFill="1" applyBorder="1" applyAlignment="1">
      <alignment horizontal="center" vertical="center" wrapText="1"/>
    </xf>
    <xf numFmtId="0" fontId="8" fillId="0" borderId="0" xfId="2" applyFont="1" applyAlignment="1">
      <alignment vertical="center"/>
    </xf>
    <xf numFmtId="0" fontId="93" fillId="0" borderId="26" xfId="2" applyFont="1" applyBorder="1" applyAlignment="1">
      <alignment vertical="center"/>
    </xf>
    <xf numFmtId="0" fontId="33" fillId="0" borderId="26" xfId="2" applyFont="1" applyBorder="1" applyAlignment="1">
      <alignment vertical="center"/>
    </xf>
    <xf numFmtId="0" fontId="34" fillId="2" borderId="27" xfId="0" applyFont="1" applyFill="1" applyBorder="1" applyAlignment="1">
      <alignment vertical="center"/>
    </xf>
    <xf numFmtId="0" fontId="14" fillId="14" borderId="8" xfId="0" applyFont="1" applyFill="1" applyBorder="1" applyAlignment="1">
      <alignment horizontal="center" vertical="center" wrapText="1"/>
    </xf>
    <xf numFmtId="164" fontId="14" fillId="14" borderId="8" xfId="0" applyNumberFormat="1" applyFont="1" applyFill="1" applyBorder="1" applyAlignment="1">
      <alignment horizontal="center" vertical="center" wrapText="1"/>
    </xf>
    <xf numFmtId="0" fontId="14" fillId="14" borderId="6" xfId="0" applyFont="1" applyFill="1" applyBorder="1" applyAlignment="1">
      <alignment horizontal="center" vertical="center" wrapText="1"/>
    </xf>
    <xf numFmtId="164" fontId="14" fillId="14" borderId="6" xfId="0" applyNumberFormat="1" applyFont="1" applyFill="1" applyBorder="1" applyAlignment="1">
      <alignment horizontal="center" vertical="center" wrapText="1"/>
    </xf>
    <xf numFmtId="0" fontId="96" fillId="6" borderId="24" xfId="0" applyFont="1" applyFill="1" applyBorder="1" applyAlignment="1">
      <alignment horizontal="center" vertical="center"/>
    </xf>
    <xf numFmtId="0" fontId="96" fillId="6" borderId="28" xfId="0" applyFont="1" applyFill="1" applyBorder="1" applyAlignment="1">
      <alignment horizontal="center" vertical="center"/>
    </xf>
    <xf numFmtId="0" fontId="19" fillId="6" borderId="29" xfId="0" applyFont="1" applyFill="1" applyBorder="1" applyAlignment="1">
      <alignment horizontal="center" vertical="center"/>
    </xf>
    <xf numFmtId="49" fontId="2" fillId="30" borderId="0" xfId="1" applyNumberFormat="1" applyFont="1" applyFill="1" applyAlignment="1">
      <alignment horizontal="right" vertical="center" wrapText="1"/>
    </xf>
    <xf numFmtId="165" fontId="14" fillId="14" borderId="0" xfId="0" applyNumberFormat="1" applyFont="1" applyFill="1" applyAlignment="1" applyProtection="1">
      <alignment horizontal="center" vertical="center" wrapText="1"/>
      <protection hidden="1"/>
    </xf>
    <xf numFmtId="0" fontId="14" fillId="30" borderId="0" xfId="0" applyFont="1" applyFill="1" applyAlignment="1">
      <alignment horizontal="center" vertical="center"/>
    </xf>
    <xf numFmtId="0" fontId="2" fillId="30" borderId="0" xfId="0" applyFont="1" applyFill="1" applyAlignment="1">
      <alignment horizontal="center" vertical="center"/>
    </xf>
    <xf numFmtId="0" fontId="14" fillId="3" borderId="0" xfId="0" applyFont="1" applyFill="1" applyAlignment="1">
      <alignment vertical="center"/>
    </xf>
    <xf numFmtId="0" fontId="14" fillId="3" borderId="0" xfId="0" applyFont="1" applyFill="1"/>
    <xf numFmtId="49" fontId="14" fillId="30" borderId="0" xfId="1" applyNumberFormat="1" applyFont="1" applyFill="1" applyAlignment="1">
      <alignment horizontal="right" vertical="center" wrapText="1"/>
    </xf>
    <xf numFmtId="0" fontId="0" fillId="17" borderId="0" xfId="0" applyFill="1"/>
    <xf numFmtId="0" fontId="17" fillId="2" borderId="0" xfId="0"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center" vertical="center"/>
    </xf>
    <xf numFmtId="0" fontId="103" fillId="3" borderId="0" xfId="0" applyFont="1" applyFill="1" applyAlignment="1">
      <alignment horizontal="center" vertical="center"/>
    </xf>
    <xf numFmtId="0" fontId="103" fillId="3" borderId="0" xfId="0" applyFont="1" applyFill="1" applyAlignment="1">
      <alignment horizontal="left" vertical="center"/>
    </xf>
    <xf numFmtId="0" fontId="18" fillId="32" borderId="30" xfId="0" applyFont="1" applyFill="1" applyBorder="1" applyAlignment="1">
      <alignment horizontal="left"/>
    </xf>
    <xf numFmtId="0" fontId="18" fillId="32" borderId="0" xfId="0" applyFont="1" applyFill="1"/>
    <xf numFmtId="0" fontId="105" fillId="4" borderId="0" xfId="0" applyFont="1" applyFill="1" applyAlignment="1">
      <alignment horizontal="left" indent="1"/>
    </xf>
    <xf numFmtId="0" fontId="105" fillId="4" borderId="0" xfId="0" applyFont="1" applyFill="1"/>
    <xf numFmtId="0" fontId="105" fillId="2" borderId="0" xfId="0" applyFont="1" applyFill="1" applyAlignment="1">
      <alignment horizontal="center" vertical="center"/>
    </xf>
    <xf numFmtId="0" fontId="106" fillId="4" borderId="0" xfId="0" applyFont="1" applyFill="1"/>
    <xf numFmtId="0" fontId="14" fillId="4" borderId="0" xfId="0" applyFont="1" applyFill="1" applyAlignment="1">
      <alignment vertical="center"/>
    </xf>
    <xf numFmtId="0" fontId="14" fillId="3" borderId="0" xfId="0" applyFont="1" applyFill="1" applyAlignment="1">
      <alignment horizontal="center" vertical="center"/>
    </xf>
    <xf numFmtId="0" fontId="107" fillId="4" borderId="0" xfId="0" applyFont="1" applyFill="1" applyAlignment="1">
      <alignment horizontal="left" indent="1"/>
    </xf>
    <xf numFmtId="0" fontId="107" fillId="4" borderId="0" xfId="0" applyFont="1" applyFill="1"/>
    <xf numFmtId="0" fontId="107" fillId="2" borderId="0" xfId="0" applyFont="1" applyFill="1" applyAlignment="1">
      <alignment horizontal="center" vertical="center"/>
    </xf>
    <xf numFmtId="0" fontId="97" fillId="4" borderId="0" xfId="0" applyFont="1" applyFill="1"/>
    <xf numFmtId="0" fontId="13" fillId="4" borderId="0" xfId="0" applyFont="1" applyFill="1" applyAlignment="1">
      <alignment vertical="center"/>
    </xf>
    <xf numFmtId="0" fontId="13" fillId="3" borderId="0" xfId="0" applyFont="1" applyFill="1" applyAlignment="1">
      <alignment horizontal="center" vertical="center"/>
    </xf>
    <xf numFmtId="0" fontId="98" fillId="2" borderId="0" xfId="0" applyFont="1" applyFill="1" applyAlignment="1">
      <alignment horizontal="left" vertical="center"/>
    </xf>
    <xf numFmtId="0" fontId="17" fillId="3" borderId="0" xfId="0" applyFont="1" applyFill="1" applyAlignment="1">
      <alignment horizontal="center" vertical="center"/>
    </xf>
    <xf numFmtId="0" fontId="108" fillId="3" borderId="0" xfId="2" applyFont="1" applyFill="1" applyAlignment="1">
      <alignment vertical="center"/>
    </xf>
    <xf numFmtId="0" fontId="108" fillId="3" borderId="0" xfId="2" applyFont="1" applyFill="1" applyAlignment="1">
      <alignment horizontal="center" vertical="center"/>
    </xf>
    <xf numFmtId="1" fontId="8" fillId="3" borderId="0" xfId="2" applyNumberFormat="1" applyFont="1" applyFill="1" applyAlignment="1">
      <alignment horizontal="center" vertical="center"/>
    </xf>
    <xf numFmtId="0" fontId="109" fillId="2" borderId="0" xfId="0" applyFont="1" applyFill="1" applyAlignment="1">
      <alignment horizontal="left" vertical="center"/>
    </xf>
    <xf numFmtId="0" fontId="110" fillId="34" borderId="31" xfId="0" applyFont="1" applyFill="1" applyBorder="1" applyAlignment="1">
      <alignment vertical="center"/>
    </xf>
    <xf numFmtId="0" fontId="111" fillId="34" borderId="32" xfId="0" applyFont="1" applyFill="1" applyBorder="1"/>
    <xf numFmtId="0" fontId="111" fillId="34" borderId="32" xfId="0" applyFont="1" applyFill="1" applyBorder="1" applyAlignment="1">
      <alignment horizontal="center"/>
    </xf>
    <xf numFmtId="0" fontId="87" fillId="35" borderId="32" xfId="0" applyFont="1" applyFill="1" applyBorder="1" applyAlignment="1">
      <alignment horizontal="center" vertical="center"/>
    </xf>
    <xf numFmtId="0" fontId="87" fillId="35" borderId="33" xfId="0" applyFont="1" applyFill="1" applyBorder="1" applyAlignment="1">
      <alignment horizontal="center" vertical="center"/>
    </xf>
    <xf numFmtId="0" fontId="111" fillId="34" borderId="34" xfId="0" applyFont="1" applyFill="1" applyBorder="1"/>
    <xf numFmtId="0" fontId="111" fillId="34" borderId="0" xfId="0" applyFont="1" applyFill="1"/>
    <xf numFmtId="0" fontId="111" fillId="34" borderId="0" xfId="0" applyFont="1" applyFill="1" applyAlignment="1">
      <alignment horizontal="center"/>
    </xf>
    <xf numFmtId="0" fontId="87" fillId="35" borderId="0" xfId="0" applyFont="1" applyFill="1" applyAlignment="1">
      <alignment horizontal="center" vertical="center"/>
    </xf>
    <xf numFmtId="0" fontId="87" fillId="35" borderId="35" xfId="0" applyFont="1" applyFill="1" applyBorder="1" applyAlignment="1">
      <alignment horizontal="center" vertical="center"/>
    </xf>
    <xf numFmtId="0" fontId="6" fillId="34" borderId="0" xfId="0" applyFont="1" applyFill="1"/>
    <xf numFmtId="0" fontId="6" fillId="34" borderId="0" xfId="0" applyFont="1" applyFill="1" applyAlignment="1">
      <alignment horizontal="center"/>
    </xf>
    <xf numFmtId="0" fontId="112" fillId="34" borderId="34" xfId="0" applyFont="1" applyFill="1" applyBorder="1"/>
    <xf numFmtId="0" fontId="7" fillId="35" borderId="34" xfId="2" applyFill="1" applyBorder="1" applyAlignment="1">
      <alignment vertical="top"/>
    </xf>
    <xf numFmtId="0" fontId="113" fillId="35" borderId="0" xfId="0" applyFont="1" applyFill="1" applyAlignment="1">
      <alignment vertical="top"/>
    </xf>
    <xf numFmtId="0" fontId="113" fillId="35" borderId="34" xfId="0" applyFont="1" applyFill="1" applyBorder="1" applyAlignment="1">
      <alignment horizontal="center" vertical="center"/>
    </xf>
    <xf numFmtId="0" fontId="113" fillId="35" borderId="0" xfId="0" applyFont="1" applyFill="1" applyAlignment="1">
      <alignment horizontal="center" vertical="center"/>
    </xf>
    <xf numFmtId="0" fontId="114" fillId="35" borderId="34" xfId="0" applyFont="1" applyFill="1" applyBorder="1" applyAlignment="1">
      <alignment horizontal="left" vertical="top" wrapText="1"/>
    </xf>
    <xf numFmtId="0" fontId="2" fillId="25" borderId="0" xfId="0" applyFont="1" applyFill="1" applyAlignment="1">
      <alignment horizontal="center" vertical="center"/>
    </xf>
    <xf numFmtId="0" fontId="116" fillId="25" borderId="0" xfId="0" applyFont="1" applyFill="1" applyAlignment="1">
      <alignment horizontal="left" vertical="center"/>
    </xf>
    <xf numFmtId="0" fontId="40" fillId="25" borderId="0" xfId="0" applyFont="1" applyFill="1" applyAlignment="1">
      <alignment horizontal="center" vertical="center"/>
    </xf>
    <xf numFmtId="49" fontId="40" fillId="25" borderId="0" xfId="1" applyNumberFormat="1" applyFont="1" applyFill="1" applyAlignment="1">
      <alignment horizontal="right" vertical="center" wrapText="1"/>
    </xf>
    <xf numFmtId="0" fontId="47" fillId="36" borderId="0" xfId="0" applyFont="1" applyFill="1" applyAlignment="1">
      <alignment vertical="center"/>
    </xf>
    <xf numFmtId="0" fontId="7" fillId="0" borderId="0" xfId="2"/>
    <xf numFmtId="0" fontId="94" fillId="0" borderId="25" xfId="2" applyFont="1" applyBorder="1" applyAlignment="1">
      <alignment vertical="center"/>
    </xf>
    <xf numFmtId="0" fontId="3" fillId="0" borderId="0" xfId="0" applyFont="1" applyAlignment="1">
      <alignment horizontal="left" vertical="top"/>
    </xf>
    <xf numFmtId="0" fontId="11" fillId="14" borderId="8" xfId="0" applyFont="1" applyFill="1" applyBorder="1" applyAlignment="1">
      <alignment horizontal="center" vertical="center" wrapText="1"/>
    </xf>
    <xf numFmtId="164" fontId="11" fillId="14" borderId="8" xfId="0" applyNumberFormat="1" applyFont="1" applyFill="1" applyBorder="1" applyAlignment="1">
      <alignment horizontal="center" vertical="center" wrapText="1"/>
    </xf>
    <xf numFmtId="0" fontId="11" fillId="14" borderId="6" xfId="0" applyFont="1" applyFill="1" applyBorder="1" applyAlignment="1">
      <alignment horizontal="center" vertical="center" wrapText="1"/>
    </xf>
    <xf numFmtId="165" fontId="11" fillId="14" borderId="6" xfId="0" applyNumberFormat="1" applyFont="1" applyFill="1" applyBorder="1" applyAlignment="1">
      <alignment horizontal="center" vertical="center" wrapText="1"/>
    </xf>
    <xf numFmtId="0" fontId="37" fillId="14" borderId="8" xfId="0" applyFont="1" applyFill="1" applyBorder="1" applyAlignment="1">
      <alignment horizontal="center" vertical="center" wrapText="1"/>
    </xf>
    <xf numFmtId="0" fontId="11" fillId="3" borderId="0" xfId="0" applyFont="1" applyFill="1" applyAlignment="1">
      <alignment horizontal="center" vertical="center"/>
    </xf>
    <xf numFmtId="164" fontId="11" fillId="14" borderId="6" xfId="0" applyNumberFormat="1" applyFont="1" applyFill="1" applyBorder="1" applyAlignment="1">
      <alignment horizontal="center" vertical="center" wrapText="1"/>
    </xf>
    <xf numFmtId="164" fontId="37" fillId="14" borderId="8" xfId="0" applyNumberFormat="1" applyFont="1" applyFill="1" applyBorder="1" applyAlignment="1">
      <alignment horizontal="center" vertical="center" wrapText="1"/>
    </xf>
    <xf numFmtId="0" fontId="37" fillId="14" borderId="6" xfId="0" applyFont="1" applyFill="1" applyBorder="1" applyAlignment="1">
      <alignment horizontal="center" vertical="center" wrapText="1"/>
    </xf>
    <xf numFmtId="0" fontId="37" fillId="14" borderId="6" xfId="0" applyFont="1" applyFill="1" applyBorder="1" applyAlignment="1">
      <alignment vertical="center" wrapText="1"/>
    </xf>
    <xf numFmtId="164" fontId="37" fillId="14" borderId="6" xfId="0" applyNumberFormat="1" applyFont="1" applyFill="1" applyBorder="1" applyAlignment="1">
      <alignment horizontal="center" vertical="center" wrapText="1"/>
    </xf>
    <xf numFmtId="0" fontId="49" fillId="3" borderId="17" xfId="0" applyFont="1" applyFill="1" applyBorder="1" applyAlignment="1">
      <alignment horizontal="left" vertical="center"/>
    </xf>
    <xf numFmtId="0" fontId="19" fillId="0" borderId="6" xfId="0" applyFont="1" applyBorder="1" applyAlignment="1">
      <alignment horizontal="center" vertical="center"/>
    </xf>
    <xf numFmtId="0" fontId="46" fillId="0" borderId="17" xfId="0" applyFont="1" applyBorder="1" applyAlignment="1">
      <alignment horizontal="left"/>
    </xf>
    <xf numFmtId="0" fontId="46" fillId="0" borderId="0" xfId="0" applyFont="1" applyAlignment="1">
      <alignment horizontal="left" vertical="center"/>
    </xf>
    <xf numFmtId="0" fontId="49" fillId="0" borderId="18" xfId="0" applyFont="1" applyBorder="1" applyAlignment="1">
      <alignment vertical="center"/>
    </xf>
    <xf numFmtId="0" fontId="2" fillId="21" borderId="11" xfId="0" applyFont="1" applyFill="1" applyBorder="1" applyAlignment="1">
      <alignment horizontal="center" vertical="center" wrapText="1"/>
    </xf>
    <xf numFmtId="0" fontId="2" fillId="21" borderId="11" xfId="0" applyFont="1" applyFill="1" applyBorder="1" applyAlignment="1">
      <alignment horizontal="center" vertical="center"/>
    </xf>
    <xf numFmtId="0" fontId="5" fillId="15" borderId="0" xfId="0" applyFont="1" applyFill="1" applyAlignment="1">
      <alignment horizontal="center" vertical="center" wrapText="1"/>
    </xf>
    <xf numFmtId="0" fontId="107" fillId="37" borderId="0" xfId="0" applyFont="1" applyFill="1" applyAlignment="1">
      <alignment horizontal="left" indent="1"/>
    </xf>
    <xf numFmtId="0" fontId="105" fillId="37" borderId="0" xfId="0" applyFont="1" applyFill="1"/>
    <xf numFmtId="0" fontId="105" fillId="25" borderId="0" xfId="0" applyFont="1" applyFill="1" applyAlignment="1">
      <alignment horizontal="center" vertical="center"/>
    </xf>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19" fillId="6" borderId="0" xfId="0" applyFont="1" applyFill="1" applyAlignment="1">
      <alignment horizontal="center" vertical="center" wrapText="1"/>
    </xf>
    <xf numFmtId="0" fontId="5" fillId="26" borderId="0" xfId="0" applyFont="1" applyFill="1" applyAlignment="1">
      <alignment horizontal="left"/>
    </xf>
    <xf numFmtId="0" fontId="76" fillId="26" borderId="0" xfId="0" applyFont="1" applyFill="1" applyAlignment="1">
      <alignment horizontal="left"/>
    </xf>
    <xf numFmtId="49" fontId="3" fillId="2" borderId="10" xfId="1" applyNumberFormat="1" applyFont="1" applyFill="1" applyBorder="1" applyAlignment="1">
      <alignment horizontal="center" vertical="center" wrapText="1"/>
    </xf>
    <xf numFmtId="49" fontId="3" fillId="2" borderId="6" xfId="1" applyNumberFormat="1" applyFont="1" applyFill="1" applyBorder="1" applyAlignment="1">
      <alignment horizontal="center" vertical="center" wrapText="1"/>
    </xf>
    <xf numFmtId="49" fontId="3" fillId="2" borderId="5" xfId="1" applyNumberFormat="1" applyFont="1" applyFill="1" applyBorder="1" applyAlignment="1">
      <alignment horizontal="center" vertical="center" wrapText="1"/>
    </xf>
    <xf numFmtId="0" fontId="19" fillId="6" borderId="0" xfId="0" applyFont="1" applyFill="1" applyAlignment="1">
      <alignment horizontal="center" vertical="center"/>
    </xf>
    <xf numFmtId="0" fontId="84" fillId="26" borderId="0" xfId="2" applyFont="1" applyFill="1" applyAlignment="1">
      <alignment horizontal="left"/>
    </xf>
    <xf numFmtId="0" fontId="77" fillId="0" borderId="3" xfId="0" applyFont="1" applyBorder="1" applyAlignment="1">
      <alignment horizontal="center" vertical="center" wrapText="1"/>
    </xf>
    <xf numFmtId="0" fontId="77" fillId="0" borderId="1" xfId="0" applyFont="1" applyBorder="1" applyAlignment="1">
      <alignment horizontal="center" vertical="center" wrapText="1"/>
    </xf>
    <xf numFmtId="0" fontId="77" fillId="0" borderId="2" xfId="0" applyFont="1" applyBorder="1" applyAlignment="1">
      <alignment horizontal="center" vertical="center" wrapText="1"/>
    </xf>
    <xf numFmtId="0" fontId="20" fillId="2" borderId="0" xfId="0" applyFont="1" applyFill="1" applyAlignment="1">
      <alignment horizontal="center" vertical="center"/>
    </xf>
    <xf numFmtId="0" fontId="17" fillId="2" borderId="0" xfId="0" applyFont="1" applyFill="1" applyAlignment="1">
      <alignment horizontal="center" vertical="center"/>
    </xf>
    <xf numFmtId="0" fontId="22" fillId="2" borderId="0" xfId="0" applyFont="1" applyFill="1" applyAlignment="1">
      <alignment horizontal="center" vertical="center"/>
    </xf>
    <xf numFmtId="0" fontId="23" fillId="2" borderId="0" xfId="0" applyFont="1" applyFill="1" applyAlignment="1">
      <alignment horizontal="center" vertical="center"/>
    </xf>
    <xf numFmtId="0" fontId="26" fillId="7" borderId="3" xfId="0" applyFont="1" applyFill="1" applyBorder="1" applyAlignment="1">
      <alignment horizontal="center" vertical="center"/>
    </xf>
    <xf numFmtId="0" fontId="26" fillId="7" borderId="1" xfId="0" applyFont="1" applyFill="1" applyBorder="1" applyAlignment="1">
      <alignment horizontal="center" vertical="center"/>
    </xf>
    <xf numFmtId="0" fontId="26" fillId="7" borderId="2" xfId="0" applyFont="1" applyFill="1" applyBorder="1" applyAlignment="1">
      <alignment horizontal="center" vertical="center"/>
    </xf>
    <xf numFmtId="0" fontId="18" fillId="5" borderId="0" xfId="0" applyFont="1" applyFill="1" applyAlignment="1">
      <alignment horizontal="center" vertical="center" wrapText="1"/>
    </xf>
    <xf numFmtId="0" fontId="21" fillId="5" borderId="0" xfId="0" applyFont="1" applyFill="1" applyAlignment="1">
      <alignment horizontal="center" vertical="center" wrapText="1"/>
    </xf>
    <xf numFmtId="49" fontId="3" fillId="8" borderId="0" xfId="1" applyNumberFormat="1" applyFont="1" applyFill="1" applyAlignment="1">
      <alignment horizontal="center" vertical="center" wrapText="1"/>
    </xf>
    <xf numFmtId="49" fontId="7" fillId="8" borderId="0" xfId="2" applyNumberFormat="1" applyFill="1" applyBorder="1" applyAlignment="1" applyProtection="1">
      <alignment horizontal="center" vertical="center" wrapText="1"/>
    </xf>
    <xf numFmtId="49" fontId="2" fillId="8" borderId="0" xfId="1" applyNumberFormat="1" applyFont="1" applyFill="1" applyAlignment="1">
      <alignment horizontal="center" vertical="center" wrapText="1"/>
    </xf>
    <xf numFmtId="49" fontId="3" fillId="9" borderId="0" xfId="1" applyNumberFormat="1" applyFont="1" applyFill="1" applyAlignment="1">
      <alignment horizontal="center" vertical="center" wrapText="1"/>
    </xf>
    <xf numFmtId="0" fontId="7" fillId="9" borderId="0" xfId="2" applyFill="1" applyBorder="1" applyAlignment="1">
      <alignment horizontal="center" vertical="center"/>
    </xf>
    <xf numFmtId="0" fontId="2" fillId="9" borderId="0" xfId="0" applyFont="1" applyFill="1" applyAlignment="1">
      <alignment horizontal="center" vertical="center"/>
    </xf>
    <xf numFmtId="0" fontId="7" fillId="8" borderId="0" xfId="2" applyFill="1" applyBorder="1" applyAlignment="1">
      <alignment horizontal="center" vertical="center"/>
    </xf>
    <xf numFmtId="0" fontId="2" fillId="8" borderId="0" xfId="0" applyFont="1" applyFill="1" applyAlignment="1">
      <alignment horizontal="center" vertical="center"/>
    </xf>
    <xf numFmtId="49" fontId="2" fillId="9" borderId="0" xfId="1" applyNumberFormat="1" applyFont="1" applyFill="1" applyAlignment="1">
      <alignment horizontal="center" vertical="center" wrapText="1"/>
    </xf>
    <xf numFmtId="0" fontId="48" fillId="20" borderId="0" xfId="0" applyFont="1" applyFill="1" applyAlignment="1">
      <alignment horizontal="center" vertical="center" wrapText="1"/>
    </xf>
    <xf numFmtId="0" fontId="21" fillId="6" borderId="7" xfId="0" applyFont="1" applyFill="1" applyBorder="1" applyAlignment="1">
      <alignment horizontal="center" vertical="top" wrapText="1"/>
    </xf>
    <xf numFmtId="0" fontId="21" fillId="6" borderId="8" xfId="0" applyFont="1" applyFill="1" applyBorder="1" applyAlignment="1">
      <alignment horizontal="center" vertical="top" wrapText="1"/>
    </xf>
    <xf numFmtId="0" fontId="21" fillId="6" borderId="9" xfId="0" applyFont="1" applyFill="1" applyBorder="1" applyAlignment="1">
      <alignment horizontal="center" vertical="top" wrapText="1"/>
    </xf>
    <xf numFmtId="49" fontId="4" fillId="2" borderId="6" xfId="1" applyNumberFormat="1" applyFont="1" applyFill="1" applyBorder="1" applyAlignment="1">
      <alignment horizontal="center" vertical="center" wrapText="1"/>
    </xf>
    <xf numFmtId="49" fontId="4" fillId="2" borderId="5" xfId="1" applyNumberFormat="1" applyFont="1" applyFill="1" applyBorder="1" applyAlignment="1">
      <alignment horizontal="center" vertical="center" wrapText="1"/>
    </xf>
    <xf numFmtId="0" fontId="4" fillId="0" borderId="0" xfId="1" applyFont="1" applyAlignment="1">
      <alignment horizontal="center" vertical="center" wrapText="1"/>
    </xf>
    <xf numFmtId="0" fontId="4" fillId="0" borderId="4" xfId="1" applyFont="1" applyBorder="1" applyAlignment="1">
      <alignment horizontal="center" vertical="center" wrapText="1"/>
    </xf>
    <xf numFmtId="0" fontId="48" fillId="20" borderId="0" xfId="0" applyFont="1" applyFill="1" applyAlignment="1">
      <alignment horizontal="center" vertical="center"/>
    </xf>
    <xf numFmtId="49" fontId="4" fillId="0" borderId="6"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0" fontId="19" fillId="6" borderId="7" xfId="0" applyFont="1" applyFill="1" applyBorder="1" applyAlignment="1">
      <alignment horizontal="center" vertical="center" wrapText="1"/>
    </xf>
    <xf numFmtId="0" fontId="19" fillId="6" borderId="8" xfId="0" applyFont="1" applyFill="1" applyBorder="1" applyAlignment="1">
      <alignment horizontal="center" vertical="center" wrapText="1"/>
    </xf>
    <xf numFmtId="0" fontId="19" fillId="6" borderId="9" xfId="0" applyFont="1" applyFill="1" applyBorder="1" applyAlignment="1">
      <alignment horizontal="center" vertical="center" wrapText="1"/>
    </xf>
    <xf numFmtId="49" fontId="4" fillId="0" borderId="0" xfId="1" applyNumberFormat="1" applyFont="1" applyAlignment="1">
      <alignment horizontal="center" vertical="center" wrapText="1"/>
    </xf>
    <xf numFmtId="49" fontId="4" fillId="0" borderId="4" xfId="1" applyNumberFormat="1" applyFont="1" applyBorder="1" applyAlignment="1">
      <alignment horizontal="center" vertical="center" wrapText="1"/>
    </xf>
    <xf numFmtId="49" fontId="3" fillId="0" borderId="6" xfId="1" applyNumberFormat="1" applyFont="1" applyBorder="1" applyAlignment="1">
      <alignment horizontal="center" vertical="center" wrapText="1"/>
    </xf>
    <xf numFmtId="49" fontId="3" fillId="0" borderId="5" xfId="1" applyNumberFormat="1" applyFont="1" applyBorder="1" applyAlignment="1">
      <alignment horizontal="center" vertical="center" wrapText="1"/>
    </xf>
    <xf numFmtId="49" fontId="37" fillId="14" borderId="7" xfId="1" applyNumberFormat="1" applyFont="1" applyFill="1" applyBorder="1" applyAlignment="1">
      <alignment horizontal="center" vertical="center" wrapText="1"/>
    </xf>
    <xf numFmtId="49" fontId="37" fillId="14" borderId="10" xfId="1" applyNumberFormat="1" applyFont="1" applyFill="1" applyBorder="1" applyAlignment="1">
      <alignment horizontal="center" vertical="center" wrapText="1"/>
    </xf>
    <xf numFmtId="0" fontId="37" fillId="14" borderId="8" xfId="0" applyFont="1" applyFill="1" applyBorder="1" applyAlignment="1">
      <alignment horizontal="center" vertical="center" wrapText="1"/>
    </xf>
    <xf numFmtId="0" fontId="37" fillId="14" borderId="6" xfId="0" applyFont="1" applyFill="1" applyBorder="1" applyAlignment="1">
      <alignment horizontal="center" vertical="center" wrapText="1"/>
    </xf>
    <xf numFmtId="49" fontId="37" fillId="14" borderId="8" xfId="1" applyNumberFormat="1" applyFont="1" applyFill="1" applyBorder="1" applyAlignment="1">
      <alignment horizontal="center" vertical="center" wrapText="1"/>
    </xf>
    <xf numFmtId="49" fontId="37" fillId="14" borderId="9" xfId="1" applyNumberFormat="1" applyFont="1" applyFill="1" applyBorder="1" applyAlignment="1">
      <alignment horizontal="center" vertical="center" wrapText="1"/>
    </xf>
    <xf numFmtId="49" fontId="37" fillId="14" borderId="6" xfId="1" applyNumberFormat="1" applyFont="1" applyFill="1" applyBorder="1" applyAlignment="1">
      <alignment horizontal="center" vertical="center" wrapText="1"/>
    </xf>
    <xf numFmtId="49" fontId="37" fillId="14" borderId="5" xfId="1" applyNumberFormat="1" applyFont="1" applyFill="1" applyBorder="1" applyAlignment="1">
      <alignment horizontal="center" vertical="center" wrapText="1"/>
    </xf>
    <xf numFmtId="0" fontId="5" fillId="10" borderId="0" xfId="0" applyFont="1" applyFill="1" applyAlignment="1">
      <alignment horizontal="center" vertical="center"/>
    </xf>
    <xf numFmtId="49" fontId="11" fillId="14" borderId="7" xfId="1" applyNumberFormat="1" applyFont="1" applyFill="1" applyBorder="1" applyAlignment="1">
      <alignment horizontal="center" vertical="center" wrapText="1"/>
    </xf>
    <xf numFmtId="49" fontId="11" fillId="14" borderId="10" xfId="1" applyNumberFormat="1" applyFont="1" applyFill="1" applyBorder="1" applyAlignment="1">
      <alignment horizontal="center" vertical="center" wrapText="1"/>
    </xf>
    <xf numFmtId="0" fontId="11" fillId="14" borderId="8" xfId="0" applyFont="1" applyFill="1" applyBorder="1" applyAlignment="1">
      <alignment horizontal="center" vertical="center" wrapText="1"/>
    </xf>
    <xf numFmtId="0" fontId="11" fillId="14" borderId="6" xfId="0" applyFont="1" applyFill="1" applyBorder="1" applyAlignment="1">
      <alignment horizontal="center" vertical="center" wrapText="1"/>
    </xf>
    <xf numFmtId="49" fontId="11" fillId="14" borderId="8" xfId="1" applyNumberFormat="1" applyFont="1" applyFill="1" applyBorder="1" applyAlignment="1">
      <alignment horizontal="center" vertical="center" wrapText="1"/>
    </xf>
    <xf numFmtId="49" fontId="11" fillId="14" borderId="9" xfId="1" applyNumberFormat="1" applyFont="1" applyFill="1" applyBorder="1" applyAlignment="1">
      <alignment horizontal="center" vertical="center" wrapText="1"/>
    </xf>
    <xf numFmtId="49" fontId="11" fillId="14" borderId="6" xfId="1" applyNumberFormat="1" applyFont="1" applyFill="1" applyBorder="1" applyAlignment="1">
      <alignment horizontal="center" vertical="center" wrapText="1"/>
    </xf>
    <xf numFmtId="49" fontId="11" fillId="14" borderId="5" xfId="1" applyNumberFormat="1" applyFont="1" applyFill="1" applyBorder="1" applyAlignment="1">
      <alignment horizontal="center" vertical="center" wrapText="1"/>
    </xf>
    <xf numFmtId="0" fontId="19" fillId="4" borderId="0" xfId="0" applyFont="1" applyFill="1" applyAlignment="1">
      <alignment horizontal="center" vertical="center"/>
    </xf>
    <xf numFmtId="49" fontId="2" fillId="14" borderId="0" xfId="1" applyNumberFormat="1" applyFont="1" applyFill="1" applyAlignment="1">
      <alignment horizontal="center" vertical="center" wrapText="1"/>
    </xf>
    <xf numFmtId="0" fontId="2" fillId="14" borderId="0" xfId="0" applyFont="1" applyFill="1" applyAlignment="1">
      <alignment horizontal="center" vertical="center" wrapText="1"/>
    </xf>
    <xf numFmtId="49" fontId="2" fillId="14" borderId="7" xfId="1" applyNumberFormat="1" applyFont="1" applyFill="1" applyBorder="1" applyAlignment="1">
      <alignment horizontal="center" vertical="center" wrapText="1"/>
    </xf>
    <xf numFmtId="49" fontId="2" fillId="14" borderId="10" xfId="1" applyNumberFormat="1" applyFont="1" applyFill="1" applyBorder="1" applyAlignment="1">
      <alignment horizontal="center" vertical="center" wrapText="1"/>
    </xf>
    <xf numFmtId="0" fontId="2" fillId="14" borderId="8" xfId="0" applyFont="1" applyFill="1" applyBorder="1" applyAlignment="1">
      <alignment horizontal="center" vertical="center" wrapText="1"/>
    </xf>
    <xf numFmtId="0" fontId="2" fillId="14" borderId="6" xfId="0" applyFont="1" applyFill="1" applyBorder="1" applyAlignment="1">
      <alignment horizontal="center" vertical="center" wrapText="1"/>
    </xf>
    <xf numFmtId="49" fontId="16" fillId="14" borderId="8" xfId="1" applyNumberFormat="1" applyFont="1" applyFill="1" applyBorder="1" applyAlignment="1">
      <alignment horizontal="center" vertical="center" wrapText="1"/>
    </xf>
    <xf numFmtId="49" fontId="16" fillId="14" borderId="9" xfId="1" applyNumberFormat="1" applyFont="1" applyFill="1" applyBorder="1" applyAlignment="1">
      <alignment horizontal="center" vertical="center" wrapText="1"/>
    </xf>
    <xf numFmtId="49" fontId="16" fillId="14" borderId="6" xfId="1" applyNumberFormat="1" applyFont="1" applyFill="1" applyBorder="1" applyAlignment="1">
      <alignment horizontal="center" vertical="center" wrapText="1"/>
    </xf>
    <xf numFmtId="49" fontId="16" fillId="14" borderId="5" xfId="1" applyNumberFormat="1" applyFont="1" applyFill="1" applyBorder="1" applyAlignment="1">
      <alignment horizontal="center" vertical="center" wrapText="1"/>
    </xf>
    <xf numFmtId="0" fontId="37" fillId="14" borderId="0" xfId="0" applyFont="1" applyFill="1" applyAlignment="1">
      <alignment horizontal="center" vertical="center" wrapText="1"/>
    </xf>
    <xf numFmtId="49" fontId="14" fillId="14" borderId="7" xfId="1" applyNumberFormat="1" applyFont="1" applyFill="1" applyBorder="1" applyAlignment="1">
      <alignment horizontal="center" vertical="center" wrapText="1"/>
    </xf>
    <xf numFmtId="49" fontId="14" fillId="14" borderId="10" xfId="1" applyNumberFormat="1" applyFont="1" applyFill="1" applyBorder="1" applyAlignment="1">
      <alignment horizontal="center" vertical="center" wrapText="1"/>
    </xf>
    <xf numFmtId="0" fontId="14" fillId="14" borderId="8" xfId="0" applyFont="1" applyFill="1" applyBorder="1" applyAlignment="1">
      <alignment horizontal="center" vertical="center" wrapText="1"/>
    </xf>
    <xf numFmtId="0" fontId="14" fillId="14" borderId="6" xfId="0" applyFont="1" applyFill="1" applyBorder="1" applyAlignment="1">
      <alignment horizontal="center" vertical="center" wrapText="1"/>
    </xf>
    <xf numFmtId="0" fontId="5" fillId="15" borderId="0" xfId="0" applyFont="1" applyFill="1" applyAlignment="1">
      <alignment horizontal="center" vertical="center" wrapText="1"/>
    </xf>
    <xf numFmtId="0" fontId="36" fillId="15" borderId="0" xfId="0" applyFont="1" applyFill="1" applyAlignment="1">
      <alignment horizontal="center" vertical="center" wrapText="1"/>
    </xf>
    <xf numFmtId="0" fontId="95" fillId="3" borderId="0" xfId="0" applyFont="1" applyFill="1" applyAlignment="1">
      <alignment horizontal="center" vertical="center" wrapText="1"/>
    </xf>
    <xf numFmtId="0" fontId="36" fillId="16" borderId="0" xfId="0" applyFont="1" applyFill="1" applyAlignment="1">
      <alignment horizontal="center" vertical="center" wrapText="1"/>
    </xf>
    <xf numFmtId="49" fontId="4" fillId="2" borderId="0" xfId="1" applyNumberFormat="1" applyFont="1" applyFill="1" applyAlignment="1">
      <alignment horizontal="center" vertical="center" wrapText="1"/>
    </xf>
    <xf numFmtId="49" fontId="4" fillId="2" borderId="4" xfId="1" applyNumberFormat="1" applyFont="1" applyFill="1" applyBorder="1" applyAlignment="1">
      <alignment horizontal="center" vertical="center" wrapText="1"/>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 xfId="0" applyFont="1" applyFill="1" applyBorder="1" applyAlignment="1">
      <alignment horizontal="center" vertical="center"/>
    </xf>
    <xf numFmtId="0" fontId="7" fillId="35" borderId="34" xfId="2" applyFill="1" applyBorder="1" applyAlignment="1">
      <alignment horizontal="left" vertical="top"/>
    </xf>
    <xf numFmtId="0" fontId="7" fillId="35" borderId="0" xfId="2" applyFill="1" applyBorder="1" applyAlignment="1">
      <alignment horizontal="left" vertical="top"/>
    </xf>
    <xf numFmtId="0" fontId="115" fillId="0" borderId="36" xfId="0" applyFont="1" applyBorder="1" applyAlignment="1">
      <alignment horizontal="left" vertical="top" wrapText="1"/>
    </xf>
    <xf numFmtId="0" fontId="115" fillId="0" borderId="37" xfId="0" applyFont="1" applyBorder="1" applyAlignment="1">
      <alignment horizontal="left" vertical="top" wrapText="1"/>
    </xf>
    <xf numFmtId="0" fontId="115" fillId="0" borderId="38" xfId="0" applyFont="1" applyBorder="1" applyAlignment="1">
      <alignment horizontal="left" vertical="top" wrapText="1"/>
    </xf>
    <xf numFmtId="0" fontId="4" fillId="2" borderId="0" xfId="1" applyFont="1" applyFill="1" applyAlignment="1">
      <alignment horizontal="center" vertical="center" wrapText="1"/>
    </xf>
    <xf numFmtId="0" fontId="4" fillId="2" borderId="4" xfId="1" applyFont="1" applyFill="1" applyBorder="1" applyAlignment="1">
      <alignment horizontal="center" vertical="center" wrapText="1"/>
    </xf>
    <xf numFmtId="49" fontId="4" fillId="2" borderId="10" xfId="1" applyNumberFormat="1" applyFont="1" applyFill="1" applyBorder="1" applyAlignment="1">
      <alignment horizontal="center" vertical="center" wrapText="1"/>
    </xf>
    <xf numFmtId="165" fontId="14" fillId="14" borderId="0" xfId="0" applyNumberFormat="1" applyFont="1" applyFill="1" applyAlignment="1" applyProtection="1">
      <alignment horizontal="center" vertical="center" wrapText="1"/>
      <protection hidden="1"/>
    </xf>
    <xf numFmtId="0" fontId="99" fillId="33" borderId="12" xfId="0" applyFont="1" applyFill="1" applyBorder="1" applyAlignment="1">
      <alignment horizontal="center" vertical="center"/>
    </xf>
    <xf numFmtId="0" fontId="99" fillId="33" borderId="0" xfId="0" applyFont="1" applyFill="1" applyAlignment="1">
      <alignment horizontal="center" vertical="center"/>
    </xf>
    <xf numFmtId="0" fontId="99" fillId="31" borderId="30" xfId="0" applyFont="1" applyFill="1" applyBorder="1" applyAlignment="1">
      <alignment horizontal="center" vertical="center"/>
    </xf>
    <xf numFmtId="0" fontId="99" fillId="31" borderId="0" xfId="0" applyFont="1" applyFill="1" applyAlignment="1">
      <alignment horizontal="center" vertical="center"/>
    </xf>
    <xf numFmtId="0" fontId="99" fillId="31" borderId="12" xfId="0" applyFont="1" applyFill="1" applyBorder="1" applyAlignment="1">
      <alignment horizontal="center" vertical="center"/>
    </xf>
  </cellXfs>
  <cellStyles count="14">
    <cellStyle name="20% - Énfasis5 2" xfId="6" xr:uid="{3BCF1360-D7B1-4A9F-B3EB-E685373263C5}"/>
    <cellStyle name="Bueno 2" xfId="8" xr:uid="{5C33E207-4387-41E2-853C-336B4D579AED}"/>
    <cellStyle name="Hipervínculo" xfId="2" builtinId="8"/>
    <cellStyle name="Incorrecto 2" xfId="7" xr:uid="{FC47C75B-DB2D-4A6A-9E18-58A18FA319FC}"/>
    <cellStyle name="Normal" xfId="0" builtinId="0"/>
    <cellStyle name="Normal 10" xfId="12" xr:uid="{72078D49-EE06-4A41-8E83-FEC562DE3D90}"/>
    <cellStyle name="Normal 2" xfId="1" xr:uid="{00000000-0005-0000-0000-000003000000}"/>
    <cellStyle name="Normal 2 2" xfId="10" xr:uid="{AAFA328B-B869-4F25-94E5-5C6022900CAC}"/>
    <cellStyle name="Normal 3" xfId="3" xr:uid="{932B2D1F-A5EF-42D1-B5E1-C5B01BE79EF3}"/>
    <cellStyle name="Normal 3 2" xfId="9" xr:uid="{DAB64628-937D-4FD4-8ADD-FB2BF9323E22}"/>
    <cellStyle name="Normal 8 2 2" xfId="13" xr:uid="{4E8D6062-631E-420D-9C93-5B0D88967A7C}"/>
    <cellStyle name="Standard 2" xfId="11" xr:uid="{4713C27F-440F-4308-B0A4-5BB9F76730FD}"/>
    <cellStyle name="常规 2" xfId="5" xr:uid="{B6FF3D29-32D2-46A2-BD15-45A8479EF454}"/>
    <cellStyle name="常规 9" xfId="4" xr:uid="{A7FCD60D-A616-4882-88D0-9BF93C3C3CE2}"/>
  </cellStyles>
  <dxfs count="1">
    <dxf>
      <font>
        <color rgb="FF9C0006"/>
      </font>
      <fill>
        <patternFill>
          <bgColor rgb="FFFFC7CE"/>
        </patternFill>
      </fill>
    </dxf>
  </dxfs>
  <tableStyles count="0" defaultTableStyle="TableStyleMedium2" defaultPivotStyle="PivotStyleLight16"/>
  <colors>
    <mruColors>
      <color rgb="FFFFFF99"/>
      <color rgb="FFCCECFF"/>
      <color rgb="FFEA6C3A"/>
      <color rgb="FFCCD4DE"/>
      <color rgb="FFFF5050"/>
      <color rgb="FF003CB4"/>
      <color rgb="FFFCD0F0"/>
      <color rgb="FFFFCCFF"/>
      <color rgb="FF99CCFF"/>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hyperlink" Target="https://world.lines.coscoshipping.com/spain/es/home"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hyperlink" Target="https://world.lines.coscoshipping.com/spain/es/home"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hyperlink" Target="https://world.lines.coscoshipping.com/spain/es/home"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hyperlink" Target="https://world.lines.coscoshipping.com/spain/es/home"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hyperlink" Target="https://world.lines.coscoshipping.com/spain/es/home"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hyperlink" Target="https://world.lines.coscoshipping.com/spain/es/home" TargetMode="External"/><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hyperlink" Target="https://world.lines.coscoshipping.com/spain/es/home" TargetMode="External"/><Relationship Id="rId4" Type="http://schemas.openxmlformats.org/officeDocument/2006/relationships/image" Target="../media/image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4</xdr:col>
      <xdr:colOff>638175</xdr:colOff>
      <xdr:row>2</xdr:row>
      <xdr:rowOff>114300</xdr:rowOff>
    </xdr:from>
    <xdr:to>
      <xdr:col>6</xdr:col>
      <xdr:colOff>219576</xdr:colOff>
      <xdr:row>12</xdr:row>
      <xdr:rowOff>85725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stretch>
          <a:fillRect/>
        </a:stretch>
      </xdr:blipFill>
      <xdr:spPr>
        <a:xfrm>
          <a:off x="7248525" y="257175"/>
          <a:ext cx="1105401" cy="1400175"/>
        </a:xfrm>
        <a:prstGeom prst="rect">
          <a:avLst/>
        </a:prstGeom>
      </xdr:spPr>
    </xdr:pic>
    <xdr:clientData/>
  </xdr:twoCellAnchor>
  <xdr:twoCellAnchor editAs="oneCell">
    <xdr:from>
      <xdr:col>6</xdr:col>
      <xdr:colOff>695325</xdr:colOff>
      <xdr:row>2</xdr:row>
      <xdr:rowOff>85725</xdr:rowOff>
    </xdr:from>
    <xdr:to>
      <xdr:col>7</xdr:col>
      <xdr:colOff>868815</xdr:colOff>
      <xdr:row>12</xdr:row>
      <xdr:rowOff>59190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stretch>
          <a:fillRect/>
        </a:stretch>
      </xdr:blipFill>
      <xdr:spPr>
        <a:xfrm>
          <a:off x="8829675" y="228600"/>
          <a:ext cx="1402215" cy="1402215"/>
        </a:xfrm>
        <a:prstGeom prst="rect">
          <a:avLst/>
        </a:prstGeom>
      </xdr:spPr>
    </xdr:pic>
    <xdr:clientData/>
  </xdr:twoCellAnchor>
  <xdr:twoCellAnchor editAs="oneCell">
    <xdr:from>
      <xdr:col>3</xdr:col>
      <xdr:colOff>28780</xdr:colOff>
      <xdr:row>18</xdr:row>
      <xdr:rowOff>112909</xdr:rowOff>
    </xdr:from>
    <xdr:to>
      <xdr:col>8</xdr:col>
      <xdr:colOff>952501</xdr:colOff>
      <xdr:row>26</xdr:row>
      <xdr:rowOff>28409</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6096205" y="3122809"/>
          <a:ext cx="6076746" cy="1439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1</xdr:row>
      <xdr:rowOff>190500</xdr:rowOff>
    </xdr:from>
    <xdr:to>
      <xdr:col>19</xdr:col>
      <xdr:colOff>473789</xdr:colOff>
      <xdr:row>5</xdr:row>
      <xdr:rowOff>20576</xdr:rowOff>
    </xdr:to>
    <xdr:pic>
      <xdr:nvPicPr>
        <xdr:cNvPr id="2" name="Imagen 1" descr="Resultado de imagen de cosco shipping">
          <a:hlinkClick xmlns:r="http://schemas.openxmlformats.org/officeDocument/2006/relationships" r:id="rId1"/>
          <a:extLst>
            <a:ext uri="{FF2B5EF4-FFF2-40B4-BE49-F238E27FC236}">
              <a16:creationId xmlns:a16="http://schemas.microsoft.com/office/drawing/2014/main" id="{840CB928-90F8-4BC3-BAD8-31915C7C431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8677275" y="285750"/>
          <a:ext cx="3754199" cy="704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590550</xdr:colOff>
      <xdr:row>7</xdr:row>
      <xdr:rowOff>95250</xdr:rowOff>
    </xdr:from>
    <xdr:to>
      <xdr:col>4</xdr:col>
      <xdr:colOff>672465</xdr:colOff>
      <xdr:row>13</xdr:row>
      <xdr:rowOff>24765</xdr:rowOff>
    </xdr:to>
    <xdr:pic>
      <xdr:nvPicPr>
        <xdr:cNvPr id="3" name="Imagen 2" descr="imagen">
          <a:extLst>
            <a:ext uri="{FF2B5EF4-FFF2-40B4-BE49-F238E27FC236}">
              <a16:creationId xmlns:a16="http://schemas.microsoft.com/office/drawing/2014/main" id="{6B8E6B2C-CC5A-49E5-B420-6AFFFF405D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4875" y="1524000"/>
          <a:ext cx="2998470" cy="1120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676275</xdr:colOff>
      <xdr:row>1</xdr:row>
      <xdr:rowOff>171450</xdr:rowOff>
    </xdr:from>
    <xdr:to>
      <xdr:col>19</xdr:col>
      <xdr:colOff>557609</xdr:colOff>
      <xdr:row>4</xdr:row>
      <xdr:rowOff>289181</xdr:rowOff>
    </xdr:to>
    <xdr:pic>
      <xdr:nvPicPr>
        <xdr:cNvPr id="2" name="Imagen 1" descr="Resultado de imagen de cosco shipping">
          <a:hlinkClick xmlns:r="http://schemas.openxmlformats.org/officeDocument/2006/relationships" r:id="rId1"/>
          <a:extLst>
            <a:ext uri="{FF2B5EF4-FFF2-40B4-BE49-F238E27FC236}">
              <a16:creationId xmlns:a16="http://schemas.microsoft.com/office/drawing/2014/main" id="{A126A4D5-7B0C-4BBB-907D-312A88E81541}"/>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8934450" y="285750"/>
          <a:ext cx="3758009" cy="708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561975</xdr:colOff>
      <xdr:row>7</xdr:row>
      <xdr:rowOff>95250</xdr:rowOff>
    </xdr:from>
    <xdr:to>
      <xdr:col>3</xdr:col>
      <xdr:colOff>1209675</xdr:colOff>
      <xdr:row>13</xdr:row>
      <xdr:rowOff>95250</xdr:rowOff>
    </xdr:to>
    <xdr:pic>
      <xdr:nvPicPr>
        <xdr:cNvPr id="3" name="Imagen 2" descr="imagen">
          <a:extLst>
            <a:ext uri="{FF2B5EF4-FFF2-40B4-BE49-F238E27FC236}">
              <a16:creationId xmlns:a16="http://schemas.microsoft.com/office/drawing/2014/main" id="{80633F97-1F68-467C-A6ED-513DF5F736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6300" y="1533525"/>
          <a:ext cx="3000375"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0</xdr:colOff>
      <xdr:row>1</xdr:row>
      <xdr:rowOff>180975</xdr:rowOff>
    </xdr:from>
    <xdr:to>
      <xdr:col>19</xdr:col>
      <xdr:colOff>567134</xdr:colOff>
      <xdr:row>4</xdr:row>
      <xdr:rowOff>300611</xdr:rowOff>
    </xdr:to>
    <xdr:pic>
      <xdr:nvPicPr>
        <xdr:cNvPr id="2" name="Imagen 1" descr="Resultado de imagen de cosco shipping">
          <a:hlinkClick xmlns:r="http://schemas.openxmlformats.org/officeDocument/2006/relationships" r:id="rId1"/>
          <a:extLst>
            <a:ext uri="{FF2B5EF4-FFF2-40B4-BE49-F238E27FC236}">
              <a16:creationId xmlns:a16="http://schemas.microsoft.com/office/drawing/2014/main" id="{D0C34904-E154-4D05-9AD2-D21A95A5387B}"/>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8258175" y="285750"/>
          <a:ext cx="3758009" cy="708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552450</xdr:colOff>
      <xdr:row>7</xdr:row>
      <xdr:rowOff>28575</xdr:rowOff>
    </xdr:from>
    <xdr:to>
      <xdr:col>4</xdr:col>
      <xdr:colOff>529590</xdr:colOff>
      <xdr:row>12</xdr:row>
      <xdr:rowOff>118110</xdr:rowOff>
    </xdr:to>
    <xdr:pic>
      <xdr:nvPicPr>
        <xdr:cNvPr id="3" name="Imagen 2" descr="imagen">
          <a:extLst>
            <a:ext uri="{FF2B5EF4-FFF2-40B4-BE49-F238E27FC236}">
              <a16:creationId xmlns:a16="http://schemas.microsoft.com/office/drawing/2014/main" id="{3E068A6A-65D2-4728-B88B-2E0851933C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6775" y="1466850"/>
          <a:ext cx="3000375"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133350</xdr:colOff>
      <xdr:row>1</xdr:row>
      <xdr:rowOff>114300</xdr:rowOff>
    </xdr:from>
    <xdr:to>
      <xdr:col>17</xdr:col>
      <xdr:colOff>700484</xdr:colOff>
      <xdr:row>4</xdr:row>
      <xdr:rowOff>193931</xdr:rowOff>
    </xdr:to>
    <xdr:pic>
      <xdr:nvPicPr>
        <xdr:cNvPr id="2" name="Imagen 1" descr="Resultado de imagen de cosco shipping">
          <a:hlinkClick xmlns:r="http://schemas.openxmlformats.org/officeDocument/2006/relationships" r:id="rId1"/>
          <a:extLst>
            <a:ext uri="{FF2B5EF4-FFF2-40B4-BE49-F238E27FC236}">
              <a16:creationId xmlns:a16="http://schemas.microsoft.com/office/drawing/2014/main" id="{FC746415-85CF-4381-8668-37F89B00832E}"/>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8791575" y="257175"/>
          <a:ext cx="3758009" cy="708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495300</xdr:colOff>
      <xdr:row>7</xdr:row>
      <xdr:rowOff>95250</xdr:rowOff>
    </xdr:from>
    <xdr:to>
      <xdr:col>4</xdr:col>
      <xdr:colOff>254000</xdr:colOff>
      <xdr:row>13</xdr:row>
      <xdr:rowOff>47625</xdr:rowOff>
    </xdr:to>
    <xdr:pic>
      <xdr:nvPicPr>
        <xdr:cNvPr id="3" name="Imagen 2" descr="imagen">
          <a:extLst>
            <a:ext uri="{FF2B5EF4-FFF2-40B4-BE49-F238E27FC236}">
              <a16:creationId xmlns:a16="http://schemas.microsoft.com/office/drawing/2014/main" id="{62CFA4EF-141B-42B3-B912-CAB9C212F4C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4875" y="1600200"/>
          <a:ext cx="3006725"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133350</xdr:colOff>
      <xdr:row>1</xdr:row>
      <xdr:rowOff>114300</xdr:rowOff>
    </xdr:from>
    <xdr:to>
      <xdr:col>17</xdr:col>
      <xdr:colOff>128985</xdr:colOff>
      <xdr:row>7</xdr:row>
      <xdr:rowOff>60581</xdr:rowOff>
    </xdr:to>
    <xdr:pic>
      <xdr:nvPicPr>
        <xdr:cNvPr id="2" name="Imagen 1" descr="Resultado de imagen de cosco shipping">
          <a:hlinkClick xmlns:r="http://schemas.openxmlformats.org/officeDocument/2006/relationships" r:id="rId1"/>
          <a:extLst>
            <a:ext uri="{FF2B5EF4-FFF2-40B4-BE49-F238E27FC236}">
              <a16:creationId xmlns:a16="http://schemas.microsoft.com/office/drawing/2014/main" id="{36DFF5A2-D485-4B63-B05E-A6A90B287613}"/>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12134850" y="257175"/>
          <a:ext cx="3758010" cy="1089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495300</xdr:colOff>
      <xdr:row>8</xdr:row>
      <xdr:rowOff>95250</xdr:rowOff>
    </xdr:from>
    <xdr:to>
      <xdr:col>2</xdr:col>
      <xdr:colOff>2006600</xdr:colOff>
      <xdr:row>15</xdr:row>
      <xdr:rowOff>95250</xdr:rowOff>
    </xdr:to>
    <xdr:pic>
      <xdr:nvPicPr>
        <xdr:cNvPr id="3" name="Imagen 2" descr="imagen">
          <a:extLst>
            <a:ext uri="{FF2B5EF4-FFF2-40B4-BE49-F238E27FC236}">
              <a16:creationId xmlns:a16="http://schemas.microsoft.com/office/drawing/2014/main" id="{B4FD7C9D-263B-4E7F-BAFE-17FC954A7D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4875" y="1809750"/>
          <a:ext cx="300672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133350</xdr:colOff>
      <xdr:row>1</xdr:row>
      <xdr:rowOff>114300</xdr:rowOff>
    </xdr:from>
    <xdr:to>
      <xdr:col>17</xdr:col>
      <xdr:colOff>128985</xdr:colOff>
      <xdr:row>7</xdr:row>
      <xdr:rowOff>60581</xdr:rowOff>
    </xdr:to>
    <xdr:pic>
      <xdr:nvPicPr>
        <xdr:cNvPr id="4" name="Imagen 3" descr="Resultado de imagen de cosco shipping">
          <a:hlinkClick xmlns:r="http://schemas.openxmlformats.org/officeDocument/2006/relationships" r:id="rId1"/>
          <a:extLst>
            <a:ext uri="{FF2B5EF4-FFF2-40B4-BE49-F238E27FC236}">
              <a16:creationId xmlns:a16="http://schemas.microsoft.com/office/drawing/2014/main" id="{AF3910BA-B356-4364-9E2A-855CDA591AA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12134850" y="257175"/>
          <a:ext cx="3758010" cy="1089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495300</xdr:colOff>
      <xdr:row>8</xdr:row>
      <xdr:rowOff>95250</xdr:rowOff>
    </xdr:from>
    <xdr:to>
      <xdr:col>2</xdr:col>
      <xdr:colOff>2006600</xdr:colOff>
      <xdr:row>15</xdr:row>
      <xdr:rowOff>95250</xdr:rowOff>
    </xdr:to>
    <xdr:pic>
      <xdr:nvPicPr>
        <xdr:cNvPr id="5" name="Imagen 4" descr="imagen">
          <a:extLst>
            <a:ext uri="{FF2B5EF4-FFF2-40B4-BE49-F238E27FC236}">
              <a16:creationId xmlns:a16="http://schemas.microsoft.com/office/drawing/2014/main" id="{981FEDC7-07F2-4BBF-ABAE-FE09A10BAAE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4875" y="1809750"/>
          <a:ext cx="300672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495300</xdr:colOff>
      <xdr:row>8</xdr:row>
      <xdr:rowOff>95250</xdr:rowOff>
    </xdr:from>
    <xdr:to>
      <xdr:col>3</xdr:col>
      <xdr:colOff>1139825</xdr:colOff>
      <xdr:row>15</xdr:row>
      <xdr:rowOff>38100</xdr:rowOff>
    </xdr:to>
    <xdr:pic>
      <xdr:nvPicPr>
        <xdr:cNvPr id="3" name="Imagen 2" descr="imagen">
          <a:extLst>
            <a:ext uri="{FF2B5EF4-FFF2-40B4-BE49-F238E27FC236}">
              <a16:creationId xmlns:a16="http://schemas.microsoft.com/office/drawing/2014/main" id="{674060A7-086A-457F-AD10-7EF7D404F1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809750"/>
          <a:ext cx="3006725"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495300</xdr:colOff>
      <xdr:row>8</xdr:row>
      <xdr:rowOff>95250</xdr:rowOff>
    </xdr:from>
    <xdr:to>
      <xdr:col>3</xdr:col>
      <xdr:colOff>1139825</xdr:colOff>
      <xdr:row>15</xdr:row>
      <xdr:rowOff>38100</xdr:rowOff>
    </xdr:to>
    <xdr:pic>
      <xdr:nvPicPr>
        <xdr:cNvPr id="5" name="Imagen 4" descr="imagen">
          <a:extLst>
            <a:ext uri="{FF2B5EF4-FFF2-40B4-BE49-F238E27FC236}">
              <a16:creationId xmlns:a16="http://schemas.microsoft.com/office/drawing/2014/main" id="{74E40651-E5E9-43C8-AE02-C57065B53A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419225"/>
          <a:ext cx="6350000"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457200</xdr:colOff>
      <xdr:row>2</xdr:row>
      <xdr:rowOff>85725</xdr:rowOff>
    </xdr:from>
    <xdr:to>
      <xdr:col>15</xdr:col>
      <xdr:colOff>1271985</xdr:colOff>
      <xdr:row>8</xdr:row>
      <xdr:rowOff>136781</xdr:rowOff>
    </xdr:to>
    <xdr:pic>
      <xdr:nvPicPr>
        <xdr:cNvPr id="8" name="Imagen 7" descr="Resultado de imagen de cosco shipping">
          <a:hlinkClick xmlns:r="http://schemas.openxmlformats.org/officeDocument/2006/relationships" r:id="rId2"/>
          <a:extLst>
            <a:ext uri="{FF2B5EF4-FFF2-40B4-BE49-F238E27FC236}">
              <a16:creationId xmlns:a16="http://schemas.microsoft.com/office/drawing/2014/main" id="{FDFDE833-B270-4AF1-8407-88C130528B07}"/>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7000" t="28170" r="7667" b="26291"/>
        <a:stretch/>
      </xdr:blipFill>
      <xdr:spPr bwMode="auto">
        <a:xfrm>
          <a:off x="9658350" y="371475"/>
          <a:ext cx="3758010" cy="1089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276225</xdr:colOff>
      <xdr:row>6</xdr:row>
      <xdr:rowOff>85725</xdr:rowOff>
    </xdr:from>
    <xdr:to>
      <xdr:col>2</xdr:col>
      <xdr:colOff>1200150</xdr:colOff>
      <xdr:row>12</xdr:row>
      <xdr:rowOff>66675</xdr:rowOff>
    </xdr:to>
    <xdr:pic>
      <xdr:nvPicPr>
        <xdr:cNvPr id="2" name="Picture 1" descr="imagen">
          <a:extLst>
            <a:ext uri="{FF2B5EF4-FFF2-40B4-BE49-F238E27FC236}">
              <a16:creationId xmlns:a16="http://schemas.microsoft.com/office/drawing/2014/main" id="{894A12C0-7781-4695-AC0D-9F2129F3326C}"/>
            </a:ext>
            <a:ext uri="{147F2762-F138-4A5C-976F-8EAC2B608ADB}">
              <a16:predDERef xmlns:a16="http://schemas.microsoft.com/office/drawing/2014/main" pred="{C1D80DA1-3C73-44B8-B322-4972306C3F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5" y="1228725"/>
          <a:ext cx="2828925"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5</xdr:row>
      <xdr:rowOff>123825</xdr:rowOff>
    </xdr:from>
    <xdr:to>
      <xdr:col>3</xdr:col>
      <xdr:colOff>47625</xdr:colOff>
      <xdr:row>11</xdr:row>
      <xdr:rowOff>104775</xdr:rowOff>
    </xdr:to>
    <xdr:pic>
      <xdr:nvPicPr>
        <xdr:cNvPr id="2" name="Picture 1" descr="imagen">
          <a:extLst>
            <a:ext uri="{FF2B5EF4-FFF2-40B4-BE49-F238E27FC236}">
              <a16:creationId xmlns:a16="http://schemas.microsoft.com/office/drawing/2014/main" id="{5AF48302-8786-435D-BA38-59BAFD7C51CF}"/>
            </a:ext>
            <a:ext uri="{147F2762-F138-4A5C-976F-8EAC2B608ADB}">
              <a16:predDERef xmlns:a16="http://schemas.microsoft.com/office/drawing/2014/main" pred="{32C5E997-7474-48E9-BA58-6642909BF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076325"/>
          <a:ext cx="2981325"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676275</xdr:colOff>
      <xdr:row>1</xdr:row>
      <xdr:rowOff>171450</xdr:rowOff>
    </xdr:from>
    <xdr:to>
      <xdr:col>15</xdr:col>
      <xdr:colOff>28019</xdr:colOff>
      <xdr:row>6</xdr:row>
      <xdr:rowOff>1526</xdr:rowOff>
    </xdr:to>
    <xdr:pic>
      <xdr:nvPicPr>
        <xdr:cNvPr id="2" name="Imagen 1" descr="Resultado de imagen de cosco shipping">
          <a:hlinkClick xmlns:r="http://schemas.openxmlformats.org/officeDocument/2006/relationships" r:id="rId1"/>
          <a:extLst>
            <a:ext uri="{FF2B5EF4-FFF2-40B4-BE49-F238E27FC236}">
              <a16:creationId xmlns:a16="http://schemas.microsoft.com/office/drawing/2014/main" id="{958D3A5B-F07E-4E68-9460-9FD8E810976C}"/>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10420350" y="285750"/>
          <a:ext cx="1875869" cy="696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561975</xdr:colOff>
      <xdr:row>8</xdr:row>
      <xdr:rowOff>95250</xdr:rowOff>
    </xdr:from>
    <xdr:to>
      <xdr:col>4</xdr:col>
      <xdr:colOff>152400</xdr:colOff>
      <xdr:row>15</xdr:row>
      <xdr:rowOff>91440</xdr:rowOff>
    </xdr:to>
    <xdr:pic>
      <xdr:nvPicPr>
        <xdr:cNvPr id="3" name="Imagen 2" descr="imagen">
          <a:extLst>
            <a:ext uri="{FF2B5EF4-FFF2-40B4-BE49-F238E27FC236}">
              <a16:creationId xmlns:a16="http://schemas.microsoft.com/office/drawing/2014/main" id="{41C80F48-1789-40FE-B772-A6235240FBE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550" y="1447800"/>
          <a:ext cx="1419225" cy="1177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676275</xdr:colOff>
      <xdr:row>1</xdr:row>
      <xdr:rowOff>171450</xdr:rowOff>
    </xdr:from>
    <xdr:to>
      <xdr:col>15</xdr:col>
      <xdr:colOff>28019</xdr:colOff>
      <xdr:row>6</xdr:row>
      <xdr:rowOff>1526</xdr:rowOff>
    </xdr:to>
    <xdr:pic>
      <xdr:nvPicPr>
        <xdr:cNvPr id="4" name="Imagen 3" descr="Resultado de imagen de cosco shipping">
          <a:hlinkClick xmlns:r="http://schemas.openxmlformats.org/officeDocument/2006/relationships" r:id="rId1"/>
          <a:extLst>
            <a:ext uri="{FF2B5EF4-FFF2-40B4-BE49-F238E27FC236}">
              <a16:creationId xmlns:a16="http://schemas.microsoft.com/office/drawing/2014/main" id="{13D27477-8BB2-459F-B156-32A718FBE782}"/>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10420350" y="285750"/>
          <a:ext cx="1875869" cy="696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561974</xdr:colOff>
      <xdr:row>8</xdr:row>
      <xdr:rowOff>95250</xdr:rowOff>
    </xdr:from>
    <xdr:to>
      <xdr:col>6</xdr:col>
      <xdr:colOff>171449</xdr:colOff>
      <xdr:row>15</xdr:row>
      <xdr:rowOff>91440</xdr:rowOff>
    </xdr:to>
    <xdr:pic>
      <xdr:nvPicPr>
        <xdr:cNvPr id="5" name="Imagen 4" descr="imagen">
          <a:extLst>
            <a:ext uri="{FF2B5EF4-FFF2-40B4-BE49-F238E27FC236}">
              <a16:creationId xmlns:a16="http://schemas.microsoft.com/office/drawing/2014/main" id="{E0953BE0-3792-4738-BEFB-0C9D69BFF42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549" y="1447800"/>
          <a:ext cx="2657475" cy="1177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116</xdr:row>
      <xdr:rowOff>9525</xdr:rowOff>
    </xdr:from>
    <xdr:to>
      <xdr:col>7</xdr:col>
      <xdr:colOff>455871</xdr:colOff>
      <xdr:row>120</xdr:row>
      <xdr:rowOff>123825</xdr:rowOff>
    </xdr:to>
    <xdr:pic>
      <xdr:nvPicPr>
        <xdr:cNvPr id="6" name="Imagen 5">
          <a:extLst>
            <a:ext uri="{FF2B5EF4-FFF2-40B4-BE49-F238E27FC236}">
              <a16:creationId xmlns:a16="http://schemas.microsoft.com/office/drawing/2014/main" id="{4126AB21-EFBA-4F48-A37A-7199956F52C4}"/>
            </a:ext>
          </a:extLst>
        </xdr:cNvPr>
        <xdr:cNvPicPr>
          <a:picLocks noChangeAspect="1"/>
        </xdr:cNvPicPr>
      </xdr:nvPicPr>
      <xdr:blipFill>
        <a:blip xmlns:r="http://schemas.openxmlformats.org/officeDocument/2006/relationships" r:embed="rId4"/>
        <a:stretch>
          <a:fillRect/>
        </a:stretch>
      </xdr:blipFill>
      <xdr:spPr>
        <a:xfrm>
          <a:off x="409575" y="18735675"/>
          <a:ext cx="4113471" cy="876300"/>
        </a:xfrm>
        <a:prstGeom prst="rect">
          <a:avLst/>
        </a:prstGeom>
      </xdr:spPr>
    </xdr:pic>
    <xdr:clientData/>
  </xdr:twoCellAnchor>
  <xdr:twoCellAnchor editAs="oneCell">
    <xdr:from>
      <xdr:col>11</xdr:col>
      <xdr:colOff>676275</xdr:colOff>
      <xdr:row>1</xdr:row>
      <xdr:rowOff>171450</xdr:rowOff>
    </xdr:from>
    <xdr:to>
      <xdr:col>16</xdr:col>
      <xdr:colOff>10874</xdr:colOff>
      <xdr:row>6</xdr:row>
      <xdr:rowOff>41531</xdr:rowOff>
    </xdr:to>
    <xdr:pic>
      <xdr:nvPicPr>
        <xdr:cNvPr id="7" name="Imagen 6" descr="Resultado de imagen de cosco shipping">
          <a:hlinkClick xmlns:r="http://schemas.openxmlformats.org/officeDocument/2006/relationships" r:id="rId1"/>
          <a:extLst>
            <a:ext uri="{FF2B5EF4-FFF2-40B4-BE49-F238E27FC236}">
              <a16:creationId xmlns:a16="http://schemas.microsoft.com/office/drawing/2014/main" id="{3741942B-7BD9-4FD0-A658-32CC4B92AB85}"/>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10420350" y="285750"/>
          <a:ext cx="2449274" cy="736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561975</xdr:colOff>
      <xdr:row>8</xdr:row>
      <xdr:rowOff>95250</xdr:rowOff>
    </xdr:from>
    <xdr:to>
      <xdr:col>4</xdr:col>
      <xdr:colOff>598170</xdr:colOff>
      <xdr:row>15</xdr:row>
      <xdr:rowOff>95250</xdr:rowOff>
    </xdr:to>
    <xdr:pic>
      <xdr:nvPicPr>
        <xdr:cNvPr id="8" name="Imagen 7" descr="imagen">
          <a:extLst>
            <a:ext uri="{FF2B5EF4-FFF2-40B4-BE49-F238E27FC236}">
              <a16:creationId xmlns:a16="http://schemas.microsoft.com/office/drawing/2014/main" id="{723AD95B-E109-4084-9046-F4D024EA7BC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550" y="1447800"/>
          <a:ext cx="1864995"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676275</xdr:colOff>
      <xdr:row>1</xdr:row>
      <xdr:rowOff>171450</xdr:rowOff>
    </xdr:from>
    <xdr:to>
      <xdr:col>16</xdr:col>
      <xdr:colOff>10874</xdr:colOff>
      <xdr:row>6</xdr:row>
      <xdr:rowOff>41531</xdr:rowOff>
    </xdr:to>
    <xdr:pic>
      <xdr:nvPicPr>
        <xdr:cNvPr id="9" name="Imagen 8" descr="Resultado de imagen de cosco shipping">
          <a:hlinkClick xmlns:r="http://schemas.openxmlformats.org/officeDocument/2006/relationships" r:id="rId1"/>
          <a:extLst>
            <a:ext uri="{FF2B5EF4-FFF2-40B4-BE49-F238E27FC236}">
              <a16:creationId xmlns:a16="http://schemas.microsoft.com/office/drawing/2014/main" id="{6DA82402-F10A-4D2C-B5C3-B7834A4FD84F}"/>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10420350" y="285750"/>
          <a:ext cx="2449274" cy="736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561975</xdr:colOff>
      <xdr:row>8</xdr:row>
      <xdr:rowOff>95250</xdr:rowOff>
    </xdr:from>
    <xdr:to>
      <xdr:col>4</xdr:col>
      <xdr:colOff>598170</xdr:colOff>
      <xdr:row>15</xdr:row>
      <xdr:rowOff>95250</xdr:rowOff>
    </xdr:to>
    <xdr:pic>
      <xdr:nvPicPr>
        <xdr:cNvPr id="10" name="Imagen 9" descr="imagen">
          <a:extLst>
            <a:ext uri="{FF2B5EF4-FFF2-40B4-BE49-F238E27FC236}">
              <a16:creationId xmlns:a16="http://schemas.microsoft.com/office/drawing/2014/main" id="{98A30138-FA54-4FAD-8C52-ADBCD14A77F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550" y="1447800"/>
          <a:ext cx="1864995"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676275</xdr:colOff>
      <xdr:row>1</xdr:row>
      <xdr:rowOff>171450</xdr:rowOff>
    </xdr:from>
    <xdr:to>
      <xdr:col>15</xdr:col>
      <xdr:colOff>28019</xdr:colOff>
      <xdr:row>6</xdr:row>
      <xdr:rowOff>1526</xdr:rowOff>
    </xdr:to>
    <xdr:pic>
      <xdr:nvPicPr>
        <xdr:cNvPr id="11" name="Imagen 10" descr="Resultado de imagen de cosco shipping">
          <a:hlinkClick xmlns:r="http://schemas.openxmlformats.org/officeDocument/2006/relationships" r:id="rId1"/>
          <a:extLst>
            <a:ext uri="{FF2B5EF4-FFF2-40B4-BE49-F238E27FC236}">
              <a16:creationId xmlns:a16="http://schemas.microsoft.com/office/drawing/2014/main" id="{57DA99EC-0CBC-44B5-B1D2-ABDB3550ACD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10420350" y="285750"/>
          <a:ext cx="1875869" cy="696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561975</xdr:colOff>
      <xdr:row>8</xdr:row>
      <xdr:rowOff>95250</xdr:rowOff>
    </xdr:from>
    <xdr:to>
      <xdr:col>4</xdr:col>
      <xdr:colOff>152400</xdr:colOff>
      <xdr:row>15</xdr:row>
      <xdr:rowOff>91440</xdr:rowOff>
    </xdr:to>
    <xdr:pic>
      <xdr:nvPicPr>
        <xdr:cNvPr id="12" name="Imagen 11" descr="imagen">
          <a:extLst>
            <a:ext uri="{FF2B5EF4-FFF2-40B4-BE49-F238E27FC236}">
              <a16:creationId xmlns:a16="http://schemas.microsoft.com/office/drawing/2014/main" id="{FC3510BF-6820-44EE-A9C2-AF8E394B2F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550" y="1447800"/>
          <a:ext cx="1419225" cy="1177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676275</xdr:colOff>
      <xdr:row>1</xdr:row>
      <xdr:rowOff>171450</xdr:rowOff>
    </xdr:from>
    <xdr:to>
      <xdr:col>15</xdr:col>
      <xdr:colOff>28019</xdr:colOff>
      <xdr:row>6</xdr:row>
      <xdr:rowOff>1526</xdr:rowOff>
    </xdr:to>
    <xdr:pic>
      <xdr:nvPicPr>
        <xdr:cNvPr id="13" name="Imagen 12" descr="Resultado de imagen de cosco shipping">
          <a:hlinkClick xmlns:r="http://schemas.openxmlformats.org/officeDocument/2006/relationships" r:id="rId1"/>
          <a:extLst>
            <a:ext uri="{FF2B5EF4-FFF2-40B4-BE49-F238E27FC236}">
              <a16:creationId xmlns:a16="http://schemas.microsoft.com/office/drawing/2014/main" id="{BCB93391-DE1D-4CF3-B77E-901EB6B8CBF3}"/>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00" t="28170" r="7667" b="26291"/>
        <a:stretch/>
      </xdr:blipFill>
      <xdr:spPr bwMode="auto">
        <a:xfrm>
          <a:off x="10420350" y="285750"/>
          <a:ext cx="1875869" cy="696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561974</xdr:colOff>
      <xdr:row>8</xdr:row>
      <xdr:rowOff>95250</xdr:rowOff>
    </xdr:from>
    <xdr:to>
      <xdr:col>6</xdr:col>
      <xdr:colOff>171449</xdr:colOff>
      <xdr:row>15</xdr:row>
      <xdr:rowOff>91440</xdr:rowOff>
    </xdr:to>
    <xdr:pic>
      <xdr:nvPicPr>
        <xdr:cNvPr id="14" name="Imagen 13" descr="imagen">
          <a:extLst>
            <a:ext uri="{FF2B5EF4-FFF2-40B4-BE49-F238E27FC236}">
              <a16:creationId xmlns:a16="http://schemas.microsoft.com/office/drawing/2014/main" id="{189DF41E-4675-4AED-850A-B82A01A3BAA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549" y="1447800"/>
          <a:ext cx="2657475" cy="1177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116</xdr:row>
      <xdr:rowOff>0</xdr:rowOff>
    </xdr:from>
    <xdr:to>
      <xdr:col>7</xdr:col>
      <xdr:colOff>455871</xdr:colOff>
      <xdr:row>121</xdr:row>
      <xdr:rowOff>66817</xdr:rowOff>
    </xdr:to>
    <xdr:pic>
      <xdr:nvPicPr>
        <xdr:cNvPr id="15" name="Imagen 14">
          <a:extLst>
            <a:ext uri="{FF2B5EF4-FFF2-40B4-BE49-F238E27FC236}">
              <a16:creationId xmlns:a16="http://schemas.microsoft.com/office/drawing/2014/main" id="{F708D337-C0D8-46AE-AF33-906604ED812D}"/>
            </a:ext>
          </a:extLst>
        </xdr:cNvPr>
        <xdr:cNvPicPr>
          <a:picLocks noChangeAspect="1"/>
        </xdr:cNvPicPr>
      </xdr:nvPicPr>
      <xdr:blipFill>
        <a:blip xmlns:r="http://schemas.openxmlformats.org/officeDocument/2006/relationships" r:embed="rId4"/>
        <a:stretch>
          <a:fillRect/>
        </a:stretch>
      </xdr:blipFill>
      <xdr:spPr>
        <a:xfrm>
          <a:off x="409575" y="18726150"/>
          <a:ext cx="4113471" cy="10193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917438" cy="8345065"/>
    <xdr:pic>
      <xdr:nvPicPr>
        <xdr:cNvPr id="2" name="Imagen 1">
          <a:extLst>
            <a:ext uri="{FF2B5EF4-FFF2-40B4-BE49-F238E27FC236}">
              <a16:creationId xmlns:a16="http://schemas.microsoft.com/office/drawing/2014/main" id="{B17F556B-06EF-4A6A-A5A0-858DD4772B95}"/>
            </a:ext>
          </a:extLst>
        </xdr:cNvPr>
        <xdr:cNvPicPr>
          <a:picLocks noChangeAspect="1"/>
        </xdr:cNvPicPr>
      </xdr:nvPicPr>
      <xdr:blipFill>
        <a:blip xmlns:r="http://schemas.openxmlformats.org/officeDocument/2006/relationships" r:embed="rId1"/>
        <a:stretch>
          <a:fillRect/>
        </a:stretch>
      </xdr:blipFill>
      <xdr:spPr>
        <a:xfrm>
          <a:off x="0" y="0"/>
          <a:ext cx="11917438" cy="8345065"/>
        </a:xfrm>
        <a:prstGeom prst="rect">
          <a:avLst/>
        </a:prstGeom>
      </xdr:spPr>
    </xdr:pic>
    <xdr:clientData/>
  </xdr:oneCellAnchor>
  <xdr:oneCellAnchor>
    <xdr:from>
      <xdr:col>15</xdr:col>
      <xdr:colOff>466725</xdr:colOff>
      <xdr:row>0</xdr:row>
      <xdr:rowOff>0</xdr:rowOff>
    </xdr:from>
    <xdr:ext cx="11917438" cy="4096322"/>
    <xdr:pic>
      <xdr:nvPicPr>
        <xdr:cNvPr id="3" name="Imagen 2">
          <a:extLst>
            <a:ext uri="{FF2B5EF4-FFF2-40B4-BE49-F238E27FC236}">
              <a16:creationId xmlns:a16="http://schemas.microsoft.com/office/drawing/2014/main" id="{30A1BB8E-884A-4E9B-8748-5842F465CAEE}"/>
            </a:ext>
          </a:extLst>
        </xdr:cNvPr>
        <xdr:cNvPicPr>
          <a:picLocks noChangeAspect="1"/>
        </xdr:cNvPicPr>
      </xdr:nvPicPr>
      <xdr:blipFill>
        <a:blip xmlns:r="http://schemas.openxmlformats.org/officeDocument/2006/relationships" r:embed="rId2"/>
        <a:stretch>
          <a:fillRect/>
        </a:stretch>
      </xdr:blipFill>
      <xdr:spPr>
        <a:xfrm>
          <a:off x="11896725" y="0"/>
          <a:ext cx="11917438" cy="4096322"/>
        </a:xfrm>
        <a:prstGeom prst="rect">
          <a:avLst/>
        </a:prstGeom>
      </xdr:spPr>
    </xdr:pic>
    <xdr:clientData/>
  </xdr:oneCellAnchor>
  <xdr:oneCellAnchor>
    <xdr:from>
      <xdr:col>15</xdr:col>
      <xdr:colOff>466725</xdr:colOff>
      <xdr:row>21</xdr:row>
      <xdr:rowOff>38100</xdr:rowOff>
    </xdr:from>
    <xdr:ext cx="11469701" cy="5944430"/>
    <xdr:pic>
      <xdr:nvPicPr>
        <xdr:cNvPr id="4" name="Imagen 3">
          <a:extLst>
            <a:ext uri="{FF2B5EF4-FFF2-40B4-BE49-F238E27FC236}">
              <a16:creationId xmlns:a16="http://schemas.microsoft.com/office/drawing/2014/main" id="{EA328DC1-1FA4-4AE8-B4EA-D96E39E6156C}"/>
            </a:ext>
          </a:extLst>
        </xdr:cNvPr>
        <xdr:cNvPicPr>
          <a:picLocks noChangeAspect="1"/>
        </xdr:cNvPicPr>
      </xdr:nvPicPr>
      <xdr:blipFill>
        <a:blip xmlns:r="http://schemas.openxmlformats.org/officeDocument/2006/relationships" r:embed="rId3"/>
        <a:stretch>
          <a:fillRect/>
        </a:stretch>
      </xdr:blipFill>
      <xdr:spPr>
        <a:xfrm>
          <a:off x="11896725" y="4038600"/>
          <a:ext cx="11469701" cy="594443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portal.sharepoint.com/sites/COSCOSpain/Shared%20Documents/Departments/M&amp;P/OB/01.%20TARIFFS/99.%20EXCEL%20TARIFAS/Pricing%20sheet%20work%20file%20Spain%20FAK%20GL.xlsx" TargetMode="External"/><Relationship Id="rId1" Type="http://schemas.openxmlformats.org/officeDocument/2006/relationships/externalLinkPath" Target="https://coportal.sharepoint.com/sites/COSCOSpain/Shared%20Documents/Departments/M&amp;P/OB/01.%20TARIFFS/99.%20EXCEL%20TARIFAS/Pricing%20sheet%20work%20file%20Spain%20FAK%20G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G"/>
      <sheetName val="VLC"/>
      <sheetName val="BCN"/>
      <sheetName val="Combinar1"/>
      <sheetName val="Far East "/>
      <sheetName val="Middle East"/>
      <sheetName val="IPBC"/>
    </sheetNames>
    <sheetDataSet>
      <sheetData sheetId="0"/>
      <sheetData sheetId="1"/>
      <sheetData sheetId="2"/>
      <sheetData sheetId="3">
        <row r="1">
          <cell r="C1" t="str">
            <v>Destination</v>
          </cell>
          <cell r="D1" t="str">
            <v>TT.POD Code</v>
          </cell>
          <cell r="E1" t="str">
            <v>cuadro destinos.Country</v>
          </cell>
          <cell r="F1" t="str">
            <v>20' rate</v>
          </cell>
          <cell r="G1" t="str">
            <v>40' rate</v>
          </cell>
          <cell r="H1" t="str">
            <v>TT.Svc1</v>
          </cell>
          <cell r="I1" t="str">
            <v>TT.via1</v>
          </cell>
          <cell r="J1" t="str">
            <v>TT.TT</v>
          </cell>
          <cell r="K1" t="str">
            <v>BCN.20' rate</v>
          </cell>
          <cell r="L1" t="str">
            <v>BCN.40' rate</v>
          </cell>
          <cell r="M1" t="str">
            <v>BCN.TT.Svc1</v>
          </cell>
          <cell r="N1" t="str">
            <v>BCN.TT.via1</v>
          </cell>
          <cell r="O1" t="str">
            <v>BCN.TT.TT</v>
          </cell>
          <cell r="P1" t="str">
            <v>ALG.20' rate</v>
          </cell>
          <cell r="Q1" t="str">
            <v>ALG.40' rate</v>
          </cell>
          <cell r="R1" t="str">
            <v>ALG.TT.Svc1</v>
          </cell>
          <cell r="S1" t="str">
            <v>ALG.TT.via1</v>
          </cell>
          <cell r="T1" t="str">
            <v>ALG.TT.TT</v>
          </cell>
          <cell r="U1" t="str">
            <v>Columna1</v>
          </cell>
          <cell r="V1" t="str">
            <v>Columna2</v>
          </cell>
          <cell r="W1" t="str">
            <v>Columna3</v>
          </cell>
          <cell r="X1" t="str">
            <v>Surcharge Included</v>
          </cell>
        </row>
        <row r="2">
          <cell r="C2" t="str">
            <v>Sihanoukville</v>
          </cell>
          <cell r="D2" t="str">
            <v>KOS</v>
          </cell>
          <cell r="E2" t="str">
            <v>Cambodia</v>
          </cell>
          <cell r="F2">
            <v>265</v>
          </cell>
          <cell r="G2">
            <v>415</v>
          </cell>
          <cell r="H2" t="str">
            <v>AEM1</v>
          </cell>
          <cell r="I2" t="str">
            <v>SIN</v>
          </cell>
          <cell r="J2">
            <v>35</v>
          </cell>
          <cell r="K2">
            <v>265</v>
          </cell>
          <cell r="L2">
            <v>415</v>
          </cell>
          <cell r="M2" t="str">
            <v>AEM2</v>
          </cell>
          <cell r="N2" t="str">
            <v>PKG</v>
          </cell>
          <cell r="O2">
            <v>52</v>
          </cell>
          <cell r="P2">
            <v>265</v>
          </cell>
          <cell r="Q2">
            <v>415</v>
          </cell>
          <cell r="R2" t="str">
            <v>TSM</v>
          </cell>
          <cell r="S2" t="str">
            <v>PIR</v>
          </cell>
          <cell r="T2">
            <v>57</v>
          </cell>
          <cell r="U2" t="str">
            <v>BUC;CAS;ETS;FAF;HCS;PSF;SUZ;THC</v>
          </cell>
          <cell r="V2" t="str">
            <v>BUC;CAS;ETS;FAF;HCS;PSF;SUZ;THC</v>
          </cell>
          <cell r="W2" t="str">
            <v>BUC;CAS;ETS;FAF;HCS;PSF;SUZ;THC</v>
          </cell>
          <cell r="X2" t="str">
            <v>BUC;CAS;ETS;FAF;HCS;PSF;SUZ;THC</v>
          </cell>
        </row>
        <row r="3">
          <cell r="C3" t="str">
            <v>Inchon</v>
          </cell>
          <cell r="D3" t="str">
            <v>INC</v>
          </cell>
          <cell r="E3" t="str">
            <v>South Korea</v>
          </cell>
          <cell r="F3">
            <v>315</v>
          </cell>
          <cell r="G3">
            <v>615</v>
          </cell>
          <cell r="H3" t="str">
            <v>AEM1</v>
          </cell>
          <cell r="I3" t="str">
            <v>SHA</v>
          </cell>
          <cell r="J3">
            <v>50</v>
          </cell>
          <cell r="K3">
            <v>315</v>
          </cell>
          <cell r="L3">
            <v>615</v>
          </cell>
          <cell r="M3" t="str">
            <v>AEM2</v>
          </cell>
          <cell r="N3" t="str">
            <v>SHA</v>
          </cell>
          <cell r="O3">
            <v>61</v>
          </cell>
          <cell r="P3">
            <v>315</v>
          </cell>
          <cell r="Q3">
            <v>615</v>
          </cell>
          <cell r="R3" t="str">
            <v>TSM</v>
          </cell>
          <cell r="S3" t="str">
            <v>PIR</v>
          </cell>
          <cell r="T3">
            <v>59</v>
          </cell>
          <cell r="U3" t="str">
            <v>BUC;CAS;ETS;FAF;HCS;PSF;SUZ;THC</v>
          </cell>
          <cell r="V3" t="str">
            <v>BUC;CAS;ETS;FAF;HCS;PSF;SUZ;THC</v>
          </cell>
          <cell r="W3" t="str">
            <v>BUC;CAS;ETS;FAF;HCS;PSF;SUZ;THC</v>
          </cell>
          <cell r="X3" t="str">
            <v>BUC;CAS;ETS;FAF;HCS;PSF;SUZ;THC</v>
          </cell>
        </row>
        <row r="4">
          <cell r="C4" t="str">
            <v>Changsha</v>
          </cell>
          <cell r="D4" t="str">
            <v>CSX</v>
          </cell>
          <cell r="E4" t="str">
            <v>China</v>
          </cell>
          <cell r="F4">
            <v>165</v>
          </cell>
          <cell r="G4">
            <v>265</v>
          </cell>
          <cell r="H4" t="str">
            <v>AEM1</v>
          </cell>
          <cell r="I4" t="str">
            <v>SHA</v>
          </cell>
          <cell r="J4">
            <v>52</v>
          </cell>
          <cell r="K4">
            <v>165</v>
          </cell>
          <cell r="L4">
            <v>265</v>
          </cell>
          <cell r="M4" t="str">
            <v>AEM2</v>
          </cell>
          <cell r="N4" t="str">
            <v>SHA</v>
          </cell>
          <cell r="O4">
            <v>70</v>
          </cell>
          <cell r="U4" t="str">
            <v>BUC;CAS;ETS;FAF;HCS;PSF;SUZ;THC</v>
          </cell>
          <cell r="V4" t="str">
            <v>BUC;CAS;ETS;FAF;HCS;PSF;SUZ;THC</v>
          </cell>
          <cell r="X4" t="str">
            <v>BUC;CAS;ETS;FAF;HCS;PSF;SUZ;THC</v>
          </cell>
        </row>
        <row r="5">
          <cell r="C5" t="str">
            <v>Changshu</v>
          </cell>
          <cell r="D5" t="str">
            <v>CGU</v>
          </cell>
          <cell r="E5" t="str">
            <v>China</v>
          </cell>
          <cell r="F5">
            <v>115</v>
          </cell>
          <cell r="G5">
            <v>215</v>
          </cell>
          <cell r="H5" t="str">
            <v>AEM1</v>
          </cell>
          <cell r="I5" t="str">
            <v>SHA</v>
          </cell>
          <cell r="J5">
            <v>45</v>
          </cell>
          <cell r="K5">
            <v>115</v>
          </cell>
          <cell r="L5">
            <v>215</v>
          </cell>
          <cell r="M5" t="str">
            <v>AEM2</v>
          </cell>
          <cell r="N5" t="str">
            <v>SHA</v>
          </cell>
          <cell r="O5">
            <v>63</v>
          </cell>
          <cell r="U5" t="str">
            <v>BUC;CAS;ETS;FAF;HCS;PSF;SUZ;THC</v>
          </cell>
          <cell r="V5" t="str">
            <v>BUC;CAS;ETS;FAF;HCS;PSF;SUZ;THC</v>
          </cell>
          <cell r="X5" t="str">
            <v>BUC;CAS;ETS;FAF;HCS;PSF;SUZ;THC</v>
          </cell>
        </row>
        <row r="6">
          <cell r="C6" t="str">
            <v>Changzhou</v>
          </cell>
          <cell r="D6" t="str">
            <v>CZX</v>
          </cell>
          <cell r="E6" t="str">
            <v>China</v>
          </cell>
          <cell r="F6">
            <v>115</v>
          </cell>
          <cell r="G6">
            <v>215</v>
          </cell>
          <cell r="H6" t="str">
            <v>AEM1</v>
          </cell>
          <cell r="I6" t="str">
            <v>SHA</v>
          </cell>
          <cell r="J6">
            <v>46</v>
          </cell>
          <cell r="K6">
            <v>115</v>
          </cell>
          <cell r="L6">
            <v>215</v>
          </cell>
          <cell r="M6" t="str">
            <v>AEM2</v>
          </cell>
          <cell r="N6" t="str">
            <v>SHA</v>
          </cell>
          <cell r="O6">
            <v>61</v>
          </cell>
          <cell r="U6" t="str">
            <v>BUC;CAS;ETS;FAF;HCS;PSF;SUZ;THC</v>
          </cell>
          <cell r="V6" t="str">
            <v>BUC;CAS;ETS;FAF;HCS;PSF;SUZ;THC</v>
          </cell>
          <cell r="X6" t="str">
            <v>BUC;CAS;ETS;FAF;HCS;PSF;SUZ;THC</v>
          </cell>
        </row>
        <row r="7">
          <cell r="C7" t="str">
            <v>Fuzhou</v>
          </cell>
          <cell r="D7" t="str">
            <v>FOC</v>
          </cell>
          <cell r="E7" t="str">
            <v>China</v>
          </cell>
          <cell r="F7">
            <v>190</v>
          </cell>
          <cell r="G7">
            <v>365</v>
          </cell>
          <cell r="H7" t="str">
            <v>AEM1</v>
          </cell>
          <cell r="I7" t="str">
            <v>NGB</v>
          </cell>
          <cell r="J7">
            <v>46</v>
          </cell>
          <cell r="K7">
            <v>190</v>
          </cell>
          <cell r="L7">
            <v>365</v>
          </cell>
          <cell r="M7" t="str">
            <v>AEM2</v>
          </cell>
          <cell r="N7" t="str">
            <v>NGB</v>
          </cell>
          <cell r="O7">
            <v>65</v>
          </cell>
          <cell r="P7">
            <v>190</v>
          </cell>
          <cell r="Q7">
            <v>365</v>
          </cell>
          <cell r="R7" t="str">
            <v>TSM</v>
          </cell>
          <cell r="S7" t="str">
            <v>PIR</v>
          </cell>
          <cell r="T7">
            <v>55</v>
          </cell>
          <cell r="U7" t="str">
            <v>BUC;CAS;ETS;FAF;HCS;PSF;SUZ;THC</v>
          </cell>
          <cell r="V7" t="str">
            <v>BUC;CAS;ETS;FAF;HCS;PSF;SUZ;THC</v>
          </cell>
          <cell r="W7" t="str">
            <v>BUC;CAS;ETS;FAF;HCS;PSF;SUZ;THC</v>
          </cell>
          <cell r="X7" t="str">
            <v>BUC;CAS;ETS;FAF;HCS;PSF;SUZ;THC</v>
          </cell>
        </row>
        <row r="8">
          <cell r="C8" t="str">
            <v>Haikou</v>
          </cell>
          <cell r="D8" t="str">
            <v>HAK</v>
          </cell>
          <cell r="E8" t="str">
            <v>China</v>
          </cell>
          <cell r="F8">
            <v>165</v>
          </cell>
          <cell r="G8">
            <v>265</v>
          </cell>
          <cell r="H8" t="str">
            <v>AEM1</v>
          </cell>
          <cell r="I8" t="str">
            <v>HKG</v>
          </cell>
          <cell r="J8">
            <v>53</v>
          </cell>
          <cell r="K8">
            <v>165</v>
          </cell>
          <cell r="L8">
            <v>265</v>
          </cell>
          <cell r="M8" t="str">
            <v>AEM2</v>
          </cell>
          <cell r="N8" t="str">
            <v>NSH</v>
          </cell>
          <cell r="O8">
            <v>78</v>
          </cell>
          <cell r="P8">
            <v>165</v>
          </cell>
          <cell r="Q8">
            <v>265</v>
          </cell>
          <cell r="R8" t="str">
            <v>TSM</v>
          </cell>
          <cell r="S8" t="str">
            <v>PIR</v>
          </cell>
          <cell r="T8">
            <v>70</v>
          </cell>
          <cell r="U8" t="str">
            <v>BUC;CAS;ETS;FAF;HCS;PSF;SUZ;THC</v>
          </cell>
          <cell r="V8" t="str">
            <v>BUC;CAS;ETS;FAF;HCS;PSF;SUZ;THC</v>
          </cell>
          <cell r="W8" t="str">
            <v>BUC;CAS;ETS;FAF;HCS;PSF;SUZ;THC</v>
          </cell>
          <cell r="X8" t="str">
            <v>BUC;CAS;ETS;FAF;HCS;PSF;SUZ;THC</v>
          </cell>
        </row>
        <row r="9">
          <cell r="C9" t="str">
            <v>Nanjing</v>
          </cell>
          <cell r="D9" t="str">
            <v>NKG</v>
          </cell>
          <cell r="E9" t="str">
            <v>China</v>
          </cell>
          <cell r="F9">
            <v>115</v>
          </cell>
          <cell r="G9">
            <v>215</v>
          </cell>
          <cell r="H9" t="str">
            <v>AEM1</v>
          </cell>
          <cell r="I9" t="str">
            <v>SHA</v>
          </cell>
          <cell r="J9">
            <v>46</v>
          </cell>
          <cell r="K9">
            <v>115</v>
          </cell>
          <cell r="L9">
            <v>215</v>
          </cell>
          <cell r="M9" t="str">
            <v>AEM2</v>
          </cell>
          <cell r="N9" t="str">
            <v>SHA</v>
          </cell>
          <cell r="O9">
            <v>62</v>
          </cell>
          <cell r="U9" t="str">
            <v>BUC;CAS;ETS;FAF;HCS;PSF;SUZ;THC</v>
          </cell>
          <cell r="V9" t="str">
            <v>BUC;CAS;ETS;FAF;HCS;PSF;SUZ;THC</v>
          </cell>
          <cell r="X9" t="str">
            <v>BUC;CAS;ETS;FAF;HCS;PSF;SUZ;THC</v>
          </cell>
        </row>
        <row r="10">
          <cell r="C10" t="str">
            <v>Nantong</v>
          </cell>
          <cell r="D10" t="str">
            <v>NTG</v>
          </cell>
          <cell r="E10" t="str">
            <v>China</v>
          </cell>
          <cell r="F10">
            <v>115</v>
          </cell>
          <cell r="G10">
            <v>215</v>
          </cell>
          <cell r="H10" t="str">
            <v>AEM1</v>
          </cell>
          <cell r="I10" t="str">
            <v>SHA</v>
          </cell>
          <cell r="J10">
            <v>44</v>
          </cell>
          <cell r="K10">
            <v>115</v>
          </cell>
          <cell r="L10">
            <v>215</v>
          </cell>
          <cell r="M10" t="str">
            <v>AEM2</v>
          </cell>
          <cell r="N10" t="str">
            <v>SHA</v>
          </cell>
          <cell r="O10">
            <v>61</v>
          </cell>
          <cell r="U10" t="str">
            <v>BUC;CAS;ETS;FAF;HCS;PSF;SUZ;THC</v>
          </cell>
          <cell r="V10" t="str">
            <v>BUC;CAS;ETS;FAF;HCS;PSF;SUZ;THC</v>
          </cell>
          <cell r="X10" t="str">
            <v>BUC;CAS;ETS;FAF;HCS;PSF;SUZ;THC</v>
          </cell>
        </row>
        <row r="11">
          <cell r="C11" t="str">
            <v>Huangpu</v>
          </cell>
          <cell r="D11" t="str">
            <v>HUA</v>
          </cell>
          <cell r="E11" t="str">
            <v>China</v>
          </cell>
          <cell r="F11">
            <v>165</v>
          </cell>
          <cell r="G11">
            <v>265</v>
          </cell>
          <cell r="H11" t="str">
            <v>AEM1</v>
          </cell>
          <cell r="I11" t="str">
            <v>HKG</v>
          </cell>
          <cell r="J11">
            <v>52</v>
          </cell>
          <cell r="K11">
            <v>165</v>
          </cell>
          <cell r="L11">
            <v>265</v>
          </cell>
          <cell r="M11" t="str">
            <v>AEM2</v>
          </cell>
          <cell r="N11" t="str">
            <v>NSH</v>
          </cell>
          <cell r="O11">
            <v>69</v>
          </cell>
          <cell r="P11">
            <v>165</v>
          </cell>
          <cell r="Q11">
            <v>265</v>
          </cell>
          <cell r="R11" t="str">
            <v>TSM</v>
          </cell>
          <cell r="S11" t="str">
            <v>PIR</v>
          </cell>
          <cell r="T11">
            <v>65</v>
          </cell>
          <cell r="U11" t="str">
            <v>BUC;CAS;ETS;FAF;HCS;PSF;SUZ;THC</v>
          </cell>
          <cell r="V11" t="str">
            <v>BUC;CAS;ETS;FAF;HCS;PSF;SUZ;THC</v>
          </cell>
          <cell r="W11" t="str">
            <v>BUC;CAS;ETS;FAF;HCS;PSF;SUZ;THC</v>
          </cell>
          <cell r="X11" t="str">
            <v>BUC;CAS;ETS;FAF;HCS;PSF;SUZ;THC</v>
          </cell>
        </row>
        <row r="12">
          <cell r="C12" t="str">
            <v>Huangpu Old Port</v>
          </cell>
          <cell r="D12" t="str">
            <v>HPO</v>
          </cell>
          <cell r="E12" t="str">
            <v>China</v>
          </cell>
          <cell r="F12">
            <v>165</v>
          </cell>
          <cell r="G12">
            <v>265</v>
          </cell>
          <cell r="H12" t="str">
            <v>AEM1</v>
          </cell>
          <cell r="I12" t="str">
            <v>HKG</v>
          </cell>
          <cell r="J12">
            <v>53</v>
          </cell>
          <cell r="K12">
            <v>165</v>
          </cell>
          <cell r="L12">
            <v>265</v>
          </cell>
          <cell r="M12" t="str">
            <v>AEM2</v>
          </cell>
          <cell r="N12" t="str">
            <v>NSH</v>
          </cell>
          <cell r="O12">
            <v>66</v>
          </cell>
          <cell r="P12">
            <v>165</v>
          </cell>
          <cell r="Q12">
            <v>265</v>
          </cell>
          <cell r="R12" t="str">
            <v>TSM</v>
          </cell>
          <cell r="S12" t="str">
            <v>PIR</v>
          </cell>
          <cell r="T12">
            <v>65</v>
          </cell>
          <cell r="U12" t="str">
            <v>BUC;CAS;ETS;FAF;HCS;PSF;SUZ;THC</v>
          </cell>
          <cell r="V12" t="str">
            <v>BUC;CAS;ETS;FAF;HCS;PSF;SUZ;THC</v>
          </cell>
          <cell r="W12" t="str">
            <v>BUC;CAS;ETS;FAF;HCS;PSF;SUZ;THC</v>
          </cell>
          <cell r="X12" t="str">
            <v>BUC;CAS;ETS;FAF;HCS;PSF;SUZ;THC</v>
          </cell>
        </row>
        <row r="13">
          <cell r="C13" t="str">
            <v>Hai Phong</v>
          </cell>
          <cell r="D13" t="str">
            <v>HPH</v>
          </cell>
          <cell r="E13" t="str">
            <v>Vietnam</v>
          </cell>
          <cell r="F13">
            <v>140</v>
          </cell>
          <cell r="G13">
            <v>235</v>
          </cell>
          <cell r="H13" t="str">
            <v>AEM1</v>
          </cell>
          <cell r="I13" t="str">
            <v>HKG</v>
          </cell>
          <cell r="J13">
            <v>51</v>
          </cell>
          <cell r="K13">
            <v>140</v>
          </cell>
          <cell r="L13">
            <v>235</v>
          </cell>
          <cell r="M13" t="str">
            <v>AEM2</v>
          </cell>
          <cell r="N13" t="str">
            <v>PKG</v>
          </cell>
          <cell r="O13">
            <v>47</v>
          </cell>
          <cell r="P13">
            <v>140</v>
          </cell>
          <cell r="Q13">
            <v>235</v>
          </cell>
          <cell r="R13" t="str">
            <v>TSM</v>
          </cell>
          <cell r="S13" t="str">
            <v>PIR</v>
          </cell>
          <cell r="T13">
            <v>75</v>
          </cell>
          <cell r="U13" t="str">
            <v>BUC;CAS;ETS;FAF;HCS;PSF;SUZ;THC</v>
          </cell>
          <cell r="V13" t="str">
            <v>BUC;CAS;ETS;FAF;HCS;PSF;SUZ;THC</v>
          </cell>
          <cell r="W13" t="str">
            <v>BUC;CAS;ETS;FAF;HCS;PSF;SUZ;THC</v>
          </cell>
          <cell r="X13" t="str">
            <v>BUC;CAS;ETS;FAF;HCS;PSF;SUZ;THC</v>
          </cell>
        </row>
        <row r="14">
          <cell r="C14" t="str">
            <v>Lianyungang</v>
          </cell>
          <cell r="D14" t="str">
            <v>LYG</v>
          </cell>
          <cell r="E14" t="str">
            <v>China</v>
          </cell>
          <cell r="F14">
            <v>165</v>
          </cell>
          <cell r="G14">
            <v>315</v>
          </cell>
          <cell r="H14" t="str">
            <v>AEM1</v>
          </cell>
          <cell r="I14" t="str">
            <v>NGB</v>
          </cell>
          <cell r="J14">
            <v>54</v>
          </cell>
          <cell r="K14">
            <v>165</v>
          </cell>
          <cell r="L14">
            <v>315</v>
          </cell>
          <cell r="M14" t="str">
            <v>AEM2</v>
          </cell>
          <cell r="N14" t="str">
            <v>NGB</v>
          </cell>
          <cell r="O14">
            <v>72</v>
          </cell>
          <cell r="U14" t="str">
            <v>BUC;CAS;ETS;FAF;HCS;PSF;SUZ;THC</v>
          </cell>
          <cell r="V14" t="str">
            <v>BUC;CAS;ETS;FAF;HCS;PSF;SUZ;THC</v>
          </cell>
          <cell r="X14" t="str">
            <v>BUC;CAS;ETS;FAF;HCS;PSF;SUZ;THC</v>
          </cell>
        </row>
        <row r="15">
          <cell r="C15" t="str">
            <v>Taicang</v>
          </cell>
          <cell r="D15" t="str">
            <v>TAG</v>
          </cell>
          <cell r="E15" t="str">
            <v>China</v>
          </cell>
          <cell r="F15">
            <v>115</v>
          </cell>
          <cell r="G15">
            <v>215</v>
          </cell>
          <cell r="H15" t="str">
            <v>AEM1</v>
          </cell>
          <cell r="I15" t="str">
            <v>SHA</v>
          </cell>
          <cell r="J15">
            <v>43</v>
          </cell>
          <cell r="K15">
            <v>115</v>
          </cell>
          <cell r="L15">
            <v>215</v>
          </cell>
          <cell r="M15" t="str">
            <v>AEM2</v>
          </cell>
          <cell r="N15" t="str">
            <v>SHA</v>
          </cell>
          <cell r="O15">
            <v>59</v>
          </cell>
          <cell r="U15" t="str">
            <v>BUC;CAS;ETS;FAF;HCS;PSF;SUZ;THC</v>
          </cell>
          <cell r="V15" t="str">
            <v>BUC;CAS;ETS;FAF;HCS;PSF;SUZ;THC</v>
          </cell>
          <cell r="X15" t="str">
            <v>BUC;CAS;ETS;FAF;HCS;PSF;SUZ;THC</v>
          </cell>
        </row>
        <row r="16">
          <cell r="C16" t="str">
            <v>Weihai</v>
          </cell>
          <cell r="E16" t="str">
            <v>China</v>
          </cell>
          <cell r="K16">
            <v>190</v>
          </cell>
          <cell r="L16">
            <v>315</v>
          </cell>
          <cell r="M16" t="str">
            <v>AEM2</v>
          </cell>
          <cell r="N16" t="str">
            <v>TAO</v>
          </cell>
          <cell r="O16">
            <v>57</v>
          </cell>
          <cell r="V16" t="str">
            <v>BUC;CAS;ETS;FAF;HCS;PSF;SUZ;THC</v>
          </cell>
          <cell r="X16" t="str">
            <v>BUC;CAS;ETS;FAF;HCS;PSF;SUZ;THC</v>
          </cell>
        </row>
        <row r="17">
          <cell r="C17" t="str">
            <v>Wenzhou</v>
          </cell>
          <cell r="D17" t="str">
            <v>WNZ</v>
          </cell>
          <cell r="E17" t="str">
            <v>China</v>
          </cell>
          <cell r="F17">
            <v>215</v>
          </cell>
          <cell r="G17">
            <v>365</v>
          </cell>
          <cell r="H17" t="str">
            <v>AEM1</v>
          </cell>
          <cell r="I17" t="str">
            <v>NGB</v>
          </cell>
          <cell r="J17">
            <v>44</v>
          </cell>
          <cell r="K17">
            <v>215</v>
          </cell>
          <cell r="L17">
            <v>365</v>
          </cell>
          <cell r="M17" t="str">
            <v>AEM2</v>
          </cell>
          <cell r="N17" t="str">
            <v>NGB</v>
          </cell>
          <cell r="O17">
            <v>63</v>
          </cell>
          <cell r="P17">
            <v>215</v>
          </cell>
          <cell r="Q17">
            <v>365</v>
          </cell>
          <cell r="R17" t="str">
            <v>TSM</v>
          </cell>
          <cell r="S17" t="str">
            <v>PIR</v>
          </cell>
          <cell r="T17">
            <v>60</v>
          </cell>
          <cell r="U17" t="str">
            <v>BUC;CAS;ETS;FAF;HCS;PSF;SUZ;THC</v>
          </cell>
          <cell r="V17" t="str">
            <v>BUC;CAS;ETS;FAF;HCS;PSF;SUZ;THC</v>
          </cell>
          <cell r="W17" t="str">
            <v>BUC;CAS;ETS;FAF;HCS;PSF;SUZ;THC</v>
          </cell>
          <cell r="X17" t="str">
            <v>BUC;CAS;ETS;FAF;HCS;PSF;SUZ;THC</v>
          </cell>
        </row>
        <row r="18">
          <cell r="C18" t="str">
            <v>Wuhan</v>
          </cell>
          <cell r="D18" t="str">
            <v>WUH</v>
          </cell>
          <cell r="E18" t="str">
            <v>China</v>
          </cell>
          <cell r="F18">
            <v>165</v>
          </cell>
          <cell r="G18">
            <v>265</v>
          </cell>
          <cell r="H18" t="str">
            <v>AEM1</v>
          </cell>
          <cell r="I18" t="str">
            <v>SHA</v>
          </cell>
          <cell r="J18">
            <v>48</v>
          </cell>
          <cell r="K18">
            <v>165</v>
          </cell>
          <cell r="L18">
            <v>265</v>
          </cell>
          <cell r="M18" t="str">
            <v>AEM2</v>
          </cell>
          <cell r="N18" t="str">
            <v>SHA</v>
          </cell>
          <cell r="O18">
            <v>66</v>
          </cell>
          <cell r="P18">
            <v>165</v>
          </cell>
          <cell r="Q18">
            <v>265</v>
          </cell>
          <cell r="R18" t="str">
            <v>TSM</v>
          </cell>
          <cell r="S18" t="str">
            <v>PIR</v>
          </cell>
          <cell r="T18">
            <v>64</v>
          </cell>
          <cell r="U18" t="str">
            <v>BUC;CAS;ETS;FAF;HCS;PSF;SUZ;THC</v>
          </cell>
          <cell r="V18" t="str">
            <v>BUC;CAS;ETS;FAF;HCS;PSF;SUZ;THC</v>
          </cell>
          <cell r="W18" t="str">
            <v>BUC;CAS;ETS;FAF;HCS;PSF;SUZ;THC</v>
          </cell>
          <cell r="X18" t="str">
            <v>BUC;CAS;ETS;FAF;HCS;PSF;SUZ;THC</v>
          </cell>
        </row>
        <row r="19">
          <cell r="C19" t="str">
            <v>Yantai</v>
          </cell>
          <cell r="D19" t="str">
            <v>YNT</v>
          </cell>
          <cell r="E19" t="str">
            <v>China</v>
          </cell>
          <cell r="F19">
            <v>190</v>
          </cell>
          <cell r="G19">
            <v>365</v>
          </cell>
          <cell r="H19" t="str">
            <v>AEM1</v>
          </cell>
          <cell r="I19" t="str">
            <v>TAO</v>
          </cell>
          <cell r="J19">
            <v>43</v>
          </cell>
          <cell r="K19">
            <v>190</v>
          </cell>
          <cell r="L19">
            <v>365</v>
          </cell>
          <cell r="M19" t="str">
            <v>AEM2</v>
          </cell>
          <cell r="N19" t="str">
            <v>TAO</v>
          </cell>
          <cell r="O19">
            <v>55</v>
          </cell>
          <cell r="U19" t="str">
            <v>BUC;CAS;ETS;FAF;HCS;PSF;SUZ;THC</v>
          </cell>
          <cell r="V19" t="str">
            <v>BUC;CAS;ETS;FAF;HCS;PSF;SUZ;THC</v>
          </cell>
          <cell r="X19" t="str">
            <v>BUC;CAS;ETS;FAF;HCS;PSF;SUZ;THC</v>
          </cell>
        </row>
        <row r="20">
          <cell r="C20" t="str">
            <v>Zhangjiagang</v>
          </cell>
          <cell r="D20" t="str">
            <v>ZJG</v>
          </cell>
          <cell r="E20" t="str">
            <v>China</v>
          </cell>
          <cell r="F20">
            <v>115</v>
          </cell>
          <cell r="G20">
            <v>215</v>
          </cell>
          <cell r="H20" t="str">
            <v>AEM1</v>
          </cell>
          <cell r="I20" t="str">
            <v>SHA</v>
          </cell>
          <cell r="J20">
            <v>46</v>
          </cell>
          <cell r="K20">
            <v>115</v>
          </cell>
          <cell r="L20">
            <v>215</v>
          </cell>
          <cell r="M20" t="str">
            <v>AEM2</v>
          </cell>
          <cell r="N20" t="str">
            <v>SHA</v>
          </cell>
          <cell r="O20">
            <v>62</v>
          </cell>
          <cell r="U20" t="str">
            <v>BUC;CAS;ETS;FAF;HCS;PSF;SUZ;THC</v>
          </cell>
          <cell r="V20" t="str">
            <v>BUC;CAS;ETS;FAF;HCS;PSF;SUZ;THC</v>
          </cell>
          <cell r="X20" t="str">
            <v>BUC;CAS;ETS;FAF;HCS;PSF;SUZ;THC</v>
          </cell>
        </row>
        <row r="21">
          <cell r="C21" t="str">
            <v>Zhenjiang</v>
          </cell>
          <cell r="D21" t="str">
            <v>ZHE</v>
          </cell>
          <cell r="E21" t="str">
            <v>China</v>
          </cell>
          <cell r="F21">
            <v>115</v>
          </cell>
          <cell r="G21">
            <v>215</v>
          </cell>
          <cell r="H21" t="str">
            <v>AEM1</v>
          </cell>
          <cell r="I21" t="str">
            <v>SHA</v>
          </cell>
          <cell r="J21">
            <v>41</v>
          </cell>
          <cell r="K21">
            <v>115</v>
          </cell>
          <cell r="L21">
            <v>215</v>
          </cell>
          <cell r="M21" t="str">
            <v>AEM2</v>
          </cell>
          <cell r="N21" t="str">
            <v>SHA</v>
          </cell>
          <cell r="O21">
            <v>59</v>
          </cell>
          <cell r="U21" t="str">
            <v>BUC;CAS;ETS;FAF;HCS;PSF;SUZ;THC</v>
          </cell>
          <cell r="V21" t="str">
            <v>BUC;CAS;ETS;FAF;HCS;PSF;SUZ;THC</v>
          </cell>
          <cell r="X21" t="str">
            <v>BUC;CAS;ETS;FAF;HCS;PSF;SUZ;THC</v>
          </cell>
        </row>
        <row r="22">
          <cell r="C22" t="str">
            <v>Bahrain</v>
          </cell>
          <cell r="D22" t="str">
            <v>BAH</v>
          </cell>
          <cell r="E22" t="str">
            <v>Bahrain *</v>
          </cell>
          <cell r="F22">
            <v>750</v>
          </cell>
          <cell r="G22">
            <v>850</v>
          </cell>
          <cell r="H22" t="str">
            <v>AEM3</v>
          </cell>
          <cell r="I22" t="str">
            <v>PIR</v>
          </cell>
          <cell r="J22">
            <v>58</v>
          </cell>
          <cell r="K22">
            <v>750</v>
          </cell>
          <cell r="L22">
            <v>850</v>
          </cell>
          <cell r="M22" t="str">
            <v>TSM</v>
          </cell>
          <cell r="N22" t="str">
            <v>PIR</v>
          </cell>
          <cell r="O22">
            <v>55</v>
          </cell>
          <cell r="P22">
            <v>750</v>
          </cell>
          <cell r="Q22">
            <v>850</v>
          </cell>
          <cell r="R22" t="str">
            <v>EPI3</v>
          </cell>
          <cell r="S22" t="str">
            <v>KHL</v>
          </cell>
          <cell r="T22">
            <v>38</v>
          </cell>
          <cell r="U22" t="str">
            <v>BUC;FAF;HCS;SUZ;WRS</v>
          </cell>
          <cell r="V22" t="str">
            <v>BUC;FAF;HCS;SUZ;WRS</v>
          </cell>
          <cell r="W22" t="str">
            <v>BUC;FAF;HCS;SUZ;WRS</v>
          </cell>
          <cell r="X22" t="str">
            <v>BUC;FAF;HCS;SUZ;WRS</v>
          </cell>
        </row>
        <row r="23">
          <cell r="C23" t="str">
            <v>Jakarta</v>
          </cell>
          <cell r="D23" t="str">
            <v>JKT</v>
          </cell>
          <cell r="E23" t="str">
            <v>Indonesia</v>
          </cell>
          <cell r="F23">
            <v>190</v>
          </cell>
          <cell r="G23">
            <v>315</v>
          </cell>
          <cell r="H23" t="str">
            <v>AEM1</v>
          </cell>
          <cell r="I23" t="str">
            <v>SIN</v>
          </cell>
          <cell r="J23">
            <v>35</v>
          </cell>
          <cell r="K23">
            <v>190</v>
          </cell>
          <cell r="L23">
            <v>315</v>
          </cell>
          <cell r="M23" t="str">
            <v>AEM2</v>
          </cell>
          <cell r="N23" t="str">
            <v>PKG</v>
          </cell>
          <cell r="O23">
            <v>50</v>
          </cell>
          <cell r="P23">
            <v>190</v>
          </cell>
          <cell r="Q23">
            <v>315</v>
          </cell>
          <cell r="R23" t="str">
            <v>TSM</v>
          </cell>
          <cell r="S23" t="str">
            <v>PIR</v>
          </cell>
          <cell r="T23">
            <v>54</v>
          </cell>
          <cell r="U23" t="str">
            <v>BUC;CAS;ETS;FAF;HCS;PSF;SUZ;THC</v>
          </cell>
          <cell r="V23" t="str">
            <v>BUC;CAS;ETS;FAF;HCS;PSF;SUZ;THC</v>
          </cell>
          <cell r="W23" t="str">
            <v>BUC;CAS;ETS;FAF;HCS;PSF;SUZ;THC</v>
          </cell>
          <cell r="X23" t="str">
            <v>BUC;CAS;ETS;FAF;HCS;PSF;SUZ;THC</v>
          </cell>
        </row>
        <row r="24">
          <cell r="C24" t="str">
            <v>Semarang</v>
          </cell>
          <cell r="D24" t="str">
            <v>SRG</v>
          </cell>
          <cell r="E24" t="str">
            <v>Indonesia</v>
          </cell>
          <cell r="F24">
            <v>215</v>
          </cell>
          <cell r="G24">
            <v>315</v>
          </cell>
          <cell r="H24" t="str">
            <v>AEM1</v>
          </cell>
          <cell r="I24" t="str">
            <v>SIN</v>
          </cell>
          <cell r="J24">
            <v>34</v>
          </cell>
          <cell r="K24">
            <v>215</v>
          </cell>
          <cell r="L24">
            <v>315</v>
          </cell>
          <cell r="M24" t="str">
            <v>AEM2</v>
          </cell>
          <cell r="N24" t="str">
            <v>PKG</v>
          </cell>
          <cell r="O24">
            <v>47</v>
          </cell>
          <cell r="P24">
            <v>215</v>
          </cell>
          <cell r="Q24">
            <v>315</v>
          </cell>
          <cell r="R24" t="str">
            <v>TSM</v>
          </cell>
          <cell r="S24" t="str">
            <v>PIR</v>
          </cell>
          <cell r="T24">
            <v>52</v>
          </cell>
          <cell r="U24" t="str">
            <v>BUC;CAS;ETS;FAF;HCS;PSF;SUZ;THC</v>
          </cell>
          <cell r="V24" t="str">
            <v>BUC;CAS;ETS;FAF;HCS;PSF;SUZ;THC</v>
          </cell>
          <cell r="W24" t="str">
            <v>BUC;CAS;ETS;FAF;HCS;PSF;SUZ;THC</v>
          </cell>
          <cell r="X24" t="str">
            <v>BUC;CAS;ETS;FAF;HCS;PSF;SUZ;THC</v>
          </cell>
        </row>
        <row r="25">
          <cell r="C25" t="str">
            <v>Surabaya</v>
          </cell>
          <cell r="D25" t="str">
            <v>SUB</v>
          </cell>
          <cell r="E25" t="str">
            <v>Indonesia</v>
          </cell>
          <cell r="F25">
            <v>190</v>
          </cell>
          <cell r="G25">
            <v>315</v>
          </cell>
          <cell r="H25" t="str">
            <v>AEM1</v>
          </cell>
          <cell r="I25" t="str">
            <v>SIN</v>
          </cell>
          <cell r="J25">
            <v>36</v>
          </cell>
          <cell r="K25">
            <v>190</v>
          </cell>
          <cell r="L25">
            <v>315</v>
          </cell>
          <cell r="M25" t="str">
            <v>AEM2</v>
          </cell>
          <cell r="N25" t="str">
            <v>PKG</v>
          </cell>
          <cell r="O25">
            <v>47</v>
          </cell>
          <cell r="P25">
            <v>190</v>
          </cell>
          <cell r="Q25">
            <v>315</v>
          </cell>
          <cell r="R25" t="str">
            <v>TSM</v>
          </cell>
          <cell r="S25" t="str">
            <v>PIR</v>
          </cell>
          <cell r="T25">
            <v>52</v>
          </cell>
          <cell r="U25" t="str">
            <v>BUC;CAS;ETS;FAF;HCS;PSF;SUZ;THC</v>
          </cell>
          <cell r="V25" t="str">
            <v>BUC;CAS;ETS;FAF;HCS;PSF;SUZ;THC</v>
          </cell>
          <cell r="W25" t="str">
            <v>BUC;CAS;ETS;FAF;HCS;PSF;SUZ;THC</v>
          </cell>
          <cell r="X25" t="str">
            <v>BUC;CAS;ETS;FAF;HCS;PSF;SUZ;THC</v>
          </cell>
        </row>
        <row r="26">
          <cell r="C26" t="str">
            <v>Hakata</v>
          </cell>
          <cell r="D26" t="str">
            <v>HKT</v>
          </cell>
          <cell r="E26" t="str">
            <v>Japan</v>
          </cell>
          <cell r="F26">
            <v>115</v>
          </cell>
          <cell r="G26">
            <v>215</v>
          </cell>
          <cell r="H26" t="str">
            <v>AEM1</v>
          </cell>
          <cell r="I26" t="str">
            <v>SHA</v>
          </cell>
          <cell r="J26">
            <v>44</v>
          </cell>
          <cell r="K26">
            <v>115</v>
          </cell>
          <cell r="L26">
            <v>215</v>
          </cell>
          <cell r="M26" t="str">
            <v>AEM2</v>
          </cell>
          <cell r="N26" t="str">
            <v>SHA</v>
          </cell>
          <cell r="O26">
            <v>62</v>
          </cell>
          <cell r="P26">
            <v>115</v>
          </cell>
          <cell r="Q26">
            <v>215</v>
          </cell>
          <cell r="R26" t="str">
            <v>TSM</v>
          </cell>
          <cell r="S26" t="str">
            <v>PIR</v>
          </cell>
          <cell r="T26">
            <v>60</v>
          </cell>
          <cell r="U26" t="str">
            <v>BUC;CAS;ETS;FAF;HCS;PSF;SUZ;THC</v>
          </cell>
          <cell r="V26" t="str">
            <v>BUC;CAS;ETS;FAF;HCS;PSF;SUZ;THC</v>
          </cell>
          <cell r="W26" t="str">
            <v>BUC;CAS;ETS;FAF;HCS;PSF;SUZ;THC</v>
          </cell>
          <cell r="X26" t="str">
            <v>BUC;CAS;ETS;FAF;HCS;PSF;SUZ;THC</v>
          </cell>
        </row>
        <row r="27">
          <cell r="C27" t="str">
            <v>Kobe</v>
          </cell>
          <cell r="D27" t="str">
            <v>UKB</v>
          </cell>
          <cell r="E27" t="str">
            <v>Japan</v>
          </cell>
          <cell r="F27">
            <v>115</v>
          </cell>
          <cell r="G27">
            <v>215</v>
          </cell>
          <cell r="H27" t="str">
            <v>AEM1</v>
          </cell>
          <cell r="I27" t="str">
            <v>SHA</v>
          </cell>
          <cell r="J27">
            <v>47</v>
          </cell>
          <cell r="K27">
            <v>115</v>
          </cell>
          <cell r="L27">
            <v>215</v>
          </cell>
          <cell r="M27" t="str">
            <v>AEM2</v>
          </cell>
          <cell r="N27" t="str">
            <v>SHA</v>
          </cell>
          <cell r="O27">
            <v>62</v>
          </cell>
          <cell r="P27">
            <v>115</v>
          </cell>
          <cell r="Q27">
            <v>215</v>
          </cell>
          <cell r="R27" t="str">
            <v>TSM</v>
          </cell>
          <cell r="S27" t="str">
            <v>PIR</v>
          </cell>
          <cell r="T27">
            <v>60</v>
          </cell>
          <cell r="U27" t="str">
            <v>BUC;CAS;ETS;FAF;HCS;PSF;SUZ;THC</v>
          </cell>
          <cell r="V27" t="str">
            <v>BUC;CAS;ETS;FAF;HCS;PSF;SUZ;THC</v>
          </cell>
          <cell r="W27" t="str">
            <v>BUC;CAS;ETS;FAF;HCS;PSF;SUZ;THC</v>
          </cell>
          <cell r="X27" t="str">
            <v>BUC;CAS;ETS;FAF;HCS;PSF;SUZ;THC</v>
          </cell>
        </row>
        <row r="28">
          <cell r="C28" t="str">
            <v>Moji</v>
          </cell>
          <cell r="D28" t="str">
            <v>MOJ</v>
          </cell>
          <cell r="E28" t="str">
            <v>Japan</v>
          </cell>
          <cell r="F28">
            <v>115</v>
          </cell>
          <cell r="G28">
            <v>215</v>
          </cell>
          <cell r="H28" t="str">
            <v>AEM1</v>
          </cell>
          <cell r="I28" t="str">
            <v>SHA</v>
          </cell>
          <cell r="J28">
            <v>44</v>
          </cell>
          <cell r="K28">
            <v>115</v>
          </cell>
          <cell r="L28">
            <v>215</v>
          </cell>
          <cell r="M28" t="str">
            <v>AEM2</v>
          </cell>
          <cell r="N28" t="str">
            <v>SHA</v>
          </cell>
          <cell r="O28">
            <v>62</v>
          </cell>
          <cell r="P28">
            <v>115</v>
          </cell>
          <cell r="Q28">
            <v>215</v>
          </cell>
          <cell r="R28" t="str">
            <v>TSM</v>
          </cell>
          <cell r="S28" t="str">
            <v>PIR</v>
          </cell>
          <cell r="T28">
            <v>60</v>
          </cell>
          <cell r="U28" t="str">
            <v>BUC;CAS;ETS;FAF;HCS;PSF;SUZ;THC</v>
          </cell>
          <cell r="V28" t="str">
            <v>BUC;CAS;ETS;FAF;HCS;PSF;SUZ;THC</v>
          </cell>
          <cell r="W28" t="str">
            <v>BUC;CAS;ETS;FAF;HCS;PSF;SUZ;THC</v>
          </cell>
          <cell r="X28" t="str">
            <v>BUC;CAS;ETS;FAF;HCS;PSF;SUZ;THC</v>
          </cell>
        </row>
        <row r="29">
          <cell r="C29" t="str">
            <v>Nagoya</v>
          </cell>
          <cell r="D29" t="str">
            <v>NGO</v>
          </cell>
          <cell r="E29" t="str">
            <v>Japan</v>
          </cell>
          <cell r="F29">
            <v>115</v>
          </cell>
          <cell r="G29">
            <v>215</v>
          </cell>
          <cell r="H29" t="str">
            <v>AEM1</v>
          </cell>
          <cell r="I29" t="str">
            <v>SHA</v>
          </cell>
          <cell r="J29">
            <v>45</v>
          </cell>
          <cell r="K29">
            <v>115</v>
          </cell>
          <cell r="L29">
            <v>215</v>
          </cell>
          <cell r="M29" t="str">
            <v>AEM2</v>
          </cell>
          <cell r="N29" t="str">
            <v>SHA</v>
          </cell>
          <cell r="O29">
            <v>61</v>
          </cell>
          <cell r="P29">
            <v>115</v>
          </cell>
          <cell r="Q29">
            <v>215</v>
          </cell>
          <cell r="R29" t="str">
            <v>TSM</v>
          </cell>
          <cell r="S29" t="str">
            <v>PIR</v>
          </cell>
          <cell r="T29">
            <v>69</v>
          </cell>
          <cell r="U29" t="str">
            <v>BUC;CAS;ETS;FAF;HCS;PSF;SUZ;THC</v>
          </cell>
          <cell r="V29" t="str">
            <v>BUC;CAS;ETS;FAF;HCS;PSF;SUZ;THC</v>
          </cell>
          <cell r="W29" t="str">
            <v>BUC;CAS;ETS;FAF;HCS;PSF;SUZ;THC</v>
          </cell>
          <cell r="X29" t="str">
            <v>BUC;CAS;ETS;FAF;HCS;PSF;SUZ;THC</v>
          </cell>
        </row>
        <row r="30">
          <cell r="C30" t="str">
            <v>Osaka</v>
          </cell>
          <cell r="D30" t="str">
            <v>OSA</v>
          </cell>
          <cell r="E30" t="str">
            <v>Japan</v>
          </cell>
          <cell r="F30">
            <v>115</v>
          </cell>
          <cell r="G30">
            <v>215</v>
          </cell>
          <cell r="H30" t="str">
            <v>AEM3</v>
          </cell>
          <cell r="I30" t="str">
            <v>SHK</v>
          </cell>
          <cell r="J30">
            <v>67</v>
          </cell>
          <cell r="K30">
            <v>115</v>
          </cell>
          <cell r="L30">
            <v>215</v>
          </cell>
          <cell r="M30" t="str">
            <v>AEM2</v>
          </cell>
          <cell r="N30" t="str">
            <v>SHA</v>
          </cell>
          <cell r="O30">
            <v>65</v>
          </cell>
          <cell r="P30">
            <v>115</v>
          </cell>
          <cell r="Q30">
            <v>215</v>
          </cell>
          <cell r="R30" t="str">
            <v>TSM</v>
          </cell>
          <cell r="S30" t="str">
            <v>PIR</v>
          </cell>
          <cell r="T30">
            <v>67</v>
          </cell>
          <cell r="U30" t="str">
            <v>BUC;CAS;ETS;FAF;HCS;PSF;SUZ;THC</v>
          </cell>
          <cell r="V30" t="str">
            <v>BUC;CAS;ETS;FAF;HCS;PSF;SUZ;THC</v>
          </cell>
          <cell r="W30" t="str">
            <v>BUC;CAS;ETS;FAF;HCS;PSF;SUZ;THC</v>
          </cell>
          <cell r="X30" t="str">
            <v>BUC;CAS;ETS;FAF;HCS;PSF;SUZ;THC</v>
          </cell>
        </row>
        <row r="31">
          <cell r="C31" t="str">
            <v>Tokuyama</v>
          </cell>
          <cell r="D31" t="str">
            <v>TKY</v>
          </cell>
          <cell r="E31" t="str">
            <v>Japan</v>
          </cell>
          <cell r="F31">
            <v>265</v>
          </cell>
          <cell r="G31">
            <v>365</v>
          </cell>
          <cell r="H31" t="str">
            <v>AEM1</v>
          </cell>
          <cell r="I31" t="str">
            <v>SHA</v>
          </cell>
          <cell r="J31">
            <v>52</v>
          </cell>
          <cell r="K31">
            <v>265</v>
          </cell>
          <cell r="L31">
            <v>365</v>
          </cell>
          <cell r="M31" t="str">
            <v>AEM2</v>
          </cell>
          <cell r="N31" t="str">
            <v>SHA</v>
          </cell>
          <cell r="O31">
            <v>64</v>
          </cell>
          <cell r="P31">
            <v>265</v>
          </cell>
          <cell r="Q31">
            <v>365</v>
          </cell>
          <cell r="R31" t="str">
            <v>TSM</v>
          </cell>
          <cell r="S31" t="str">
            <v>PIR</v>
          </cell>
          <cell r="T31">
            <v>62</v>
          </cell>
          <cell r="U31" t="str">
            <v>BUC;CAS;ETS;FAF;HCS;PSF;SUZ;THC</v>
          </cell>
          <cell r="V31" t="str">
            <v>BUC;CAS;ETS;FAF;HCS;PSF;SUZ;THC</v>
          </cell>
          <cell r="W31" t="str">
            <v>BUC;CAS;ETS;FAF;HCS;PSF;SUZ;THC</v>
          </cell>
          <cell r="X31" t="str">
            <v>BUC;CAS;ETS;FAF;HCS;PSF;SUZ;THC</v>
          </cell>
        </row>
        <row r="32">
          <cell r="C32" t="str">
            <v>Tokyo</v>
          </cell>
          <cell r="D32" t="str">
            <v>TYO</v>
          </cell>
          <cell r="E32" t="str">
            <v>Japan</v>
          </cell>
          <cell r="F32">
            <v>115</v>
          </cell>
          <cell r="G32">
            <v>215</v>
          </cell>
          <cell r="H32" t="str">
            <v>AEM1</v>
          </cell>
          <cell r="I32" t="str">
            <v>SHA</v>
          </cell>
          <cell r="J32">
            <v>47</v>
          </cell>
          <cell r="K32">
            <v>115</v>
          </cell>
          <cell r="L32">
            <v>215</v>
          </cell>
          <cell r="M32" t="str">
            <v>AEM2</v>
          </cell>
          <cell r="N32" t="str">
            <v>SHA</v>
          </cell>
          <cell r="O32">
            <v>62</v>
          </cell>
          <cell r="P32">
            <v>115</v>
          </cell>
          <cell r="Q32">
            <v>215</v>
          </cell>
          <cell r="R32" t="str">
            <v>TSM</v>
          </cell>
          <cell r="S32" t="str">
            <v>PIR</v>
          </cell>
          <cell r="T32">
            <v>70</v>
          </cell>
          <cell r="U32" t="str">
            <v>BUC;CAS;ETS;FAF;HCS;PSF;SUZ;THC</v>
          </cell>
          <cell r="V32" t="str">
            <v>BUC;CAS;ETS;FAF;HCS;PSF;SUZ;THC</v>
          </cell>
          <cell r="W32" t="str">
            <v>BUC;CAS;ETS;FAF;HCS;PSF;SUZ;THC</v>
          </cell>
          <cell r="X32" t="str">
            <v>BUC;CAS;ETS;FAF;HCS;PSF;SUZ;THC</v>
          </cell>
        </row>
        <row r="33">
          <cell r="C33" t="str">
            <v>Yokohama</v>
          </cell>
          <cell r="D33" t="str">
            <v>YOK</v>
          </cell>
          <cell r="E33" t="str">
            <v>Japan</v>
          </cell>
          <cell r="F33">
            <v>115</v>
          </cell>
          <cell r="G33">
            <v>215</v>
          </cell>
          <cell r="H33" t="str">
            <v>AEM1</v>
          </cell>
          <cell r="I33" t="str">
            <v>SHA</v>
          </cell>
          <cell r="J33">
            <v>47</v>
          </cell>
          <cell r="K33">
            <v>115</v>
          </cell>
          <cell r="L33">
            <v>215</v>
          </cell>
          <cell r="M33" t="str">
            <v>AEM2</v>
          </cell>
          <cell r="N33" t="str">
            <v>SHA</v>
          </cell>
          <cell r="O33">
            <v>60</v>
          </cell>
          <cell r="P33">
            <v>115</v>
          </cell>
          <cell r="Q33">
            <v>215</v>
          </cell>
          <cell r="R33" t="str">
            <v>TSM</v>
          </cell>
          <cell r="S33" t="str">
            <v>PIR</v>
          </cell>
          <cell r="T33">
            <v>71</v>
          </cell>
          <cell r="U33" t="str">
            <v>BUC;CAS;ETS;FAF;HCS;PSF;SUZ;THC</v>
          </cell>
          <cell r="V33" t="str">
            <v>BUC;CAS;ETS;FAF;HCS;PSF;SUZ;THC</v>
          </cell>
          <cell r="W33" t="str">
            <v>BUC;CAS;ETS;FAF;HCS;PSF;SUZ;THC</v>
          </cell>
          <cell r="X33" t="str">
            <v>BUC;CAS;ETS;FAF;HCS;PSF;SUZ;THC</v>
          </cell>
        </row>
        <row r="34">
          <cell r="C34" t="str">
            <v>Kuantan</v>
          </cell>
          <cell r="E34" t="str">
            <v>Malaysia</v>
          </cell>
          <cell r="K34">
            <v>485</v>
          </cell>
          <cell r="L34">
            <v>895</v>
          </cell>
          <cell r="M34" t="str">
            <v>AEM2</v>
          </cell>
          <cell r="N34" t="str">
            <v>PKG</v>
          </cell>
          <cell r="O34">
            <v>52</v>
          </cell>
          <cell r="V34" t="str">
            <v>BUC;CAS;ETS;FAF;HCS;PSF;SUZ;THC</v>
          </cell>
          <cell r="X34" t="str">
            <v>BUC;CAS;ETS;FAF;HCS;PSF;SUZ;THC</v>
          </cell>
        </row>
        <row r="35">
          <cell r="C35" t="str">
            <v>Kuching</v>
          </cell>
          <cell r="D35" t="str">
            <v>KCH</v>
          </cell>
          <cell r="E35" t="str">
            <v>Malaysia</v>
          </cell>
          <cell r="F35">
            <v>530</v>
          </cell>
          <cell r="G35">
            <v>985</v>
          </cell>
          <cell r="H35" t="str">
            <v>AEM1</v>
          </cell>
          <cell r="I35" t="str">
            <v>SIN</v>
          </cell>
          <cell r="J35">
            <v>38</v>
          </cell>
          <cell r="K35">
            <v>530</v>
          </cell>
          <cell r="L35">
            <v>985</v>
          </cell>
          <cell r="M35" t="str">
            <v>AEM2</v>
          </cell>
          <cell r="N35" t="str">
            <v>PKG</v>
          </cell>
          <cell r="O35">
            <v>56</v>
          </cell>
          <cell r="U35" t="str">
            <v>BUC;CAS;ETS;FAF;HCS;PSF;SUZ;THC</v>
          </cell>
          <cell r="V35" t="str">
            <v>BUC;CAS;ETS;FAF;HCS;PSF;SUZ;THC</v>
          </cell>
          <cell r="X35" t="str">
            <v>BUC;CAS;ETS;FAF;HCS;PSF;SUZ;THC</v>
          </cell>
        </row>
        <row r="36">
          <cell r="C36" t="str">
            <v>Penang</v>
          </cell>
          <cell r="D36" t="str">
            <v>PEN</v>
          </cell>
          <cell r="E36" t="str">
            <v>Malaysia</v>
          </cell>
          <cell r="F36">
            <v>115</v>
          </cell>
          <cell r="G36">
            <v>215</v>
          </cell>
          <cell r="H36" t="str">
            <v>AEM1</v>
          </cell>
          <cell r="I36" t="str">
            <v>SIN</v>
          </cell>
          <cell r="J36">
            <v>32</v>
          </cell>
          <cell r="K36">
            <v>115</v>
          </cell>
          <cell r="L36">
            <v>215</v>
          </cell>
          <cell r="M36" t="str">
            <v>AEM2</v>
          </cell>
          <cell r="N36" t="str">
            <v>PKG</v>
          </cell>
          <cell r="O36">
            <v>44</v>
          </cell>
          <cell r="P36">
            <v>115</v>
          </cell>
          <cell r="Q36">
            <v>215</v>
          </cell>
          <cell r="R36" t="str">
            <v>TSM</v>
          </cell>
          <cell r="S36" t="str">
            <v>PIR</v>
          </cell>
          <cell r="T36">
            <v>48</v>
          </cell>
          <cell r="U36" t="str">
            <v>BUC;CAS;ETS;FAF;HCS;PSF;SUZ;THC</v>
          </cell>
          <cell r="V36" t="str">
            <v>BUC;CAS;ETS;FAF;HCS;PSF;SUZ;THC</v>
          </cell>
          <cell r="W36" t="str">
            <v>BUC;CAS;ETS;FAF;HCS;PSF;SUZ;THC</v>
          </cell>
          <cell r="X36" t="str">
            <v>BUC;CAS;ETS;FAF;HCS;PSF;SUZ;THC</v>
          </cell>
        </row>
        <row r="37">
          <cell r="C37" t="str">
            <v>Yangon</v>
          </cell>
          <cell r="D37" t="str">
            <v>RGN</v>
          </cell>
          <cell r="E37" t="str">
            <v>Myanmar</v>
          </cell>
          <cell r="F37">
            <v>265</v>
          </cell>
          <cell r="G37">
            <v>415</v>
          </cell>
          <cell r="H37" t="str">
            <v>AEM1</v>
          </cell>
          <cell r="I37" t="str">
            <v>SIN</v>
          </cell>
          <cell r="J37">
            <v>35</v>
          </cell>
          <cell r="K37">
            <v>265</v>
          </cell>
          <cell r="L37">
            <v>415</v>
          </cell>
          <cell r="M37" t="str">
            <v>AEM2</v>
          </cell>
          <cell r="N37" t="str">
            <v>PKG</v>
          </cell>
          <cell r="O37">
            <v>54</v>
          </cell>
          <cell r="P37">
            <v>265</v>
          </cell>
          <cell r="Q37">
            <v>415</v>
          </cell>
          <cell r="R37" t="str">
            <v>TSM</v>
          </cell>
          <cell r="S37" t="str">
            <v>PIR</v>
          </cell>
          <cell r="T37">
            <v>58</v>
          </cell>
          <cell r="U37" t="str">
            <v>BUC;CAS;ETS;FAF;HCS;PSF;SUZ;THC</v>
          </cell>
          <cell r="V37" t="str">
            <v>BUC;CAS;ETS;FAF;HCS;PSF;SUZ;THC</v>
          </cell>
          <cell r="W37" t="str">
            <v>BUC;CAS;ETS;FAF;HCS;PSF;SUZ;THC</v>
          </cell>
          <cell r="X37" t="str">
            <v>BUC;CAS;ETS;FAF;HCS;PSF;SUZ;THC</v>
          </cell>
        </row>
        <row r="38">
          <cell r="C38" t="str">
            <v>Kwangyang</v>
          </cell>
          <cell r="D38" t="str">
            <v>KAN</v>
          </cell>
          <cell r="E38" t="str">
            <v>South Korea</v>
          </cell>
          <cell r="F38">
            <v>235</v>
          </cell>
          <cell r="G38">
            <v>446</v>
          </cell>
          <cell r="H38" t="str">
            <v>AEM1</v>
          </cell>
          <cell r="I38" t="str">
            <v>SHA</v>
          </cell>
          <cell r="J38">
            <v>51</v>
          </cell>
          <cell r="K38">
            <v>235</v>
          </cell>
          <cell r="L38">
            <v>446</v>
          </cell>
          <cell r="M38" t="str">
            <v>AEM2</v>
          </cell>
          <cell r="N38" t="str">
            <v>SHA</v>
          </cell>
          <cell r="O38">
            <v>62</v>
          </cell>
          <cell r="U38" t="str">
            <v>BUC;CAS;ETS;FAF;HCS;PSF;SUZ;THC</v>
          </cell>
          <cell r="V38" t="str">
            <v>BUC;CAS;ETS;FAF;HCS;PSF;SUZ;THC</v>
          </cell>
          <cell r="X38" t="str">
            <v>BUC;CAS;ETS;FAF;HCS;PSF;SUZ;THC</v>
          </cell>
        </row>
        <row r="39">
          <cell r="C39" t="str">
            <v>Keelung</v>
          </cell>
          <cell r="D39" t="str">
            <v>KEL</v>
          </cell>
          <cell r="E39" t="str">
            <v>Taiwan</v>
          </cell>
          <cell r="F39">
            <v>115</v>
          </cell>
          <cell r="G39">
            <v>215</v>
          </cell>
          <cell r="H39" t="str">
            <v>AEM1</v>
          </cell>
          <cell r="I39" t="str">
            <v>SHA</v>
          </cell>
          <cell r="J39">
            <v>47</v>
          </cell>
          <cell r="K39">
            <v>115</v>
          </cell>
          <cell r="L39">
            <v>215</v>
          </cell>
          <cell r="M39" t="str">
            <v>AEM2</v>
          </cell>
          <cell r="N39" t="str">
            <v>SHA</v>
          </cell>
          <cell r="O39">
            <v>60</v>
          </cell>
          <cell r="P39">
            <v>115</v>
          </cell>
          <cell r="Q39">
            <v>215</v>
          </cell>
          <cell r="R39" t="str">
            <v>TSM</v>
          </cell>
          <cell r="S39" t="str">
            <v>PIR</v>
          </cell>
          <cell r="T39">
            <v>63</v>
          </cell>
          <cell r="U39" t="str">
            <v>BUC;CAS;ETS;FAF;HCS;PSF;SUZ;THC</v>
          </cell>
          <cell r="V39" t="str">
            <v>BUC;CAS;ETS;FAF;HCS;PSF;SUZ;THC</v>
          </cell>
          <cell r="W39" t="str">
            <v>BUC;CAS;ETS;FAF;HCS;PSF;SUZ;THC</v>
          </cell>
          <cell r="X39" t="str">
            <v>BUC;CAS;ETS;FAF;HCS;PSF;SUZ;THC</v>
          </cell>
        </row>
        <row r="40">
          <cell r="C40" t="str">
            <v>Bangkok</v>
          </cell>
          <cell r="D40" t="str">
            <v>BKK</v>
          </cell>
          <cell r="E40" t="str">
            <v>Thailand</v>
          </cell>
          <cell r="F40">
            <v>145</v>
          </cell>
          <cell r="G40">
            <v>235</v>
          </cell>
          <cell r="H40" t="str">
            <v>AEM1</v>
          </cell>
          <cell r="I40" t="str">
            <v>SIN</v>
          </cell>
          <cell r="J40">
            <v>34</v>
          </cell>
          <cell r="P40">
            <v>145</v>
          </cell>
          <cell r="Q40">
            <v>235</v>
          </cell>
          <cell r="R40" t="str">
            <v>TSM</v>
          </cell>
          <cell r="S40" t="str">
            <v>PIR</v>
          </cell>
          <cell r="T40">
            <v>57</v>
          </cell>
          <cell r="U40" t="str">
            <v>BUC;CAS;ETS;FAF;HCS;PSF;SUZ;THC</v>
          </cell>
          <cell r="W40" t="str">
            <v>BUC;CAS;ETS;FAF;HCS;PSF;SUZ;THC</v>
          </cell>
          <cell r="X40" t="str">
            <v>BUC;CAS;ETS;FAF;HCS;PSF;SUZ;THC</v>
          </cell>
        </row>
        <row r="41">
          <cell r="C41" t="str">
            <v>Laem Chabang</v>
          </cell>
          <cell r="D41" t="str">
            <v>LCH</v>
          </cell>
          <cell r="E41" t="str">
            <v>Thailand</v>
          </cell>
          <cell r="F41">
            <v>115</v>
          </cell>
          <cell r="G41">
            <v>215</v>
          </cell>
          <cell r="H41" t="str">
            <v>AEM1</v>
          </cell>
          <cell r="I41" t="str">
            <v>SIN</v>
          </cell>
          <cell r="J41">
            <v>35</v>
          </cell>
          <cell r="K41">
            <v>115</v>
          </cell>
          <cell r="L41">
            <v>215</v>
          </cell>
          <cell r="M41" t="str">
            <v>AEM2</v>
          </cell>
          <cell r="N41" t="str">
            <v>PKG</v>
          </cell>
          <cell r="O41">
            <v>49</v>
          </cell>
          <cell r="P41">
            <v>115</v>
          </cell>
          <cell r="Q41">
            <v>215</v>
          </cell>
          <cell r="R41" t="str">
            <v>TSM</v>
          </cell>
          <cell r="S41" t="str">
            <v>PIR</v>
          </cell>
          <cell r="T41">
            <v>54</v>
          </cell>
          <cell r="U41" t="str">
            <v>BUC;CAS;ETS;FAF;HCS;PSF;SUZ;THC</v>
          </cell>
          <cell r="V41" t="str">
            <v>BUC;CAS;ETS;FAF;HCS;PSF;SUZ;THC</v>
          </cell>
          <cell r="W41" t="str">
            <v>BUC;CAS;ETS;FAF;HCS;PSF;SUZ;THC</v>
          </cell>
          <cell r="X41" t="str">
            <v>BUC;CAS;ETS;FAF;HCS;PSF;SUZ;THC</v>
          </cell>
        </row>
        <row r="42">
          <cell r="C42" t="str">
            <v>Ho Chi Minh</v>
          </cell>
          <cell r="D42" t="str">
            <v>SGN</v>
          </cell>
          <cell r="E42" t="str">
            <v>Vietnam</v>
          </cell>
          <cell r="F42">
            <v>145</v>
          </cell>
          <cell r="G42">
            <v>235</v>
          </cell>
          <cell r="H42" t="str">
            <v>AEM1</v>
          </cell>
          <cell r="I42" t="str">
            <v>SIN</v>
          </cell>
          <cell r="J42">
            <v>34</v>
          </cell>
          <cell r="K42">
            <v>145</v>
          </cell>
          <cell r="L42">
            <v>235</v>
          </cell>
          <cell r="M42" t="str">
            <v>AEM2</v>
          </cell>
          <cell r="N42" t="str">
            <v>PKG</v>
          </cell>
          <cell r="O42">
            <v>49</v>
          </cell>
          <cell r="P42">
            <v>145</v>
          </cell>
          <cell r="Q42">
            <v>235</v>
          </cell>
          <cell r="R42" t="str">
            <v>TSM</v>
          </cell>
          <cell r="S42" t="str">
            <v>PIR</v>
          </cell>
          <cell r="T42">
            <v>59</v>
          </cell>
          <cell r="U42" t="str">
            <v>BUC;CAS;ETS;FAF;HCS;PSF;SUZ;THC</v>
          </cell>
          <cell r="V42" t="str">
            <v>BUC;CAS;ETS;FAF;HCS;PSF;SUZ;THC</v>
          </cell>
          <cell r="W42" t="str">
            <v>BUC;CAS;ETS;FAF;HCS;PSF;SUZ;THC</v>
          </cell>
          <cell r="X42" t="str">
            <v>BUC;CAS;ETS;FAF;HCS;PSF;SUZ;THC</v>
          </cell>
        </row>
        <row r="43">
          <cell r="C43" t="str">
            <v>Kaohsiung</v>
          </cell>
          <cell r="D43" t="str">
            <v>KHH</v>
          </cell>
          <cell r="E43" t="str">
            <v>Taiwan Base Port</v>
          </cell>
          <cell r="F43">
            <v>65</v>
          </cell>
          <cell r="G43">
            <v>115</v>
          </cell>
          <cell r="H43" t="str">
            <v>AEM1</v>
          </cell>
          <cell r="I43" t="str">
            <v>direct</v>
          </cell>
          <cell r="J43">
            <v>43</v>
          </cell>
          <cell r="K43">
            <v>65</v>
          </cell>
          <cell r="L43">
            <v>115</v>
          </cell>
          <cell r="M43" t="str">
            <v>AEM2</v>
          </cell>
          <cell r="N43" t="str">
            <v>SHA</v>
          </cell>
          <cell r="O43">
            <v>63</v>
          </cell>
          <cell r="P43">
            <v>65</v>
          </cell>
          <cell r="Q43">
            <v>115</v>
          </cell>
          <cell r="R43" t="str">
            <v>TSM</v>
          </cell>
          <cell r="S43" t="str">
            <v>PIR</v>
          </cell>
          <cell r="T43">
            <v>67</v>
          </cell>
          <cell r="U43" t="str">
            <v>BUC;CAS;ETS;FAF;HCS;PSF;SUZ;THC</v>
          </cell>
          <cell r="V43" t="str">
            <v>BUC;CAS;ETS;FAF;HCS;PSF;SUZ;THC</v>
          </cell>
          <cell r="W43" t="str">
            <v>BUC;CAS;ETS;FAF;HCS;PSF;SUZ;THC</v>
          </cell>
          <cell r="X43" t="str">
            <v>BUC;CAS;ETS;FAF;HCS;PSF;SUZ;THC</v>
          </cell>
        </row>
        <row r="44">
          <cell r="C44" t="str">
            <v>Umm Qasar North</v>
          </cell>
          <cell r="D44" t="str">
            <v>UQR</v>
          </cell>
          <cell r="E44" t="str">
            <v>Iraq</v>
          </cell>
          <cell r="F44">
            <v>950</v>
          </cell>
          <cell r="G44">
            <v>1150</v>
          </cell>
          <cell r="H44" t="str">
            <v>AEM3</v>
          </cell>
          <cell r="I44" t="str">
            <v>JEA</v>
          </cell>
          <cell r="J44">
            <v>50</v>
          </cell>
          <cell r="K44">
            <v>950</v>
          </cell>
          <cell r="L44">
            <v>1150</v>
          </cell>
          <cell r="M44" t="str">
            <v>TSM</v>
          </cell>
          <cell r="N44" t="str">
            <v>JEA</v>
          </cell>
          <cell r="O44">
            <v>48</v>
          </cell>
          <cell r="P44">
            <v>950</v>
          </cell>
          <cell r="Q44">
            <v>1150</v>
          </cell>
          <cell r="R44" t="str">
            <v>EPI3</v>
          </cell>
          <cell r="S44" t="str">
            <v>KHL</v>
          </cell>
          <cell r="T44">
            <v>32</v>
          </cell>
          <cell r="U44" t="str">
            <v>BUC;FAF;HCS;SUZ;WRS</v>
          </cell>
          <cell r="V44" t="str">
            <v>BUC;FAF;HCS;SUZ;WRS</v>
          </cell>
          <cell r="W44" t="str">
            <v>BUC;FAF;HCS;SUZ;WRS</v>
          </cell>
          <cell r="X44" t="str">
            <v>BUC;FAF;HCS;SUZ;WRS</v>
          </cell>
        </row>
        <row r="45">
          <cell r="C45" t="str">
            <v>Ajman</v>
          </cell>
          <cell r="D45" t="str">
            <v>AJM</v>
          </cell>
          <cell r="E45" t="str">
            <v>United Arab Emirates *</v>
          </cell>
          <cell r="F45">
            <v>650</v>
          </cell>
          <cell r="G45">
            <v>750</v>
          </cell>
          <cell r="H45" t="str">
            <v>AEM3</v>
          </cell>
          <cell r="I45" t="str">
            <v>JEA</v>
          </cell>
          <cell r="J45">
            <v>50</v>
          </cell>
          <cell r="K45">
            <v>650</v>
          </cell>
          <cell r="L45">
            <v>750</v>
          </cell>
          <cell r="M45" t="str">
            <v>TSM</v>
          </cell>
          <cell r="N45" t="str">
            <v>JEA</v>
          </cell>
          <cell r="O45">
            <v>48</v>
          </cell>
          <cell r="P45">
            <v>650</v>
          </cell>
          <cell r="Q45">
            <v>750</v>
          </cell>
          <cell r="R45" t="str">
            <v>EPI3</v>
          </cell>
          <cell r="S45" t="str">
            <v>KHL</v>
          </cell>
          <cell r="T45">
            <v>34</v>
          </cell>
          <cell r="U45" t="str">
            <v>BUC;FAF;HCS;SUZ;WRS</v>
          </cell>
          <cell r="V45" t="str">
            <v>BUC;FAF;HCS;SUZ;WRS</v>
          </cell>
          <cell r="W45" t="str">
            <v>BUC;FAF;HCS;SUZ;WRS</v>
          </cell>
          <cell r="X45" t="str">
            <v>BUC;FAF;HCS;SUZ;WRS</v>
          </cell>
        </row>
        <row r="46">
          <cell r="C46" t="str">
            <v>Djibouti</v>
          </cell>
          <cell r="E46" t="str">
            <v>Djibouti </v>
          </cell>
        </row>
        <row r="47">
          <cell r="C47" t="str">
            <v>Shuaiba</v>
          </cell>
          <cell r="E47" t="str">
            <v>Kuwait *</v>
          </cell>
          <cell r="K47">
            <v>700</v>
          </cell>
          <cell r="L47">
            <v>850</v>
          </cell>
          <cell r="M47" t="str">
            <v>TSM</v>
          </cell>
          <cell r="N47" t="str">
            <v>KHL</v>
          </cell>
          <cell r="O47">
            <v>53</v>
          </cell>
          <cell r="P47">
            <v>700</v>
          </cell>
          <cell r="Q47">
            <v>850</v>
          </cell>
          <cell r="R47" t="str">
            <v>EPI3</v>
          </cell>
          <cell r="S47" t="str">
            <v>KHL</v>
          </cell>
          <cell r="T47">
            <v>37</v>
          </cell>
          <cell r="V47" t="str">
            <v>BUC;FAF;HCS;SUZ;WRS</v>
          </cell>
          <cell r="W47" t="str">
            <v>BUC;FAF;HCS;SUZ;WRS</v>
          </cell>
          <cell r="X47" t="str">
            <v>BUC;FAF;HCS;SUZ;WRS</v>
          </cell>
        </row>
        <row r="48">
          <cell r="C48" t="str">
            <v>Shuwaikh</v>
          </cell>
          <cell r="D48" t="str">
            <v>SWK</v>
          </cell>
          <cell r="E48" t="str">
            <v>Kuwait *</v>
          </cell>
          <cell r="F48">
            <v>700</v>
          </cell>
          <cell r="G48">
            <v>850</v>
          </cell>
          <cell r="H48" t="str">
            <v>AEM3</v>
          </cell>
          <cell r="I48" t="str">
            <v>KHL</v>
          </cell>
          <cell r="J48">
            <v>55</v>
          </cell>
          <cell r="P48">
            <v>700</v>
          </cell>
          <cell r="Q48">
            <v>850</v>
          </cell>
          <cell r="R48" t="str">
            <v>EPI3</v>
          </cell>
          <cell r="S48" t="str">
            <v>KHL</v>
          </cell>
          <cell r="T48">
            <v>37</v>
          </cell>
          <cell r="U48" t="str">
            <v>BUC;FAF;HCS;SUZ;WRS</v>
          </cell>
          <cell r="W48" t="str">
            <v>BUC;FAF;HCS;SUZ;WRS</v>
          </cell>
          <cell r="X48" t="str">
            <v>BUC;FAF;HCS;SUZ;WRS</v>
          </cell>
        </row>
        <row r="49">
          <cell r="C49" t="str">
            <v>Sohar</v>
          </cell>
          <cell r="D49" t="str">
            <v>SOH</v>
          </cell>
          <cell r="E49" t="str">
            <v>Oman *</v>
          </cell>
          <cell r="F49">
            <v>700</v>
          </cell>
          <cell r="G49">
            <v>850</v>
          </cell>
          <cell r="H49" t="str">
            <v>AEM3</v>
          </cell>
          <cell r="I49" t="str">
            <v>JEA</v>
          </cell>
          <cell r="J49">
            <v>50</v>
          </cell>
          <cell r="K49">
            <v>700</v>
          </cell>
          <cell r="L49">
            <v>850</v>
          </cell>
          <cell r="M49" t="str">
            <v>TSM</v>
          </cell>
          <cell r="N49" t="str">
            <v>JEA</v>
          </cell>
          <cell r="O49">
            <v>48</v>
          </cell>
          <cell r="P49">
            <v>700</v>
          </cell>
          <cell r="Q49">
            <v>850</v>
          </cell>
          <cell r="R49" t="str">
            <v>EPI3</v>
          </cell>
          <cell r="S49" t="str">
            <v>KHL</v>
          </cell>
          <cell r="T49">
            <v>32</v>
          </cell>
          <cell r="U49" t="str">
            <v>BUC;FAF;HCS;SUZ;WRS</v>
          </cell>
          <cell r="V49" t="str">
            <v>BUC;FAF;HCS;SUZ;WRS</v>
          </cell>
          <cell r="W49" t="str">
            <v>BUC;FAF;HCS;SUZ;WRS</v>
          </cell>
          <cell r="X49" t="str">
            <v>BUC;FAF;HCS;SUZ;WRS</v>
          </cell>
        </row>
        <row r="50">
          <cell r="C50" t="str">
            <v>Dammam</v>
          </cell>
          <cell r="D50" t="str">
            <v>DMN</v>
          </cell>
          <cell r="E50" t="str">
            <v>Saudi Arabia *</v>
          </cell>
          <cell r="F50">
            <v>600</v>
          </cell>
          <cell r="G50">
            <v>600</v>
          </cell>
          <cell r="H50" t="str">
            <v>AEM3</v>
          </cell>
          <cell r="I50" t="str">
            <v>PIR</v>
          </cell>
          <cell r="J50">
            <v>52</v>
          </cell>
          <cell r="K50">
            <v>600</v>
          </cell>
          <cell r="L50">
            <v>600</v>
          </cell>
          <cell r="M50" t="str">
            <v>TSM</v>
          </cell>
          <cell r="N50" t="str">
            <v>PIR</v>
          </cell>
          <cell r="O50">
            <v>50</v>
          </cell>
          <cell r="P50">
            <v>600</v>
          </cell>
          <cell r="Q50">
            <v>600</v>
          </cell>
          <cell r="R50" t="str">
            <v>EPI3</v>
          </cell>
          <cell r="S50" t="str">
            <v>KHL</v>
          </cell>
          <cell r="T50">
            <v>36</v>
          </cell>
          <cell r="U50" t="str">
            <v>BUC;FAF;HCS;SUZ;WRS</v>
          </cell>
          <cell r="V50" t="str">
            <v>BUC;FAF;HCS;SUZ;WRS</v>
          </cell>
          <cell r="W50" t="str">
            <v>BUC;FAF;HCS;SUZ;WRS</v>
          </cell>
          <cell r="X50" t="str">
            <v>BUC;FAF;HCS;SUZ;WRS</v>
          </cell>
        </row>
        <row r="51">
          <cell r="C51" t="str">
            <v>Riyadh</v>
          </cell>
          <cell r="D51" t="str">
            <v>RUH</v>
          </cell>
          <cell r="E51" t="str">
            <v>Saudi Arabia *</v>
          </cell>
          <cell r="H51" t="str">
            <v>AEM3</v>
          </cell>
          <cell r="I51" t="str">
            <v>DMN</v>
          </cell>
          <cell r="J51">
            <v>64</v>
          </cell>
          <cell r="M51" t="str">
            <v>TSM</v>
          </cell>
          <cell r="N51" t="str">
            <v>DMN</v>
          </cell>
          <cell r="O51">
            <v>62</v>
          </cell>
          <cell r="R51" t="str">
            <v>EPI3</v>
          </cell>
          <cell r="S51" t="str">
            <v>DMN</v>
          </cell>
          <cell r="T51">
            <v>48</v>
          </cell>
        </row>
        <row r="52">
          <cell r="C52" t="str">
            <v>Jubail</v>
          </cell>
          <cell r="E52" t="str">
            <v>Saudi Arabia *</v>
          </cell>
        </row>
        <row r="53">
          <cell r="C53" t="str">
            <v>Khalifa Port</v>
          </cell>
          <cell r="D53" t="str">
            <v>KHL</v>
          </cell>
          <cell r="E53" t="str">
            <v>United Arab Emirates *</v>
          </cell>
          <cell r="F53">
            <v>550</v>
          </cell>
          <cell r="G53">
            <v>550</v>
          </cell>
          <cell r="H53" t="str">
            <v>AEM3</v>
          </cell>
          <cell r="I53" t="str">
            <v>PIR</v>
          </cell>
          <cell r="J53">
            <v>39</v>
          </cell>
          <cell r="K53">
            <v>550</v>
          </cell>
          <cell r="L53">
            <v>550</v>
          </cell>
          <cell r="M53" t="str">
            <v>TSM</v>
          </cell>
          <cell r="N53" t="str">
            <v>PIR</v>
          </cell>
          <cell r="O53">
            <v>37</v>
          </cell>
          <cell r="P53">
            <v>450</v>
          </cell>
          <cell r="Q53">
            <v>450</v>
          </cell>
          <cell r="R53" t="str">
            <v>EPI3</v>
          </cell>
          <cell r="S53" t="str">
            <v>direct</v>
          </cell>
          <cell r="T53">
            <v>28</v>
          </cell>
          <cell r="U53" t="str">
            <v>BUC;FAF;HCS;SUZ;WRS</v>
          </cell>
          <cell r="V53" t="str">
            <v>BUC;FAF;HCS;SUZ;WRS</v>
          </cell>
          <cell r="W53" t="str">
            <v>BUC;FAF;HCS;SUZ;WRS</v>
          </cell>
          <cell r="X53" t="str">
            <v>BUC;FAF;HCS;SUZ;WRS</v>
          </cell>
        </row>
        <row r="54">
          <cell r="C54" t="str">
            <v>Ras Al Khaimah</v>
          </cell>
          <cell r="D54" t="str">
            <v>RKT</v>
          </cell>
          <cell r="E54" t="str">
            <v>United Arab Emirates *</v>
          </cell>
          <cell r="F54">
            <v>700</v>
          </cell>
          <cell r="G54">
            <v>850</v>
          </cell>
          <cell r="H54" t="str">
            <v>AEM3</v>
          </cell>
          <cell r="I54" t="str">
            <v>JEA</v>
          </cell>
          <cell r="J54">
            <v>50</v>
          </cell>
          <cell r="K54">
            <v>700</v>
          </cell>
          <cell r="L54">
            <v>850</v>
          </cell>
          <cell r="M54" t="str">
            <v>TSM</v>
          </cell>
          <cell r="N54" t="str">
            <v>JEA</v>
          </cell>
          <cell r="O54">
            <v>48</v>
          </cell>
          <cell r="P54">
            <v>700</v>
          </cell>
          <cell r="Q54">
            <v>850</v>
          </cell>
          <cell r="R54" t="str">
            <v>EPI3</v>
          </cell>
          <cell r="S54" t="str">
            <v>JEA</v>
          </cell>
          <cell r="T54">
            <v>38</v>
          </cell>
          <cell r="U54" t="str">
            <v>BUC;FAF;HCS;SUZ;WRS</v>
          </cell>
          <cell r="V54" t="str">
            <v>BUC;FAF;HCS;SUZ;WRS</v>
          </cell>
          <cell r="W54" t="str">
            <v>BUC;FAF;HCS;SUZ;WRS</v>
          </cell>
          <cell r="X54" t="str">
            <v>BUC;FAF;HCS;SUZ;WRS</v>
          </cell>
        </row>
        <row r="55">
          <cell r="C55" t="str">
            <v>Sharjah</v>
          </cell>
          <cell r="D55" t="str">
            <v>SHJ</v>
          </cell>
          <cell r="E55" t="str">
            <v>United Arab Emirates *</v>
          </cell>
          <cell r="F55">
            <v>650</v>
          </cell>
          <cell r="G55">
            <v>750</v>
          </cell>
          <cell r="H55" t="str">
            <v>AEM3</v>
          </cell>
          <cell r="I55" t="str">
            <v>PIR</v>
          </cell>
          <cell r="J55">
            <v>56</v>
          </cell>
          <cell r="K55">
            <v>650</v>
          </cell>
          <cell r="L55">
            <v>750</v>
          </cell>
          <cell r="M55" t="str">
            <v>TSM</v>
          </cell>
          <cell r="N55" t="str">
            <v>PIR</v>
          </cell>
          <cell r="O55">
            <v>53</v>
          </cell>
          <cell r="P55">
            <v>650</v>
          </cell>
          <cell r="Q55">
            <v>750</v>
          </cell>
          <cell r="R55" t="str">
            <v>EPI3</v>
          </cell>
          <cell r="S55" t="str">
            <v>KHL</v>
          </cell>
          <cell r="T55">
            <v>33</v>
          </cell>
          <cell r="U55" t="str">
            <v>BUC;FAF;HCS;SUZ;WRS</v>
          </cell>
          <cell r="V55" t="str">
            <v>BUC;FAF;HCS;SUZ;WRS</v>
          </cell>
          <cell r="W55" t="str">
            <v>BUC;FAF;HCS;SUZ;WRS</v>
          </cell>
          <cell r="X55" t="str">
            <v>BUC;FAF;HCS;SUZ;WRS</v>
          </cell>
        </row>
        <row r="56">
          <cell r="C56" t="str">
            <v>Hamad</v>
          </cell>
          <cell r="D56" t="str">
            <v>HMD</v>
          </cell>
          <cell r="E56" t="str">
            <v>Qatar *</v>
          </cell>
          <cell r="F56">
            <v>550</v>
          </cell>
          <cell r="G56">
            <v>650</v>
          </cell>
          <cell r="H56" t="str">
            <v>AEM3</v>
          </cell>
          <cell r="I56" t="str">
            <v>PIR</v>
          </cell>
          <cell r="J56">
            <v>59</v>
          </cell>
          <cell r="K56">
            <v>550</v>
          </cell>
          <cell r="L56">
            <v>650</v>
          </cell>
          <cell r="M56" t="str">
            <v>TSM</v>
          </cell>
          <cell r="N56" t="str">
            <v>PIR</v>
          </cell>
          <cell r="O56">
            <v>57</v>
          </cell>
          <cell r="P56">
            <v>550</v>
          </cell>
          <cell r="Q56">
            <v>650</v>
          </cell>
          <cell r="R56" t="str">
            <v>EPI3</v>
          </cell>
          <cell r="S56" t="str">
            <v>KHL</v>
          </cell>
          <cell r="T56">
            <v>36</v>
          </cell>
          <cell r="U56" t="str">
            <v>BUC;FAF;HCS;SUZ;WRS</v>
          </cell>
          <cell r="V56" t="str">
            <v>BUC;FAF;HCS;SUZ;WRS</v>
          </cell>
          <cell r="W56" t="str">
            <v>BUC;FAF;HCS;SUZ;WRS</v>
          </cell>
          <cell r="X56" t="str">
            <v>BUC;FAF;HCS;SUZ;WRS</v>
          </cell>
        </row>
        <row r="57">
          <cell r="C57" t="str">
            <v>Karachi</v>
          </cell>
          <cell r="D57" t="str">
            <v>KHI</v>
          </cell>
          <cell r="E57" t="str">
            <v>Pakistan</v>
          </cell>
          <cell r="F57">
            <v>450</v>
          </cell>
          <cell r="G57">
            <v>450</v>
          </cell>
          <cell r="H57" t="str">
            <v>AEM1</v>
          </cell>
          <cell r="I57" t="str">
            <v>SIN</v>
          </cell>
          <cell r="J57">
            <v>50</v>
          </cell>
          <cell r="K57">
            <v>450</v>
          </cell>
          <cell r="L57">
            <v>450</v>
          </cell>
          <cell r="M57" t="str">
            <v>AEM2</v>
          </cell>
          <cell r="N57" t="str">
            <v>PKG</v>
          </cell>
          <cell r="O57">
            <v>53</v>
          </cell>
          <cell r="P57">
            <v>450</v>
          </cell>
          <cell r="Q57">
            <v>450</v>
          </cell>
          <cell r="R57" t="str">
            <v>EPI3</v>
          </cell>
          <cell r="S57" t="str">
            <v>direct</v>
          </cell>
          <cell r="T57">
            <v>34</v>
          </cell>
          <cell r="U57" t="str">
            <v>BUC;FAF;HCS;SUZ</v>
          </cell>
          <cell r="V57" t="str">
            <v>BUC;FAF;HCS;SUZ</v>
          </cell>
          <cell r="W57" t="str">
            <v>BUC;FAF;HCS;SUZ</v>
          </cell>
          <cell r="X57" t="str">
            <v>BUC;FAF;HCS;SUZ</v>
          </cell>
        </row>
        <row r="58">
          <cell r="C58" t="str">
            <v>Chittagong</v>
          </cell>
          <cell r="D58" t="str">
            <v>CGP</v>
          </cell>
          <cell r="E58" t="str">
            <v>Bangladesh</v>
          </cell>
          <cell r="F58">
            <v>1635</v>
          </cell>
          <cell r="G58">
            <v>1635</v>
          </cell>
          <cell r="H58" t="str">
            <v>AEM3</v>
          </cell>
          <cell r="I58" t="str">
            <v>PKG</v>
          </cell>
          <cell r="J58">
            <v>49</v>
          </cell>
          <cell r="K58">
            <v>1635</v>
          </cell>
          <cell r="L58">
            <v>1635</v>
          </cell>
          <cell r="M58" t="str">
            <v>AEM2</v>
          </cell>
          <cell r="N58" t="str">
            <v>PKG</v>
          </cell>
          <cell r="O58">
            <v>46</v>
          </cell>
          <cell r="P58">
            <v>715</v>
          </cell>
          <cell r="Q58">
            <v>1415</v>
          </cell>
          <cell r="R58" t="str">
            <v>TSM</v>
          </cell>
          <cell r="S58" t="str">
            <v>PIR</v>
          </cell>
          <cell r="T58">
            <v>50</v>
          </cell>
          <cell r="U58" t="str">
            <v>BUC;FAF;HCS;SUZ;THC</v>
          </cell>
          <cell r="V58" t="str">
            <v>BUC;FAF;HCS;SUZ;THC</v>
          </cell>
          <cell r="W58" t="str">
            <v>BUC;CAS;ETS;FAF;HCS;PSF;SUZ;THC</v>
          </cell>
        </row>
        <row r="59">
          <cell r="C59" t="str">
            <v>Kochi</v>
          </cell>
          <cell r="E59" t="str">
            <v>India</v>
          </cell>
        </row>
        <row r="60">
          <cell r="C60" t="str">
            <v>Qinzhou</v>
          </cell>
          <cell r="D60" t="str">
            <v>QZH</v>
          </cell>
          <cell r="E60" t="str">
            <v>China</v>
          </cell>
          <cell r="F60">
            <v>165</v>
          </cell>
          <cell r="G60">
            <v>265</v>
          </cell>
          <cell r="H60" t="str">
            <v>AEM1</v>
          </cell>
          <cell r="I60" t="str">
            <v>SIN</v>
          </cell>
          <cell r="J60">
            <v>34</v>
          </cell>
          <cell r="K60">
            <v>165</v>
          </cell>
          <cell r="L60">
            <v>265</v>
          </cell>
          <cell r="M60" t="str">
            <v>AEM2</v>
          </cell>
          <cell r="N60" t="str">
            <v>PKG</v>
          </cell>
          <cell r="O60">
            <v>52</v>
          </cell>
          <cell r="P60">
            <v>165</v>
          </cell>
          <cell r="Q60">
            <v>265</v>
          </cell>
          <cell r="R60" t="str">
            <v>TSM</v>
          </cell>
          <cell r="S60" t="str">
            <v>PIR</v>
          </cell>
          <cell r="T60">
            <v>57</v>
          </cell>
          <cell r="U60" t="str">
            <v>BUC;CAS;ETS;FAF;HCS;PSF;SUZ;THC</v>
          </cell>
          <cell r="V60" t="str">
            <v>BUC;CAS;ETS;FAF;HCS;PSF;SUZ;THC</v>
          </cell>
          <cell r="W60" t="str">
            <v>BUC;CAS;ETS;FAF;HCS;PSF;SUZ;THC</v>
          </cell>
          <cell r="X60" t="str">
            <v>BUC;CAS;ETS;FAF;HCS;PSF;SUZ;THC</v>
          </cell>
        </row>
        <row r="61">
          <cell r="C61" t="str">
            <v>Sanshui</v>
          </cell>
          <cell r="D61" t="str">
            <v>SJQ</v>
          </cell>
          <cell r="E61" t="str">
            <v>China</v>
          </cell>
          <cell r="F61">
            <v>165</v>
          </cell>
          <cell r="G61">
            <v>265</v>
          </cell>
          <cell r="H61" t="str">
            <v>AEM1</v>
          </cell>
          <cell r="I61" t="str">
            <v>HKG</v>
          </cell>
          <cell r="J61">
            <v>48</v>
          </cell>
          <cell r="K61">
            <v>165</v>
          </cell>
          <cell r="L61">
            <v>265</v>
          </cell>
          <cell r="M61" t="str">
            <v>AEM2</v>
          </cell>
          <cell r="N61" t="str">
            <v>NSH</v>
          </cell>
          <cell r="O61">
            <v>65</v>
          </cell>
          <cell r="P61">
            <v>165</v>
          </cell>
          <cell r="Q61">
            <v>265</v>
          </cell>
          <cell r="R61" t="str">
            <v>TSM</v>
          </cell>
          <cell r="S61" t="str">
            <v>PIR</v>
          </cell>
          <cell r="T61">
            <v>65</v>
          </cell>
          <cell r="U61" t="str">
            <v>BUC;CAS;ETS;FAF;HCS;PSF;SUZ;THC</v>
          </cell>
          <cell r="V61" t="str">
            <v>BUC;CAS;ETS;FAF;HCS;PSF;SUZ;THC</v>
          </cell>
          <cell r="W61" t="str">
            <v>BUC;CAS;ETS;FAF;HCS;PSF;SUZ;THC</v>
          </cell>
          <cell r="X61" t="str">
            <v>BUC;CAS;ETS;FAF;HCS;PSF;SUZ;THC</v>
          </cell>
        </row>
        <row r="62">
          <cell r="C62" t="str">
            <v>Shunde New Port</v>
          </cell>
          <cell r="D62" t="str">
            <v>SNP</v>
          </cell>
          <cell r="E62" t="str">
            <v>China</v>
          </cell>
          <cell r="F62">
            <v>165</v>
          </cell>
          <cell r="G62">
            <v>265</v>
          </cell>
          <cell r="H62" t="str">
            <v>AEM3</v>
          </cell>
          <cell r="I62" t="str">
            <v>SHK</v>
          </cell>
          <cell r="J62">
            <v>63</v>
          </cell>
          <cell r="P62">
            <v>165</v>
          </cell>
          <cell r="Q62">
            <v>265</v>
          </cell>
          <cell r="R62" t="str">
            <v>TSM</v>
          </cell>
          <cell r="S62" t="str">
            <v>PIR</v>
          </cell>
          <cell r="T62">
            <v>64</v>
          </cell>
          <cell r="U62" t="str">
            <v>BUC;CAS;ETS;FAF;HCS;PSF;SUZ;THC</v>
          </cell>
          <cell r="W62" t="str">
            <v>BUC;CAS;ETS;FAF;HCS;PSF;SUZ;THC</v>
          </cell>
          <cell r="X62" t="str">
            <v>BUC;CAS;ETS;FAF;HCS;PSF;SUZ;THC</v>
          </cell>
        </row>
        <row r="63">
          <cell r="C63" t="str">
            <v>Xinhui</v>
          </cell>
          <cell r="D63" t="str">
            <v>XIN</v>
          </cell>
          <cell r="E63" t="str">
            <v>China</v>
          </cell>
          <cell r="F63">
            <v>165</v>
          </cell>
          <cell r="G63">
            <v>265</v>
          </cell>
          <cell r="H63" t="str">
            <v>AEM1</v>
          </cell>
          <cell r="I63" t="str">
            <v>HKG</v>
          </cell>
          <cell r="J63">
            <v>52</v>
          </cell>
          <cell r="K63">
            <v>165</v>
          </cell>
          <cell r="L63">
            <v>265</v>
          </cell>
          <cell r="M63" t="str">
            <v>AEM2</v>
          </cell>
          <cell r="N63" t="str">
            <v>NSH</v>
          </cell>
          <cell r="O63">
            <v>64</v>
          </cell>
          <cell r="P63">
            <v>165</v>
          </cell>
          <cell r="Q63">
            <v>265</v>
          </cell>
          <cell r="R63" t="str">
            <v>TSM</v>
          </cell>
          <cell r="S63" t="str">
            <v>PIR</v>
          </cell>
          <cell r="T63">
            <v>67</v>
          </cell>
          <cell r="U63" t="str">
            <v>BUC;CAS;ETS;FAF;HCS;PSF;SUZ;THC</v>
          </cell>
          <cell r="V63" t="str">
            <v>BUC;CAS;ETS;FAF;HCS;PSF;SUZ;THC</v>
          </cell>
          <cell r="W63" t="str">
            <v>BUC;CAS;ETS;FAF;HCS;PSF;SUZ;THC</v>
          </cell>
          <cell r="X63" t="str">
            <v>BUC;CAS;ETS;FAF;HCS;PSF;SUZ;THC</v>
          </cell>
        </row>
        <row r="64">
          <cell r="C64" t="str">
            <v>Yunfu</v>
          </cell>
          <cell r="D64" t="str">
            <v>YNF</v>
          </cell>
          <cell r="E64" t="str">
            <v>China</v>
          </cell>
          <cell r="F64">
            <v>165</v>
          </cell>
          <cell r="G64">
            <v>265</v>
          </cell>
          <cell r="H64" t="str">
            <v>AEM1</v>
          </cell>
          <cell r="I64" t="str">
            <v>HKG</v>
          </cell>
          <cell r="J64">
            <v>48</v>
          </cell>
          <cell r="K64">
            <v>165</v>
          </cell>
          <cell r="L64">
            <v>265</v>
          </cell>
          <cell r="M64" t="str">
            <v>AEM2</v>
          </cell>
          <cell r="N64" t="str">
            <v>NSH</v>
          </cell>
          <cell r="O64">
            <v>69</v>
          </cell>
          <cell r="P64">
            <v>165</v>
          </cell>
          <cell r="Q64">
            <v>265</v>
          </cell>
          <cell r="R64" t="str">
            <v>TSM</v>
          </cell>
          <cell r="S64" t="str">
            <v>PIR</v>
          </cell>
          <cell r="T64">
            <v>66</v>
          </cell>
          <cell r="U64" t="str">
            <v>BUC;CAS;ETS;FAF;HCS;PSF;SUZ;THC</v>
          </cell>
          <cell r="V64" t="str">
            <v>BUC;CAS;ETS;FAF;HCS;PSF;SUZ;THC</v>
          </cell>
          <cell r="W64" t="str">
            <v>BUC;CAS;ETS;FAF;HCS;PSF;SUZ;THC</v>
          </cell>
          <cell r="X64" t="str">
            <v>BUC;CAS;ETS;FAF;HCS;PSF;SUZ;THC</v>
          </cell>
        </row>
        <row r="65">
          <cell r="C65" t="str">
            <v>Belawan</v>
          </cell>
          <cell r="D65" t="str">
            <v>BLW</v>
          </cell>
          <cell r="E65" t="str">
            <v>Indonesia</v>
          </cell>
          <cell r="F65">
            <v>215</v>
          </cell>
          <cell r="G65">
            <v>315</v>
          </cell>
          <cell r="H65" t="str">
            <v>AEM2</v>
          </cell>
          <cell r="I65" t="str">
            <v>PKG</v>
          </cell>
          <cell r="J65">
            <v>47</v>
          </cell>
          <cell r="K65">
            <v>215</v>
          </cell>
          <cell r="L65">
            <v>315</v>
          </cell>
          <cell r="M65" t="str">
            <v>AEM2</v>
          </cell>
          <cell r="N65" t="str">
            <v>PKG</v>
          </cell>
          <cell r="O65">
            <v>44</v>
          </cell>
          <cell r="P65">
            <v>215</v>
          </cell>
          <cell r="Q65">
            <v>315</v>
          </cell>
          <cell r="R65" t="str">
            <v>TSM</v>
          </cell>
          <cell r="S65" t="str">
            <v>PIR</v>
          </cell>
          <cell r="T65">
            <v>49</v>
          </cell>
          <cell r="U65" t="str">
            <v>BUC;CAS;ETS;FAF;HCS;PSF;SUZ;THC</v>
          </cell>
          <cell r="V65" t="str">
            <v>BUC;CAS;ETS;FAF;HCS;PSF;SUZ;THC</v>
          </cell>
          <cell r="W65" t="str">
            <v>BUC;CAS;ETS;FAF;HCS;PSF;SUZ;THC</v>
          </cell>
          <cell r="X65" t="str">
            <v>BUC;CAS;ETS;FAF;HCS;PSF;SUZ;THC</v>
          </cell>
        </row>
        <row r="66">
          <cell r="C66" t="str">
            <v>Bintulu</v>
          </cell>
          <cell r="E66" t="str">
            <v>Malaysia</v>
          </cell>
          <cell r="K66">
            <v>365</v>
          </cell>
          <cell r="L66">
            <v>615</v>
          </cell>
          <cell r="M66" t="str">
            <v>AEM2</v>
          </cell>
          <cell r="N66" t="str">
            <v>PKG</v>
          </cell>
          <cell r="O66">
            <v>60</v>
          </cell>
          <cell r="V66" t="str">
            <v>BUC;CAS;ETS;FAF;HCS;PSF;SUZ;THC</v>
          </cell>
          <cell r="X66" t="str">
            <v>BUC;CAS;ETS;FAF;HCS;PSF;SUZ;THC</v>
          </cell>
        </row>
        <row r="67">
          <cell r="C67" t="str">
            <v>Pasir Gudang</v>
          </cell>
          <cell r="D67" t="str">
            <v>PGU</v>
          </cell>
          <cell r="E67" t="str">
            <v>Malaysia</v>
          </cell>
          <cell r="F67">
            <v>115</v>
          </cell>
          <cell r="G67">
            <v>215</v>
          </cell>
          <cell r="H67" t="str">
            <v>AEM1</v>
          </cell>
          <cell r="I67" t="str">
            <v>SIN</v>
          </cell>
          <cell r="J67">
            <v>35</v>
          </cell>
          <cell r="K67">
            <v>115</v>
          </cell>
          <cell r="L67">
            <v>215</v>
          </cell>
          <cell r="M67" t="str">
            <v>AEM2</v>
          </cell>
          <cell r="N67" t="str">
            <v>PKG</v>
          </cell>
          <cell r="O67">
            <v>53</v>
          </cell>
          <cell r="P67">
            <v>115</v>
          </cell>
          <cell r="Q67">
            <v>215</v>
          </cell>
          <cell r="R67" t="str">
            <v>TSM</v>
          </cell>
          <cell r="S67" t="str">
            <v>PIR</v>
          </cell>
          <cell r="T67">
            <v>58</v>
          </cell>
          <cell r="U67" t="str">
            <v>BUC;CAS;ETS;FAF;HCS;PSF;SUZ;THC</v>
          </cell>
          <cell r="V67" t="str">
            <v>BUC;CAS;ETS;FAF;HCS;PSF;SUZ;THC</v>
          </cell>
          <cell r="W67" t="str">
            <v>BUC;CAS;ETS;FAF;HCS;PSF;SUZ;THC</v>
          </cell>
          <cell r="X67" t="str">
            <v>BUC;CAS;ETS;FAF;HCS;PSF;SUZ;THC</v>
          </cell>
        </row>
        <row r="68">
          <cell r="C68" t="str">
            <v>Manila North Harbour</v>
          </cell>
          <cell r="D68" t="str">
            <v>MNL</v>
          </cell>
          <cell r="E68" t="str">
            <v>Philippines</v>
          </cell>
          <cell r="F68">
            <v>215</v>
          </cell>
          <cell r="G68">
            <v>315</v>
          </cell>
          <cell r="H68" t="str">
            <v>AEM1</v>
          </cell>
          <cell r="I68" t="str">
            <v>SIN</v>
          </cell>
          <cell r="J68">
            <v>36</v>
          </cell>
          <cell r="K68">
            <v>215</v>
          </cell>
          <cell r="L68">
            <v>315</v>
          </cell>
          <cell r="M68" t="str">
            <v>AEM2</v>
          </cell>
          <cell r="N68" t="str">
            <v>PKG</v>
          </cell>
          <cell r="O68">
            <v>48</v>
          </cell>
          <cell r="P68">
            <v>215</v>
          </cell>
          <cell r="Q68">
            <v>315</v>
          </cell>
          <cell r="R68" t="str">
            <v>ESE2</v>
          </cell>
          <cell r="S68" t="str">
            <v>FXT</v>
          </cell>
          <cell r="T68">
            <v>50</v>
          </cell>
          <cell r="U68" t="str">
            <v>BUC;CAS;ETS;FAF;HCS;PSF;SUZ;THC</v>
          </cell>
          <cell r="V68" t="str">
            <v>BUC;CAS;ETS;FAF;HCS;PSF;SUZ;THC</v>
          </cell>
          <cell r="W68" t="str">
            <v>BUC;CAS;ETS;FAF;HCS;PSF;SUZ;THC</v>
          </cell>
          <cell r="X68" t="str">
            <v>BUC;CAS;ETS;FAF;HCS;PSF;SUZ;THC</v>
          </cell>
        </row>
        <row r="69">
          <cell r="C69" t="str">
            <v>Qingdao</v>
          </cell>
          <cell r="D69" t="str">
            <v>TAO</v>
          </cell>
          <cell r="E69" t="str">
            <v>China Base Port</v>
          </cell>
          <cell r="F69">
            <v>65</v>
          </cell>
          <cell r="G69">
            <v>115</v>
          </cell>
          <cell r="H69" t="str">
            <v>AEM1</v>
          </cell>
          <cell r="I69" t="str">
            <v>direct</v>
          </cell>
          <cell r="J69">
            <v>36</v>
          </cell>
          <cell r="K69">
            <v>65</v>
          </cell>
          <cell r="L69">
            <v>115</v>
          </cell>
          <cell r="M69" t="str">
            <v>AEM2</v>
          </cell>
          <cell r="N69" t="str">
            <v>direct</v>
          </cell>
          <cell r="O69">
            <v>50</v>
          </cell>
          <cell r="P69">
            <v>65</v>
          </cell>
          <cell r="Q69">
            <v>115</v>
          </cell>
          <cell r="R69" t="str">
            <v>TSM</v>
          </cell>
          <cell r="S69" t="str">
            <v>PIR</v>
          </cell>
          <cell r="T69">
            <v>60</v>
          </cell>
          <cell r="U69" t="str">
            <v>BUC;CAS;ETS;FAF;HCS;PSF;SUZ;THC</v>
          </cell>
          <cell r="V69" t="str">
            <v>BUC;CAS;ETS;FAF;HCS;PSF;SUZ;THC</v>
          </cell>
          <cell r="W69" t="str">
            <v>BUC;CAS;ETS;FAF;HCS;PSF;SUZ;THC</v>
          </cell>
          <cell r="X69" t="str">
            <v>BUC;CAS;ETS;FAF;HCS;PSF;SUZ;THC</v>
          </cell>
        </row>
        <row r="70">
          <cell r="C70" t="str">
            <v>Luzhou</v>
          </cell>
          <cell r="D70" t="str">
            <v>LZU</v>
          </cell>
          <cell r="E70" t="str">
            <v>China</v>
          </cell>
          <cell r="F70">
            <v>667</v>
          </cell>
          <cell r="G70">
            <v>885</v>
          </cell>
          <cell r="H70" t="str">
            <v>AEM1</v>
          </cell>
          <cell r="I70" t="str">
            <v>SHA</v>
          </cell>
          <cell r="J70">
            <v>60</v>
          </cell>
          <cell r="K70">
            <v>667</v>
          </cell>
          <cell r="L70">
            <v>885</v>
          </cell>
          <cell r="M70" t="str">
            <v>AEM2</v>
          </cell>
          <cell r="N70" t="str">
            <v>SHA</v>
          </cell>
          <cell r="O70">
            <v>78</v>
          </cell>
          <cell r="U70" t="str">
            <v>BUC;CAS;ETS;FAF;HCS;PSF;SUZ;THC</v>
          </cell>
          <cell r="V70" t="str">
            <v>BUC;CAS;ETS;FAF;HCS;PSF;SUZ;THC</v>
          </cell>
          <cell r="X70" t="str">
            <v>BUC;CAS;ETS;FAF;HCS;PSF;SUZ;THC</v>
          </cell>
        </row>
        <row r="71">
          <cell r="C71" t="str">
            <v>Aqaba</v>
          </cell>
          <cell r="D71" t="str">
            <v>AQB</v>
          </cell>
          <cell r="E71" t="str">
            <v>Jordan ***</v>
          </cell>
          <cell r="F71">
            <v>900</v>
          </cell>
          <cell r="G71">
            <v>1350</v>
          </cell>
          <cell r="H71" t="str">
            <v>AEM3</v>
          </cell>
          <cell r="I71" t="str">
            <v>PIR</v>
          </cell>
          <cell r="J71">
            <v>35</v>
          </cell>
          <cell r="K71">
            <v>900</v>
          </cell>
          <cell r="L71">
            <v>1350</v>
          </cell>
          <cell r="M71" t="str">
            <v>TSM</v>
          </cell>
          <cell r="N71" t="str">
            <v>PIR</v>
          </cell>
          <cell r="O71">
            <v>33</v>
          </cell>
          <cell r="P71">
            <v>900</v>
          </cell>
          <cell r="Q71">
            <v>1350</v>
          </cell>
          <cell r="R71" t="str">
            <v>EPI3</v>
          </cell>
          <cell r="S71" t="str">
            <v>JEA</v>
          </cell>
          <cell r="T71">
            <v>48</v>
          </cell>
          <cell r="U71" t="str">
            <v>BUC;FAF;HCS;SUZ;WRS</v>
          </cell>
          <cell r="V71" t="str">
            <v>BUC;FAF;HCS;SUZ;WRS</v>
          </cell>
          <cell r="W71" t="str">
            <v>BUC;FAF;HCS;SUZ;WRS</v>
          </cell>
          <cell r="X71" t="str">
            <v>BUC;FAF;HCS;SUZ;WRS</v>
          </cell>
        </row>
        <row r="72">
          <cell r="C72" t="str">
            <v>Nansha</v>
          </cell>
          <cell r="D72" t="str">
            <v>NSH</v>
          </cell>
          <cell r="E72" t="str">
            <v>China Base Port</v>
          </cell>
          <cell r="F72">
            <v>65</v>
          </cell>
          <cell r="G72">
            <v>115</v>
          </cell>
          <cell r="H72" t="str">
            <v>AEM3</v>
          </cell>
          <cell r="I72" t="str">
            <v>direct</v>
          </cell>
          <cell r="J72">
            <v>59</v>
          </cell>
          <cell r="K72">
            <v>65</v>
          </cell>
          <cell r="L72">
            <v>115</v>
          </cell>
          <cell r="M72" t="str">
            <v>AEM2</v>
          </cell>
          <cell r="N72" t="str">
            <v>direct</v>
          </cell>
          <cell r="O72">
            <v>62</v>
          </cell>
          <cell r="P72">
            <v>65</v>
          </cell>
          <cell r="Q72">
            <v>115</v>
          </cell>
          <cell r="R72" t="str">
            <v>TSM</v>
          </cell>
          <cell r="S72" t="str">
            <v>PIR</v>
          </cell>
          <cell r="T72">
            <v>60</v>
          </cell>
          <cell r="U72" t="str">
            <v>BUC;CAS;ETS;FAF;HCS;PSF;SUZ;THC</v>
          </cell>
          <cell r="V72" t="str">
            <v>BUC;CAS;ETS;FAF;HCS;PSF;SUZ;THC</v>
          </cell>
          <cell r="W72" t="str">
            <v>BUC;CAS;ETS;FAF;HCS;PSF;SUZ;THC</v>
          </cell>
          <cell r="X72" t="str">
            <v>BUC;CAS;ETS;FAF;HCS;PSF;SUZ;THC</v>
          </cell>
        </row>
        <row r="73">
          <cell r="C73" t="str">
            <v>Dalian</v>
          </cell>
          <cell r="D73" t="str">
            <v>DLC</v>
          </cell>
          <cell r="E73" t="str">
            <v>China Base Port</v>
          </cell>
          <cell r="F73">
            <v>65</v>
          </cell>
          <cell r="G73">
            <v>115</v>
          </cell>
          <cell r="H73" t="str">
            <v>AEM1</v>
          </cell>
          <cell r="I73" t="str">
            <v>SIN</v>
          </cell>
          <cell r="J73">
            <v>44</v>
          </cell>
          <cell r="K73">
            <v>65</v>
          </cell>
          <cell r="L73">
            <v>115</v>
          </cell>
          <cell r="M73" t="str">
            <v>AEM2</v>
          </cell>
          <cell r="N73" t="str">
            <v>PKG</v>
          </cell>
          <cell r="O73">
            <v>56</v>
          </cell>
          <cell r="P73">
            <v>65</v>
          </cell>
          <cell r="Q73">
            <v>115</v>
          </cell>
          <cell r="R73" t="str">
            <v>TSM</v>
          </cell>
          <cell r="S73" t="str">
            <v>PIR</v>
          </cell>
          <cell r="T73">
            <v>60</v>
          </cell>
          <cell r="U73" t="str">
            <v>BUC;CAS;ETS;FAF;HCS;PSF;SUZ;THC</v>
          </cell>
          <cell r="V73" t="str">
            <v>BUC;CAS;ETS;FAF;HCS;PSF;SUZ;THC</v>
          </cell>
          <cell r="W73" t="str">
            <v>BUC;CAS;ETS;FAF;HCS;PSF;SUZ;THC</v>
          </cell>
          <cell r="X73" t="str">
            <v>BUC;CAS;ETS;FAF;HCS;PSF;SUZ;THC</v>
          </cell>
        </row>
        <row r="74">
          <cell r="C74" t="str">
            <v>Hong Kong</v>
          </cell>
          <cell r="D74" t="str">
            <v>HKG</v>
          </cell>
          <cell r="E74" t="str">
            <v>China Base Port</v>
          </cell>
          <cell r="F74">
            <v>65</v>
          </cell>
          <cell r="G74">
            <v>115</v>
          </cell>
          <cell r="H74" t="str">
            <v>AEM1</v>
          </cell>
          <cell r="I74" t="str">
            <v>direct</v>
          </cell>
          <cell r="J74">
            <v>45</v>
          </cell>
          <cell r="K74">
            <v>65</v>
          </cell>
          <cell r="L74">
            <v>115</v>
          </cell>
          <cell r="M74" t="str">
            <v>AEM2</v>
          </cell>
          <cell r="N74" t="str">
            <v>PKG</v>
          </cell>
          <cell r="O74">
            <v>52</v>
          </cell>
          <cell r="P74">
            <v>65</v>
          </cell>
          <cell r="Q74">
            <v>115</v>
          </cell>
          <cell r="R74" t="str">
            <v>ESE2</v>
          </cell>
          <cell r="S74" t="str">
            <v>FXT</v>
          </cell>
          <cell r="T74">
            <v>54</v>
          </cell>
          <cell r="U74" t="str">
            <v>BUC;CAS;ETS;FAF;HCS;PSF;SUZ;THC</v>
          </cell>
          <cell r="V74" t="str">
            <v>BUC;CAS;ETS;FAF;HCS;PSF;SUZ;THC</v>
          </cell>
          <cell r="W74" t="str">
            <v>BUC;CAS;ETS;FAF;HCS;PSF;SUZ;THC</v>
          </cell>
          <cell r="X74" t="str">
            <v>BUC;CAS;ETS;FAF;HCS;PSF;SUZ;THC</v>
          </cell>
        </row>
        <row r="75">
          <cell r="C75" t="str">
            <v>Jiangmen</v>
          </cell>
          <cell r="D75" t="str">
            <v>JMN</v>
          </cell>
          <cell r="E75" t="str">
            <v>China</v>
          </cell>
          <cell r="H75" t="str">
            <v>AEM1</v>
          </cell>
          <cell r="I75" t="str">
            <v>HKG</v>
          </cell>
          <cell r="J75">
            <v>48</v>
          </cell>
          <cell r="M75" t="str">
            <v>AEM2</v>
          </cell>
          <cell r="N75" t="str">
            <v>NSH</v>
          </cell>
          <cell r="O75">
            <v>71</v>
          </cell>
          <cell r="R75" t="str">
            <v>TSM</v>
          </cell>
          <cell r="S75" t="str">
            <v>PIR</v>
          </cell>
          <cell r="T75">
            <v>65</v>
          </cell>
          <cell r="U75" t="str">
            <v>BUC;CAS;ETS;FAF;HCS;PSF;SUZ;THC</v>
          </cell>
          <cell r="V75" t="str">
            <v>BUC;CAS;ETS;FAF;HCS;PSF;SUZ;THC</v>
          </cell>
          <cell r="W75" t="str">
            <v>BUC;CAS;ETS;FAF;HCS;PSF;SUZ;THC</v>
          </cell>
          <cell r="X75" t="str">
            <v>BUC;CAS;ETS;FAF;HCS;PSF;SUZ;THC</v>
          </cell>
        </row>
        <row r="76">
          <cell r="C76" t="str">
            <v>Jiaoxin</v>
          </cell>
          <cell r="D76" t="str">
            <v>JIO</v>
          </cell>
          <cell r="E76" t="str">
            <v>China</v>
          </cell>
          <cell r="H76" t="str">
            <v>AEM1</v>
          </cell>
          <cell r="I76" t="str">
            <v>HKG</v>
          </cell>
          <cell r="J76">
            <v>52</v>
          </cell>
          <cell r="M76" t="str">
            <v>AEM2</v>
          </cell>
          <cell r="N76" t="str">
            <v>NSH</v>
          </cell>
          <cell r="O76">
            <v>69</v>
          </cell>
          <cell r="R76" t="str">
            <v>TSM</v>
          </cell>
          <cell r="S76" t="str">
            <v>PIR</v>
          </cell>
          <cell r="T76">
            <v>65</v>
          </cell>
          <cell r="U76" t="str">
            <v>BUC;CAS;ETS;FAF;HCS;PSF;SUZ;THC</v>
          </cell>
          <cell r="V76" t="str">
            <v>BUC;CAS;ETS;FAF;HCS;PSF;SUZ;THC</v>
          </cell>
          <cell r="W76" t="str">
            <v>BUC;CAS;ETS;FAF;HCS;PSF;SUZ;THC</v>
          </cell>
          <cell r="X76" t="str">
            <v>BUC;CAS;ETS;FAF;HCS;PSF;SUZ;THC</v>
          </cell>
        </row>
        <row r="77">
          <cell r="C77" t="str">
            <v>Lianhuashan</v>
          </cell>
          <cell r="D77" t="str">
            <v>LIH</v>
          </cell>
          <cell r="E77" t="str">
            <v>China</v>
          </cell>
          <cell r="H77" t="str">
            <v>AEM1</v>
          </cell>
          <cell r="I77" t="str">
            <v>HKG</v>
          </cell>
          <cell r="J77">
            <v>47</v>
          </cell>
          <cell r="M77" t="str">
            <v>AEM2</v>
          </cell>
          <cell r="N77" t="str">
            <v>NSH</v>
          </cell>
          <cell r="O77">
            <v>69</v>
          </cell>
          <cell r="R77" t="str">
            <v>TSM</v>
          </cell>
          <cell r="S77" t="str">
            <v>PIR</v>
          </cell>
          <cell r="T77">
            <v>70</v>
          </cell>
          <cell r="U77" t="str">
            <v>BUC;CAS;ETS;FAF;HCS;PSF;SUZ;THC</v>
          </cell>
          <cell r="V77" t="str">
            <v>BUC;CAS;ETS;FAF;HCS;PSF;SUZ;THC</v>
          </cell>
          <cell r="W77" t="str">
            <v>BUC;CAS;ETS;FAF;HCS;PSF;SUZ;THC</v>
          </cell>
          <cell r="X77" t="str">
            <v>BUC;CAS;ETS;FAF;HCS;PSF;SUZ;THC</v>
          </cell>
        </row>
        <row r="78">
          <cell r="C78" t="str">
            <v>Ningbo</v>
          </cell>
          <cell r="D78" t="str">
            <v>NGB</v>
          </cell>
          <cell r="E78" t="str">
            <v>China Base Port</v>
          </cell>
          <cell r="F78">
            <v>65</v>
          </cell>
          <cell r="G78">
            <v>115</v>
          </cell>
          <cell r="H78" t="str">
            <v>AEM1</v>
          </cell>
          <cell r="I78" t="str">
            <v>direct</v>
          </cell>
          <cell r="J78">
            <v>41</v>
          </cell>
          <cell r="K78">
            <v>65</v>
          </cell>
          <cell r="L78">
            <v>115</v>
          </cell>
          <cell r="M78" t="str">
            <v>AEM2</v>
          </cell>
          <cell r="N78" t="str">
            <v>direct</v>
          </cell>
          <cell r="O78">
            <v>57</v>
          </cell>
          <cell r="P78">
            <v>65</v>
          </cell>
          <cell r="Q78">
            <v>115</v>
          </cell>
          <cell r="R78" t="str">
            <v>TSM</v>
          </cell>
          <cell r="S78" t="str">
            <v>PIR</v>
          </cell>
          <cell r="T78">
            <v>54</v>
          </cell>
          <cell r="U78" t="str">
            <v>BUC;CAS;ETS;FAF;HCS;PSF;SUZ;THC</v>
          </cell>
          <cell r="V78" t="str">
            <v>BUC;CAS;ETS;FAF;HCS;PSF;SUZ;THC</v>
          </cell>
          <cell r="W78" t="str">
            <v>BUC;CAS;ETS;FAF;HCS;PSF;SUZ;THC</v>
          </cell>
          <cell r="X78" t="str">
            <v>BUC;CAS;ETS;FAF;HCS;PSF;SUZ;THC</v>
          </cell>
        </row>
        <row r="79">
          <cell r="C79" t="str">
            <v>Shanghai</v>
          </cell>
          <cell r="D79" t="str">
            <v>SHA</v>
          </cell>
          <cell r="E79" t="str">
            <v>China Base Port</v>
          </cell>
          <cell r="F79">
            <v>65</v>
          </cell>
          <cell r="G79">
            <v>115</v>
          </cell>
          <cell r="H79" t="str">
            <v>AEM1</v>
          </cell>
          <cell r="I79" t="str">
            <v>direct</v>
          </cell>
          <cell r="J79">
            <v>39</v>
          </cell>
          <cell r="K79">
            <v>65</v>
          </cell>
          <cell r="L79">
            <v>115</v>
          </cell>
          <cell r="M79" t="str">
            <v>AEM2</v>
          </cell>
          <cell r="N79" t="str">
            <v>direct</v>
          </cell>
          <cell r="O79">
            <v>54</v>
          </cell>
          <cell r="P79">
            <v>65</v>
          </cell>
          <cell r="Q79">
            <v>115</v>
          </cell>
          <cell r="R79" t="str">
            <v>ESE2</v>
          </cell>
          <cell r="S79" t="str">
            <v>FXT</v>
          </cell>
          <cell r="T79">
            <v>48</v>
          </cell>
          <cell r="U79" t="str">
            <v>BUC;CAS;ETS;FAF;HCS;PSF;SUZ;THC</v>
          </cell>
          <cell r="V79" t="str">
            <v>BUC;CAS;ETS;FAF;HCS;PSF;SUZ;THC</v>
          </cell>
          <cell r="W79" t="str">
            <v>BUC;CAS;ETS;FAF;HCS;PSF;SUZ;THC</v>
          </cell>
          <cell r="X79" t="str">
            <v>BUC;CAS;ETS;FAF;HCS;PSF;SUZ;THC</v>
          </cell>
        </row>
        <row r="80">
          <cell r="C80" t="str">
            <v>Shekou</v>
          </cell>
          <cell r="D80" t="str">
            <v>SHK</v>
          </cell>
          <cell r="E80" t="str">
            <v>China Base Port</v>
          </cell>
          <cell r="F80">
            <v>65</v>
          </cell>
          <cell r="G80">
            <v>115</v>
          </cell>
          <cell r="H80" t="str">
            <v>AEM3</v>
          </cell>
          <cell r="I80" t="str">
            <v>direct</v>
          </cell>
          <cell r="J80">
            <v>58</v>
          </cell>
          <cell r="K80">
            <v>65</v>
          </cell>
          <cell r="L80">
            <v>115</v>
          </cell>
          <cell r="M80" t="str">
            <v>AEM2</v>
          </cell>
          <cell r="N80" t="str">
            <v>direct</v>
          </cell>
          <cell r="O80">
            <v>63</v>
          </cell>
          <cell r="P80">
            <v>65</v>
          </cell>
          <cell r="Q80">
            <v>115</v>
          </cell>
          <cell r="R80" t="str">
            <v>TSM</v>
          </cell>
          <cell r="S80" t="str">
            <v>PIR</v>
          </cell>
          <cell r="T80">
            <v>59</v>
          </cell>
          <cell r="U80" t="str">
            <v>BUC;CAS;ETS;FAF;HCS;PSF;SUZ;THC</v>
          </cell>
          <cell r="V80" t="str">
            <v>BUC;CAS;ETS;FAF;HCS;PSF;SUZ;THC</v>
          </cell>
          <cell r="W80" t="str">
            <v>BUC;CAS;ETS;FAF;HCS;PSF;SUZ;THC</v>
          </cell>
          <cell r="X80" t="str">
            <v>BUC;CAS;ETS;FAF;HCS;PSF;SUZ;THC</v>
          </cell>
        </row>
        <row r="81">
          <cell r="C81" t="str">
            <v>Xiamen</v>
          </cell>
          <cell r="D81" t="str">
            <v>XMN</v>
          </cell>
          <cell r="E81" t="str">
            <v>China Base Port</v>
          </cell>
          <cell r="F81">
            <v>65</v>
          </cell>
          <cell r="G81">
            <v>115</v>
          </cell>
          <cell r="H81" t="str">
            <v>AEM3</v>
          </cell>
          <cell r="I81" t="str">
            <v>direct</v>
          </cell>
          <cell r="J81">
            <v>56</v>
          </cell>
          <cell r="K81">
            <v>65</v>
          </cell>
          <cell r="L81">
            <v>115</v>
          </cell>
          <cell r="M81" t="str">
            <v>AEM2</v>
          </cell>
          <cell r="N81" t="str">
            <v>direct</v>
          </cell>
          <cell r="O81">
            <v>61</v>
          </cell>
          <cell r="P81">
            <v>65</v>
          </cell>
          <cell r="Q81">
            <v>115</v>
          </cell>
          <cell r="R81" t="str">
            <v>ESE2</v>
          </cell>
          <cell r="S81" t="str">
            <v>FXT</v>
          </cell>
          <cell r="T81">
            <v>51</v>
          </cell>
          <cell r="U81" t="str">
            <v>BUC;CAS;ETS;FAF;HCS;PSF;SUZ;THC</v>
          </cell>
          <cell r="V81" t="str">
            <v>BUC;CAS;ETS;FAF;HCS;PSF;SUZ;THC</v>
          </cell>
          <cell r="W81" t="str">
            <v>BUC;CAS;ETS;FAF;HCS;PSF;SUZ;THC</v>
          </cell>
          <cell r="X81" t="str">
            <v>BUC;CAS;ETS;FAF;HCS;PSF;SUZ;THC</v>
          </cell>
        </row>
        <row r="82">
          <cell r="C82" t="str">
            <v>Yantian</v>
          </cell>
          <cell r="D82" t="str">
            <v>YTN</v>
          </cell>
          <cell r="E82" t="str">
            <v>China Base Port</v>
          </cell>
          <cell r="F82">
            <v>65</v>
          </cell>
          <cell r="G82">
            <v>115</v>
          </cell>
          <cell r="H82" t="str">
            <v>AEM1</v>
          </cell>
          <cell r="I82" t="str">
            <v>direct</v>
          </cell>
          <cell r="J82">
            <v>47</v>
          </cell>
          <cell r="P82">
            <v>65</v>
          </cell>
          <cell r="Q82">
            <v>115</v>
          </cell>
          <cell r="R82" t="str">
            <v>ESE2</v>
          </cell>
          <cell r="S82" t="str">
            <v>FXT</v>
          </cell>
          <cell r="T82">
            <v>55</v>
          </cell>
          <cell r="U82" t="str">
            <v>BUC;CAS;ETS;FAF;HCS;PSF;SUZ;THC</v>
          </cell>
          <cell r="W82" t="str">
            <v>BUC;CAS;ETS;FAF;HCS;PSF;SUZ;THC</v>
          </cell>
          <cell r="X82" t="str">
            <v>BUC;CAS;ETS;FAF;HCS;PSF;SUZ;THC</v>
          </cell>
        </row>
        <row r="83">
          <cell r="C83" t="str">
            <v>Xingang</v>
          </cell>
          <cell r="D83" t="str">
            <v>TSN</v>
          </cell>
          <cell r="E83" t="str">
            <v>China Base Port</v>
          </cell>
          <cell r="F83">
            <v>65</v>
          </cell>
          <cell r="G83">
            <v>115</v>
          </cell>
          <cell r="H83" t="str">
            <v>AEM1</v>
          </cell>
          <cell r="I83" t="str">
            <v>SIN</v>
          </cell>
          <cell r="J83">
            <v>46</v>
          </cell>
          <cell r="K83">
            <v>65</v>
          </cell>
          <cell r="L83">
            <v>115</v>
          </cell>
          <cell r="M83" t="str">
            <v>AEM2</v>
          </cell>
          <cell r="N83" t="str">
            <v>PKG</v>
          </cell>
          <cell r="O83">
            <v>57</v>
          </cell>
          <cell r="P83">
            <v>65</v>
          </cell>
          <cell r="Q83">
            <v>115</v>
          </cell>
          <cell r="R83" t="str">
            <v>TSM</v>
          </cell>
          <cell r="S83" t="str">
            <v>PIR</v>
          </cell>
          <cell r="T83">
            <v>57</v>
          </cell>
          <cell r="U83" t="str">
            <v>BUC;CAS;ETS;FAF;HCS;PSF;SUZ;THC</v>
          </cell>
          <cell r="V83" t="str">
            <v>BUC;CAS;ETS;FAF;HCS;PSF;SUZ;THC</v>
          </cell>
          <cell r="W83" t="str">
            <v>BUC;CAS;ETS;FAF;HCS;PSF;SUZ;THC</v>
          </cell>
          <cell r="X83" t="str">
            <v>BUC;CAS;ETS;FAF;HCS;PSF;SUZ;THC</v>
          </cell>
        </row>
        <row r="84">
          <cell r="C84" t="str">
            <v>Busan</v>
          </cell>
          <cell r="D84" t="str">
            <v>PUS</v>
          </cell>
          <cell r="E84" t="str">
            <v>South Korea Base Port</v>
          </cell>
          <cell r="F84">
            <v>65</v>
          </cell>
          <cell r="G84">
            <v>115</v>
          </cell>
          <cell r="H84" t="str">
            <v>AEM1</v>
          </cell>
          <cell r="I84" t="str">
            <v>SHA</v>
          </cell>
          <cell r="J84">
            <v>41</v>
          </cell>
          <cell r="K84">
            <v>65</v>
          </cell>
          <cell r="L84">
            <v>115</v>
          </cell>
          <cell r="M84" t="str">
            <v>AEM2</v>
          </cell>
          <cell r="N84" t="str">
            <v>SHA</v>
          </cell>
          <cell r="O84">
            <v>60</v>
          </cell>
          <cell r="P84">
            <v>65</v>
          </cell>
          <cell r="Q84">
            <v>115</v>
          </cell>
          <cell r="R84" t="str">
            <v>ESE2</v>
          </cell>
          <cell r="S84" t="str">
            <v>FXT</v>
          </cell>
          <cell r="T84">
            <v>55</v>
          </cell>
          <cell r="U84" t="str">
            <v>BUC;CAS;ETS;FAF;HCS;PSF;SUZ;THC</v>
          </cell>
          <cell r="V84" t="str">
            <v>BUC;CAS;ETS;FAF;HCS;PSF;SUZ;THC</v>
          </cell>
          <cell r="W84" t="str">
            <v>BUC;CAS;ETS;FAF;HCS;PSF;SUZ;THC</v>
          </cell>
          <cell r="X84" t="str">
            <v>BUC;CAS;ETS;FAF;HCS;PSF;SUZ;THC</v>
          </cell>
        </row>
        <row r="85">
          <cell r="C85" t="str">
            <v>Port kelang</v>
          </cell>
          <cell r="D85" t="str">
            <v>PKG</v>
          </cell>
          <cell r="E85" t="str">
            <v>Malaysia Base Port</v>
          </cell>
          <cell r="F85">
            <v>65</v>
          </cell>
          <cell r="G85">
            <v>115</v>
          </cell>
          <cell r="H85" t="str">
            <v>AEM2</v>
          </cell>
          <cell r="I85" t="str">
            <v>direct</v>
          </cell>
          <cell r="J85">
            <v>42</v>
          </cell>
          <cell r="K85">
            <v>65</v>
          </cell>
          <cell r="L85">
            <v>115</v>
          </cell>
          <cell r="M85" t="str">
            <v>AEM2</v>
          </cell>
          <cell r="N85" t="str">
            <v>direct</v>
          </cell>
          <cell r="O85">
            <v>40</v>
          </cell>
          <cell r="R85" t="str">
            <v>ESE2</v>
          </cell>
          <cell r="S85" t="str">
            <v>FXT</v>
          </cell>
          <cell r="T85">
            <v>40</v>
          </cell>
          <cell r="U85" t="str">
            <v>BUC;CAS;ETS;FAF;HCS;PSF;SUZ;THC</v>
          </cell>
          <cell r="V85" t="str">
            <v>BUC;CAS;ETS;FAF;HCS;PSF;SUZ;THC</v>
          </cell>
          <cell r="W85" t="str">
            <v>BUC;CAS;ETS;FAF;HCS;PSF;SUZ;THC</v>
          </cell>
          <cell r="X85" t="str">
            <v>BUC;CAS;ETS;FAF;HCS;PSF;SUZ;THC</v>
          </cell>
        </row>
        <row r="86">
          <cell r="C86" t="str">
            <v>Davao</v>
          </cell>
          <cell r="D86" t="str">
            <v>DVO</v>
          </cell>
          <cell r="E86" t="str">
            <v>Philippines</v>
          </cell>
          <cell r="H86" t="str">
            <v>AEM1</v>
          </cell>
          <cell r="I86" t="str">
            <v>SHA</v>
          </cell>
          <cell r="J86">
            <v>65</v>
          </cell>
          <cell r="U86" t="str">
            <v>BUC;CAS;ETS;FAF;HCS;PSF;SUZ;THC</v>
          </cell>
          <cell r="X86" t="str">
            <v>BUC;CAS;ETS;FAF;HCS;PSF;SUZ;THC</v>
          </cell>
        </row>
        <row r="87">
          <cell r="C87" t="str">
            <v>General Santos</v>
          </cell>
          <cell r="D87" t="str">
            <v>GES</v>
          </cell>
          <cell r="E87" t="str">
            <v>Philippines</v>
          </cell>
          <cell r="H87" t="str">
            <v>AEM1</v>
          </cell>
          <cell r="I87" t="str">
            <v>SIN</v>
          </cell>
          <cell r="J87">
            <v>38</v>
          </cell>
          <cell r="M87" t="str">
            <v>AEM2</v>
          </cell>
          <cell r="N87" t="str">
            <v>PKG</v>
          </cell>
          <cell r="O87">
            <v>57</v>
          </cell>
          <cell r="U87" t="str">
            <v>BUC;CAS;ETS;FAF;HCS;PSF;SUZ;THC</v>
          </cell>
          <cell r="V87" t="str">
            <v>BUC;CAS;ETS;FAF;HCS;PSF;SUZ;THC</v>
          </cell>
          <cell r="X87" t="str">
            <v>BUC;CAS;ETS;FAF;HCS;PSF;SUZ;THC</v>
          </cell>
        </row>
        <row r="88">
          <cell r="C88" t="str">
            <v>Singapore</v>
          </cell>
          <cell r="D88" t="str">
            <v>SIN</v>
          </cell>
          <cell r="E88" t="str">
            <v>Singapore Base Port</v>
          </cell>
          <cell r="F88">
            <v>65</v>
          </cell>
          <cell r="G88">
            <v>115</v>
          </cell>
          <cell r="H88" t="str">
            <v>AEM1</v>
          </cell>
          <cell r="I88" t="str">
            <v>direct</v>
          </cell>
          <cell r="J88">
            <v>28</v>
          </cell>
          <cell r="K88">
            <v>65</v>
          </cell>
          <cell r="L88">
            <v>115</v>
          </cell>
          <cell r="M88" t="str">
            <v>AEM2</v>
          </cell>
          <cell r="N88" t="str">
            <v>PKG</v>
          </cell>
          <cell r="O88">
            <v>46</v>
          </cell>
          <cell r="P88">
            <v>65</v>
          </cell>
          <cell r="Q88">
            <v>115</v>
          </cell>
          <cell r="R88" t="str">
            <v>TSM</v>
          </cell>
          <cell r="S88" t="str">
            <v>PIR</v>
          </cell>
          <cell r="T88">
            <v>51</v>
          </cell>
          <cell r="U88" t="str">
            <v>BUC;CAS;ETS;FAF;HCS;PSF;SUZ;THC</v>
          </cell>
          <cell r="V88" t="str">
            <v>BUC;CAS;ETS;FAF;HCS;PSF;SUZ;THC</v>
          </cell>
          <cell r="W88" t="str">
            <v>BUC;CAS;ETS;FAF;HCS;PSF;SUZ;THC</v>
          </cell>
          <cell r="X88" t="str">
            <v>BUC;CAS;ETS;FAF;HCS;PSF;SUZ;THC</v>
          </cell>
        </row>
        <row r="89">
          <cell r="C89" t="str">
            <v>Chennai</v>
          </cell>
          <cell r="D89" t="str">
            <v>MAA</v>
          </cell>
          <cell r="E89" t="str">
            <v>India</v>
          </cell>
          <cell r="F89">
            <v>450</v>
          </cell>
          <cell r="G89">
            <v>450</v>
          </cell>
          <cell r="H89" t="str">
            <v>AEM1</v>
          </cell>
          <cell r="I89" t="str">
            <v>SIN</v>
          </cell>
          <cell r="J89">
            <v>40</v>
          </cell>
          <cell r="K89">
            <v>450</v>
          </cell>
          <cell r="L89">
            <v>450</v>
          </cell>
          <cell r="M89" t="str">
            <v>AEM2</v>
          </cell>
          <cell r="N89" t="str">
            <v>PKG</v>
          </cell>
          <cell r="O89">
            <v>51</v>
          </cell>
          <cell r="R89" t="str">
            <v>TSM</v>
          </cell>
          <cell r="S89" t="str">
            <v>PIR</v>
          </cell>
          <cell r="T89">
            <v>49</v>
          </cell>
          <cell r="U89" t="str">
            <v>BUC;FAF;HCS;SUZ</v>
          </cell>
          <cell r="V89" t="str">
            <v>BUC;FAF;HCS;SUZ</v>
          </cell>
          <cell r="W89" t="str">
            <v>BUC;CAS;ETS;FAF;HCS;PSF;SUZ;THC</v>
          </cell>
        </row>
        <row r="90">
          <cell r="C90" t="str">
            <v>Jeddah</v>
          </cell>
          <cell r="D90" t="str">
            <v>JED</v>
          </cell>
          <cell r="E90" t="str">
            <v xml:space="preserve">Saudi Arabia </v>
          </cell>
          <cell r="F90">
            <v>450</v>
          </cell>
          <cell r="G90">
            <v>450</v>
          </cell>
          <cell r="H90" t="str">
            <v>AEM3</v>
          </cell>
          <cell r="I90" t="str">
            <v>PIR</v>
          </cell>
          <cell r="J90">
            <v>29</v>
          </cell>
          <cell r="K90">
            <v>450</v>
          </cell>
          <cell r="L90">
            <v>450</v>
          </cell>
          <cell r="M90" t="str">
            <v>TSM</v>
          </cell>
          <cell r="N90" t="str">
            <v>PIR</v>
          </cell>
          <cell r="O90">
            <v>27</v>
          </cell>
          <cell r="P90">
            <v>450</v>
          </cell>
          <cell r="Q90">
            <v>450</v>
          </cell>
          <cell r="R90" t="str">
            <v>TSM</v>
          </cell>
          <cell r="S90" t="str">
            <v>PIR</v>
          </cell>
          <cell r="T90">
            <v>30</v>
          </cell>
          <cell r="U90" t="str">
            <v>BUC;FAF;HCS;SUZ;WRS</v>
          </cell>
          <cell r="V90" t="str">
            <v>BUC;FAF;HCS;SUZ;WRS</v>
          </cell>
          <cell r="W90" t="str">
            <v>BUC;FAF;HCS;SUZ;WRS</v>
          </cell>
          <cell r="X90" t="str">
            <v>BUC;FAF;HCS;SUZ;WRS</v>
          </cell>
        </row>
        <row r="91">
          <cell r="C91" t="str">
            <v>Jebel Ali</v>
          </cell>
          <cell r="D91" t="str">
            <v>JEA</v>
          </cell>
          <cell r="E91" t="str">
            <v>United Arab Emirates *</v>
          </cell>
          <cell r="F91">
            <v>450</v>
          </cell>
          <cell r="G91">
            <v>450</v>
          </cell>
          <cell r="H91" t="str">
            <v>AEM3</v>
          </cell>
          <cell r="I91" t="str">
            <v>PIR</v>
          </cell>
          <cell r="J91">
            <v>41</v>
          </cell>
          <cell r="K91">
            <v>450</v>
          </cell>
          <cell r="L91">
            <v>450</v>
          </cell>
          <cell r="M91" t="str">
            <v>TSM</v>
          </cell>
          <cell r="N91" t="str">
            <v>PIR</v>
          </cell>
          <cell r="O91">
            <v>39</v>
          </cell>
          <cell r="P91">
            <v>450</v>
          </cell>
          <cell r="Q91">
            <v>450</v>
          </cell>
          <cell r="R91" t="str">
            <v>EPI3</v>
          </cell>
          <cell r="S91" t="str">
            <v>direct</v>
          </cell>
          <cell r="T91">
            <v>29</v>
          </cell>
          <cell r="U91" t="str">
            <v>BUC;FAF;HCS;SUZ;WRS</v>
          </cell>
          <cell r="V91" t="str">
            <v>BUC;FAF;HCS;SUZ;WRS</v>
          </cell>
          <cell r="W91" t="str">
            <v>BUC;FAF;HCS;SUZ;WRS</v>
          </cell>
          <cell r="X91" t="str">
            <v>BUC;FAF;HCS;SUZ;WRS</v>
          </cell>
        </row>
        <row r="92">
          <cell r="C92" t="str">
            <v>Nhava Sheva</v>
          </cell>
          <cell r="D92" t="str">
            <v>NVA</v>
          </cell>
          <cell r="E92" t="str">
            <v>India</v>
          </cell>
          <cell r="F92">
            <v>450</v>
          </cell>
          <cell r="G92">
            <v>450</v>
          </cell>
          <cell r="H92" t="str">
            <v>AEM3</v>
          </cell>
          <cell r="I92" t="str">
            <v>PIR</v>
          </cell>
          <cell r="J92">
            <v>49</v>
          </cell>
          <cell r="K92">
            <v>450</v>
          </cell>
          <cell r="L92">
            <v>450</v>
          </cell>
          <cell r="M92" t="str">
            <v>TSM</v>
          </cell>
          <cell r="N92" t="str">
            <v>PIR</v>
          </cell>
          <cell r="O92">
            <v>46</v>
          </cell>
          <cell r="P92">
            <v>450</v>
          </cell>
          <cell r="Q92">
            <v>450</v>
          </cell>
          <cell r="R92" t="str">
            <v>EPI3</v>
          </cell>
          <cell r="S92" t="str">
            <v>direct</v>
          </cell>
          <cell r="T92">
            <v>38</v>
          </cell>
          <cell r="U92" t="str">
            <v>BUC;FAF;HCS;SUZ</v>
          </cell>
          <cell r="V92" t="str">
            <v>BUC;FAF;HCS;SUZ</v>
          </cell>
          <cell r="W92" t="str">
            <v>BUC;FAF;HCS;SUZ</v>
          </cell>
          <cell r="X92" t="str">
            <v>BUC;FAF;HCS;SUZ</v>
          </cell>
        </row>
        <row r="93">
          <cell r="C93" t="str">
            <v>Mundra</v>
          </cell>
          <cell r="D93" t="str">
            <v>MUN</v>
          </cell>
          <cell r="E93" t="str">
            <v>India</v>
          </cell>
          <cell r="F93">
            <v>450</v>
          </cell>
          <cell r="G93">
            <v>450</v>
          </cell>
          <cell r="H93" t="str">
            <v>AEM3</v>
          </cell>
          <cell r="I93" t="str">
            <v>PIR</v>
          </cell>
          <cell r="J93">
            <v>47</v>
          </cell>
          <cell r="K93">
            <v>450</v>
          </cell>
          <cell r="L93">
            <v>450</v>
          </cell>
          <cell r="M93" t="str">
            <v>TSM</v>
          </cell>
          <cell r="N93" t="str">
            <v>PIR</v>
          </cell>
          <cell r="O93">
            <v>44</v>
          </cell>
          <cell r="P93">
            <v>450</v>
          </cell>
          <cell r="Q93">
            <v>450</v>
          </cell>
          <cell r="R93" t="str">
            <v>EPI3</v>
          </cell>
          <cell r="S93" t="str">
            <v>direct</v>
          </cell>
          <cell r="T93">
            <v>40</v>
          </cell>
          <cell r="U93" t="str">
            <v>BUC;FAF;HCS;SUZ</v>
          </cell>
          <cell r="V93" t="str">
            <v>BUC;FAF;HCS;SUZ</v>
          </cell>
          <cell r="W93" t="str">
            <v>BUC;FAF;HCS;SUZ</v>
          </cell>
          <cell r="X93" t="str">
            <v>BUC;FAF;HCS;SUZ</v>
          </cell>
        </row>
        <row r="94">
          <cell r="C94" t="str">
            <v>Colombo</v>
          </cell>
          <cell r="D94" t="str">
            <v>CMB</v>
          </cell>
          <cell r="E94" t="str">
            <v>Sri Lanka</v>
          </cell>
          <cell r="F94">
            <v>450</v>
          </cell>
          <cell r="G94">
            <v>450</v>
          </cell>
          <cell r="H94" t="str">
            <v>AEM3</v>
          </cell>
          <cell r="I94" t="str">
            <v>PIR</v>
          </cell>
          <cell r="J94">
            <v>53</v>
          </cell>
          <cell r="K94">
            <v>450</v>
          </cell>
          <cell r="L94">
            <v>450</v>
          </cell>
          <cell r="M94" t="str">
            <v>TSM</v>
          </cell>
          <cell r="N94" t="str">
            <v>PIR</v>
          </cell>
          <cell r="O94">
            <v>51</v>
          </cell>
          <cell r="U94" t="str">
            <v>BUC;FAF;HCS;SUZ</v>
          </cell>
          <cell r="V94" t="str">
            <v>BUC;FAF;HCS;SUZ</v>
          </cell>
          <cell r="X94" t="str">
            <v>BUC;FAF;HCS;SUZ</v>
          </cell>
        </row>
        <row r="95">
          <cell r="C95" t="str">
            <v>Adelaide</v>
          </cell>
        </row>
        <row r="96">
          <cell r="C96" t="str">
            <v>Brisbane</v>
          </cell>
        </row>
        <row r="97">
          <cell r="C97" t="str">
            <v>Melbourne</v>
          </cell>
        </row>
        <row r="98">
          <cell r="C98" t="str">
            <v>Fremantle</v>
          </cell>
        </row>
        <row r="99">
          <cell r="C99" t="str">
            <v>Sydney</v>
          </cell>
        </row>
        <row r="100">
          <cell r="C100" t="str">
            <v>Auckland</v>
          </cell>
        </row>
        <row r="101">
          <cell r="C101" t="str">
            <v>Lyttelton</v>
          </cell>
        </row>
        <row r="102">
          <cell r="C102" t="str">
            <v>Napier</v>
          </cell>
        </row>
        <row r="103">
          <cell r="C103" t="str">
            <v>Tauranga</v>
          </cell>
        </row>
        <row r="104">
          <cell r="C104" t="str">
            <v>Wellington</v>
          </cell>
        </row>
        <row r="105">
          <cell r="C105" t="str">
            <v>Timaru</v>
          </cell>
        </row>
      </sheetData>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espexport@coscospain.com" TargetMode="External"/><Relationship Id="rId3" Type="http://schemas.openxmlformats.org/officeDocument/2006/relationships/hyperlink" Target="mailto:salesalg@coscospain.com" TargetMode="External"/><Relationship Id="rId7" Type="http://schemas.openxmlformats.org/officeDocument/2006/relationships/hyperlink" Target="mailto:espexport@coscospain.com" TargetMode="External"/><Relationship Id="rId2" Type="http://schemas.openxmlformats.org/officeDocument/2006/relationships/hyperlink" Target="mailto:salesvlc@coscospain.com" TargetMode="External"/><Relationship Id="rId1" Type="http://schemas.openxmlformats.org/officeDocument/2006/relationships/hyperlink" Target="mailto:salesbcn@coscospain.com" TargetMode="External"/><Relationship Id="rId6" Type="http://schemas.openxmlformats.org/officeDocument/2006/relationships/hyperlink" Target="mailto:espexport@coscospain.com" TargetMode="External"/><Relationship Id="rId5" Type="http://schemas.openxmlformats.org/officeDocument/2006/relationships/hyperlink" Target="mailto:salesbcn@coscospain.com" TargetMode="External"/><Relationship Id="rId10" Type="http://schemas.openxmlformats.org/officeDocument/2006/relationships/drawing" Target="../drawings/drawing1.xml"/><Relationship Id="rId4" Type="http://schemas.openxmlformats.org/officeDocument/2006/relationships/hyperlink" Target="mailto:salesmad@coscospain.co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ynconhub.coscoshipping.com/" TargetMode="External"/><Relationship Id="rId13" Type="http://schemas.openxmlformats.org/officeDocument/2006/relationships/hyperlink" Target="https://elines.coscoshipping.com/local/sn/schedule/outbound" TargetMode="External"/><Relationship Id="rId3" Type="http://schemas.openxmlformats.org/officeDocument/2006/relationships/hyperlink" Target="https://world.lines.coscoshipping.com/spain/en/services/tariffs/1/1" TargetMode="External"/><Relationship Id="rId7" Type="http://schemas.openxmlformats.org/officeDocument/2006/relationships/hyperlink" Target="https://elines.coscoshipping.com/ebusiness/demurrageDetentionTariff" TargetMode="External"/><Relationship Id="rId12" Type="http://schemas.openxmlformats.org/officeDocument/2006/relationships/hyperlink" Target="http://elines.coscoshipping.com/ebusiness/demurrageDetentionTariff" TargetMode="External"/><Relationship Id="rId2" Type="http://schemas.openxmlformats.org/officeDocument/2006/relationships/hyperlink" Target="https://world.lines.coscoshipping.com/statics/sites/main/local/spain/es/services/Tarifas/PublishingImages/Pages/default/COSCO%20Transport%20Conditions%202023%20-%20Espa%C3%B1ol%20v3.0.pdf" TargetMode="External"/><Relationship Id="rId16" Type="http://schemas.openxmlformats.org/officeDocument/2006/relationships/drawing" Target="../drawings/drawing2.xml"/><Relationship Id="rId1" Type="http://schemas.openxmlformats.org/officeDocument/2006/relationships/hyperlink" Target="http://elines.coscoshipping.com/ebusiness/demurrageDetentionTariff" TargetMode="External"/><Relationship Id="rId6" Type="http://schemas.openxmlformats.org/officeDocument/2006/relationships/hyperlink" Target="https://world.lines.coscoshipping.com/statics/sites/main/local/spain/es/services/Tarifas/PublishingImages/Pages/default/COSCO%20Transport%20Conditions%202023%20-%20Espa%C3%B1ol%20v3.0.pdf" TargetMode="External"/><Relationship Id="rId11" Type="http://schemas.openxmlformats.org/officeDocument/2006/relationships/hyperlink" Target="http://elines.coscoshipping.com/ebusiness/EuropeTradePrice" TargetMode="External"/><Relationship Id="rId5" Type="http://schemas.openxmlformats.org/officeDocument/2006/relationships/hyperlink" Target="https://world.lines.coscoshipping.com/statics/sites/main/local/spain/en/services/tariffs/PublishingImages/Pages/default/COSCO%20Transport%20Conditions%202023.pdf" TargetMode="External"/><Relationship Id="rId15" Type="http://schemas.openxmlformats.org/officeDocument/2006/relationships/printerSettings" Target="../printerSettings/printerSettings2.bin"/><Relationship Id="rId10" Type="http://schemas.openxmlformats.org/officeDocument/2006/relationships/hyperlink" Target="https://apc01.safelinks.protection.outlook.com/?url=http%3A%2F%2Fpkapp.pka.gov.my%2Fdg%2Funno.php%3Funno%3D3462%26Search%3DSearch&amp;data=05%7C01%7Candreas.betzold%40coscoshipping.de%7C354962dd5b0546dcdcc808da546321e5%7Cff308fd09421454ab8b34d36252ab3a3%7C0%7C0%7C637915082001854931%7CUnknown%7CTWFpbGZsb3d8eyJWIjoiMC4wLjAwMDAiLCJQIjoiV2luMzIiLCJBTiI6Ik1haWwiLCJXVCI6Mn0%3D%7C3000%7C%7C%7C&amp;sdata=WAkuVEoe4TB6lA4kKiJ7ga2M1HAePb22ISdBIXuNsKU%3D&amp;reserved=0" TargetMode="External"/><Relationship Id="rId4" Type="http://schemas.openxmlformats.org/officeDocument/2006/relationships/hyperlink" Target="https://world.lines.coscoshipping.com/spain/en/services/barcelonaschedules/1/1" TargetMode="External"/><Relationship Id="rId9" Type="http://schemas.openxmlformats.org/officeDocument/2006/relationships/hyperlink" Target="https://synconhub.coscoshipping.com/zh-cn/region/de/helps/tutorial-video/" TargetMode="External"/><Relationship Id="rId14" Type="http://schemas.openxmlformats.org/officeDocument/2006/relationships/hyperlink" Target="https://world.lines.coscoshipping.com/spain/es/services/Tarifas/1/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lines.coscoshipping.com/ebusiness/demurrageDetentionTariff" TargetMode="External"/><Relationship Id="rId13" Type="http://schemas.openxmlformats.org/officeDocument/2006/relationships/hyperlink" Target="https://world.lines.coscoshipping.com/statics/sites/main/local/spain/es/services/Tarifas/PublishingImages/Pages/default/COSCO%20Transport%20Conditions%202023%20-%20Espa%C3%B1ol%20v3.0.pdf" TargetMode="External"/><Relationship Id="rId3" Type="http://schemas.openxmlformats.org/officeDocument/2006/relationships/hyperlink" Target="http://elines.coscoshipping.com/ebusiness/demurrageDetentionTariff" TargetMode="External"/><Relationship Id="rId7" Type="http://schemas.openxmlformats.org/officeDocument/2006/relationships/hyperlink" Target="https://synconhub.coscoshipping.com/" TargetMode="External"/><Relationship Id="rId12" Type="http://schemas.openxmlformats.org/officeDocument/2006/relationships/hyperlink" Target="https://world.lines.coscoshipping.com/spain/en/services/tariffs/1/1" TargetMode="External"/><Relationship Id="rId2" Type="http://schemas.openxmlformats.org/officeDocument/2006/relationships/hyperlink" Target="https://elines.coscoshipping.com/local/sn/schedule/outbound" TargetMode="External"/><Relationship Id="rId16" Type="http://schemas.openxmlformats.org/officeDocument/2006/relationships/drawing" Target="../drawings/drawing3.xml"/><Relationship Id="rId1" Type="http://schemas.openxmlformats.org/officeDocument/2006/relationships/hyperlink" Target="https://world.lines.coscoshipping.com/spain/es/services/Tarifas/1/1" TargetMode="External"/><Relationship Id="rId6" Type="http://schemas.openxmlformats.org/officeDocument/2006/relationships/hyperlink" Target="https://synconhub.coscoshipping.com/zh-cn/region/de/helps/tutorial-video/" TargetMode="External"/><Relationship Id="rId11" Type="http://schemas.openxmlformats.org/officeDocument/2006/relationships/hyperlink" Target="https://world.lines.coscoshipping.com/spain/en/services/barcelonaschedules/1/1" TargetMode="External"/><Relationship Id="rId5" Type="http://schemas.openxmlformats.org/officeDocument/2006/relationships/hyperlink" Target="https://apc01.safelinks.protection.outlook.com/?url=http%3A%2F%2Fpkapp.pka.gov.my%2Fdg%2Funno.php%3Funno%3D3462%26Search%3DSearch&amp;data=05%7C01%7Candreas.betzold%40coscoshipping.de%7C354962dd5b0546dcdcc808da546321e5%7Cff308fd09421454ab8b34d36252ab3a3%7C0%7C0%7C637915082001854931%7CUnknown%7CTWFpbGZsb3d8eyJWIjoiMC4wLjAwMDAiLCJQIjoiV2luMzIiLCJBTiI6Ik1haWwiLCJXVCI6Mn0%3D%7C3000%7C%7C%7C&amp;sdata=WAkuVEoe4TB6lA4kKiJ7ga2M1HAePb22ISdBIXuNsKU%3D&amp;reserved=0" TargetMode="External"/><Relationship Id="rId15" Type="http://schemas.openxmlformats.org/officeDocument/2006/relationships/printerSettings" Target="../printerSettings/printerSettings3.bin"/><Relationship Id="rId10" Type="http://schemas.openxmlformats.org/officeDocument/2006/relationships/hyperlink" Target="https://world.lines.coscoshipping.com/statics/sites/main/local/spain/en/services/tariffs/PublishingImages/Pages/default/COSCO%20Transport%20Conditions%202023.pdf" TargetMode="External"/><Relationship Id="rId4" Type="http://schemas.openxmlformats.org/officeDocument/2006/relationships/hyperlink" Target="http://elines.coscoshipping.com/ebusiness/EuropeTradePrice" TargetMode="External"/><Relationship Id="rId9" Type="http://schemas.openxmlformats.org/officeDocument/2006/relationships/hyperlink" Target="https://world.lines.coscoshipping.com/statics/sites/main/local/spain/es/services/Tarifas/PublishingImages/Pages/default/COSCO%20Transport%20Conditions%202023%20-%20Espa%C3%B1ol%20v3.0.pdf" TargetMode="External"/><Relationship Id="rId14" Type="http://schemas.openxmlformats.org/officeDocument/2006/relationships/hyperlink" Target="http://elines.coscoshipping.com/ebusiness/demurrageDetentionTarif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elines.coscoshipping.com/ebusiness/demurrageDetentionTariff" TargetMode="External"/><Relationship Id="rId13" Type="http://schemas.openxmlformats.org/officeDocument/2006/relationships/hyperlink" Target="https://world.lines.coscoshipping.com/statics/sites/main/local/spain/es/services/Tarifas/PublishingImages/Pages/default/COSCO%20Transport%20Conditions%202023%20-%20Espa%C3%B1ol%20v3.0.pdf" TargetMode="External"/><Relationship Id="rId3" Type="http://schemas.openxmlformats.org/officeDocument/2006/relationships/hyperlink" Target="http://elines.coscoshipping.com/ebusiness/demurrageDetentionTariff" TargetMode="External"/><Relationship Id="rId7" Type="http://schemas.openxmlformats.org/officeDocument/2006/relationships/hyperlink" Target="https://synconhub.coscoshipping.com/" TargetMode="External"/><Relationship Id="rId12" Type="http://schemas.openxmlformats.org/officeDocument/2006/relationships/hyperlink" Target="https://world.lines.coscoshipping.com/spain/en/services/tariffs/1/1" TargetMode="External"/><Relationship Id="rId2" Type="http://schemas.openxmlformats.org/officeDocument/2006/relationships/hyperlink" Target="https://elines.coscoshipping.com/local/sn/schedule/outbound" TargetMode="External"/><Relationship Id="rId16" Type="http://schemas.openxmlformats.org/officeDocument/2006/relationships/drawing" Target="../drawings/drawing4.xml"/><Relationship Id="rId1" Type="http://schemas.openxmlformats.org/officeDocument/2006/relationships/hyperlink" Target="https://world.lines.coscoshipping.com/spain/es/services/Tarifas/1/1" TargetMode="External"/><Relationship Id="rId6" Type="http://schemas.openxmlformats.org/officeDocument/2006/relationships/hyperlink" Target="https://synconhub.coscoshipping.com/zh-cn/region/de/helps/tutorial-video/" TargetMode="External"/><Relationship Id="rId11" Type="http://schemas.openxmlformats.org/officeDocument/2006/relationships/hyperlink" Target="https://world.lines.coscoshipping.com/spain/en/services/barcelonaschedules/1/1" TargetMode="External"/><Relationship Id="rId5" Type="http://schemas.openxmlformats.org/officeDocument/2006/relationships/hyperlink" Target="https://apc01.safelinks.protection.outlook.com/?url=http%3A%2F%2Fpkapp.pka.gov.my%2Fdg%2Funno.php%3Funno%3D3462%26Search%3DSearch&amp;data=05%7C01%7Candreas.betzold%40coscoshipping.de%7C354962dd5b0546dcdcc808da546321e5%7Cff308fd09421454ab8b34d36252ab3a3%7C0%7C0%7C637915082001854931%7CUnknown%7CTWFpbGZsb3d8eyJWIjoiMC4wLjAwMDAiLCJQIjoiV2luMzIiLCJBTiI6Ik1haWwiLCJXVCI6Mn0%3D%7C3000%7C%7C%7C&amp;sdata=WAkuVEoe4TB6lA4kKiJ7ga2M1HAePb22ISdBIXuNsKU%3D&amp;reserved=0" TargetMode="External"/><Relationship Id="rId15" Type="http://schemas.openxmlformats.org/officeDocument/2006/relationships/printerSettings" Target="../printerSettings/printerSettings4.bin"/><Relationship Id="rId10" Type="http://schemas.openxmlformats.org/officeDocument/2006/relationships/hyperlink" Target="https://world.lines.coscoshipping.com/statics/sites/main/local/spain/en/services/tariffs/PublishingImages/Pages/default/COSCO%20Transport%20Conditions%202023.pdf" TargetMode="External"/><Relationship Id="rId4" Type="http://schemas.openxmlformats.org/officeDocument/2006/relationships/hyperlink" Target="http://elines.coscoshipping.com/ebusiness/EuropeTradePrice" TargetMode="External"/><Relationship Id="rId9" Type="http://schemas.openxmlformats.org/officeDocument/2006/relationships/hyperlink" Target="https://world.lines.coscoshipping.com/statics/sites/main/local/spain/es/services/Tarifas/PublishingImages/Pages/default/COSCO%20Transport%20Conditions%202023%20-%20Espa%C3%B1ol%20v3.0.pdf" TargetMode="External"/><Relationship Id="rId14" Type="http://schemas.openxmlformats.org/officeDocument/2006/relationships/hyperlink" Target="http://elines.coscoshipping.com/ebusiness/demurrageDetentionTarif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orld.lines.coscoshipping.com/statics/sites/main/local/spain/en/services/tariffs/PublishingImages/Pages/default/COSCO%20Transport%20Conditions%202023.pdf" TargetMode="External"/><Relationship Id="rId13" Type="http://schemas.openxmlformats.org/officeDocument/2006/relationships/hyperlink" Target="http://elines.coscoshipping.com/ebusiness/demurrageDetentionTariff" TargetMode="External"/><Relationship Id="rId18" Type="http://schemas.openxmlformats.org/officeDocument/2006/relationships/printerSettings" Target="../printerSettings/printerSettings5.bin"/><Relationship Id="rId3" Type="http://schemas.openxmlformats.org/officeDocument/2006/relationships/hyperlink" Target="https://world.lines.coscoshipping.com/germany/de/services/tariff/outbound/1/1" TargetMode="External"/><Relationship Id="rId7" Type="http://schemas.openxmlformats.org/officeDocument/2006/relationships/hyperlink" Target="https://world.lines.coscoshipping.com/statics/sites/main/local/spain/es/services/Tarifas/PublishingImages/Pages/default/COSCO%20Transport%20Conditions%202023%20-%20Espa%C3%B1ol%20v3.0.pdf" TargetMode="External"/><Relationship Id="rId12" Type="http://schemas.openxmlformats.org/officeDocument/2006/relationships/hyperlink" Target="https://world.lines.coscoshipping.com/statics/sites/main/local/spain/es/services/Tarifas/PublishingImages/Pages/default/COSCO%20Transport%20Conditions%202023%20-%20Espa%C3%B1ol%20v3.0.pdf" TargetMode="External"/><Relationship Id="rId17" Type="http://schemas.openxmlformats.org/officeDocument/2006/relationships/hyperlink" Target="https://lines.coscoshipping.com/home/HelpCenter/business/ServiceSchedule" TargetMode="External"/><Relationship Id="rId2" Type="http://schemas.openxmlformats.org/officeDocument/2006/relationships/hyperlink" Target="https://elines.coscoshipping.com/local/sn/schedule/outbound" TargetMode="External"/><Relationship Id="rId16" Type="http://schemas.openxmlformats.org/officeDocument/2006/relationships/hyperlink" Target="https://lines.coscoshipping.com/home/HelpCenter/business/ServiceSchedule" TargetMode="External"/><Relationship Id="rId1" Type="http://schemas.openxmlformats.org/officeDocument/2006/relationships/hyperlink" Target="https://world.lines.coscoshipping.com/spain/es/services/Tarifas/1/1" TargetMode="External"/><Relationship Id="rId6" Type="http://schemas.openxmlformats.org/officeDocument/2006/relationships/hyperlink" Target="https://world.lines.coscoshipping.com/germany/de/services/tariff/outbound/1/1" TargetMode="External"/><Relationship Id="rId11" Type="http://schemas.openxmlformats.org/officeDocument/2006/relationships/hyperlink" Target="https://elines.coscoshipping.com/ebusiness/demurrageDetentionTariff" TargetMode="External"/><Relationship Id="rId5" Type="http://schemas.openxmlformats.org/officeDocument/2006/relationships/hyperlink" Target="https://synconhub.coscoshipping.com/" TargetMode="External"/><Relationship Id="rId15" Type="http://schemas.openxmlformats.org/officeDocument/2006/relationships/hyperlink" Target="https://apc01.safelinks.protection.outlook.com/?url=http%3A%2F%2Fpkapp.pka.gov.my%2Fdg%2Funno.php%3Funno%3D3462%26Search%3DSearch&amp;data=05%7C01%7Candreas.betzold%40coscoshipping.de%7C354962dd5b0546dcdcc808da546321e5%7Cff308fd09421454ab8b34d36252ab3a3%7C0%7C0%7C637915082001854931%7CUnknown%7CTWFpbGZsb3d8eyJWIjoiMC4wLjAwMDAiLCJQIjoiV2luMzIiLCJBTiI6Ik1haWwiLCJXVCI6Mn0%3D%7C3000%7C%7C%7C&amp;sdata=WAkuVEoe4TB6lA4kKiJ7ga2M1HAePb22ISdBIXuNsKU%3D&amp;reserved=0" TargetMode="External"/><Relationship Id="rId10" Type="http://schemas.openxmlformats.org/officeDocument/2006/relationships/hyperlink" Target="https://world.lines.coscoshipping.com/spain/en/services/tariffs/1/1" TargetMode="External"/><Relationship Id="rId19" Type="http://schemas.openxmlformats.org/officeDocument/2006/relationships/drawing" Target="../drawings/drawing5.xml"/><Relationship Id="rId4" Type="http://schemas.openxmlformats.org/officeDocument/2006/relationships/hyperlink" Target="https://synconhub.coscoshipping.com/zh-cn/region/de/helps/tutorial-video/" TargetMode="External"/><Relationship Id="rId9" Type="http://schemas.openxmlformats.org/officeDocument/2006/relationships/hyperlink" Target="https://world.lines.coscoshipping.com/spain/en/services/barcelonaschedules/1/1" TargetMode="External"/><Relationship Id="rId14" Type="http://schemas.openxmlformats.org/officeDocument/2006/relationships/hyperlink" Target="http://elines.coscoshipping.com/ebusiness/demurrageDetentionTarif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elines.coscoshipping.com/ebusiness/EuropeTradePrice" TargetMode="External"/><Relationship Id="rId2" Type="http://schemas.openxmlformats.org/officeDocument/2006/relationships/hyperlink" Target="https://elines.coscoshipping.com/local/sn/schedule/outbound" TargetMode="External"/><Relationship Id="rId1" Type="http://schemas.openxmlformats.org/officeDocument/2006/relationships/hyperlink" Target="https://world.lines.coscoshipping.com/spain/es/services/Tarifas/1/1" TargetMode="External"/><Relationship Id="rId6" Type="http://schemas.openxmlformats.org/officeDocument/2006/relationships/drawing" Target="../drawings/drawing6.xml"/><Relationship Id="rId5" Type="http://schemas.openxmlformats.org/officeDocument/2006/relationships/hyperlink" Target="http://elines.coscoshipping.com/NewEBWeb/public/ti/cos/tariffRuleDetail.jsp?uuid=4958066963099146" TargetMode="External"/><Relationship Id="rId4" Type="http://schemas.openxmlformats.org/officeDocument/2006/relationships/hyperlink" Target="http://elines.coscoshipping.com/NewEB/informationQueryAndSubscribe.html?node=2009" TargetMode="Externa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elines.coscoshipping.com/NewEBWeb/public/ti/cos/tariffRuleDetail.jsp?uuid=4958066963099146" TargetMode="External"/><Relationship Id="rId7" Type="http://schemas.openxmlformats.org/officeDocument/2006/relationships/hyperlink" Target="https://www.cn.ca/en/customer-centre/prices-tariffs-transit-times/fuel-surcharge/" TargetMode="External"/><Relationship Id="rId2" Type="http://schemas.openxmlformats.org/officeDocument/2006/relationships/hyperlink" Target="http://elines.coscoshipping.com/NewEB/informationQueryAndSubscribe.html?node=2009" TargetMode="External"/><Relationship Id="rId1" Type="http://schemas.openxmlformats.org/officeDocument/2006/relationships/hyperlink" Target="http://elines.coscoshipping.com/ebusiness/EuropeTradePrice" TargetMode="External"/><Relationship Id="rId6" Type="http://schemas.openxmlformats.org/officeDocument/2006/relationships/hyperlink" Target="https://world.lines.coscoshipping.com/canada/en/services/containerweightLimit/1/1" TargetMode="External"/><Relationship Id="rId5" Type="http://schemas.openxmlformats.org/officeDocument/2006/relationships/hyperlink" Target="https://elines.coscoshipping.com/local/sn/schedule/outbound" TargetMode="External"/><Relationship Id="rId4" Type="http://schemas.openxmlformats.org/officeDocument/2006/relationships/hyperlink" Target="https://world.lines.coscoshipping.com/spain/es/services/Tarifas/1/1"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synconhub.coscoshipping.com/" TargetMode="External"/><Relationship Id="rId13" Type="http://schemas.openxmlformats.org/officeDocument/2006/relationships/hyperlink" Target="https://world.lines.coscoshipping.com/spain/en/services/tariffs/1/1" TargetMode="External"/><Relationship Id="rId3" Type="http://schemas.openxmlformats.org/officeDocument/2006/relationships/hyperlink" Target="https://world.lines.coscoshipping.com/spain/es/services/Tarifas/1/1" TargetMode="External"/><Relationship Id="rId7" Type="http://schemas.openxmlformats.org/officeDocument/2006/relationships/hyperlink" Target="https://synconhub.coscoshipping.com/zh-cn/region/de/helps/tutorial-video/" TargetMode="External"/><Relationship Id="rId12" Type="http://schemas.openxmlformats.org/officeDocument/2006/relationships/hyperlink" Target="https://world.lines.coscoshipping.com/spain/en/services/barcelonaschedules/1/1" TargetMode="External"/><Relationship Id="rId17" Type="http://schemas.openxmlformats.org/officeDocument/2006/relationships/drawing" Target="../drawings/drawing8.xml"/><Relationship Id="rId2" Type="http://schemas.openxmlformats.org/officeDocument/2006/relationships/hyperlink" Target="http://elines.coscoshipping.com/ebusiness/demurrageDetentionTariff" TargetMode="External"/><Relationship Id="rId16" Type="http://schemas.openxmlformats.org/officeDocument/2006/relationships/hyperlink" Target="http://elines.coscoshipping.com/ebusiness/demurrageDetentionTariff" TargetMode="External"/><Relationship Id="rId1" Type="http://schemas.openxmlformats.org/officeDocument/2006/relationships/hyperlink" Target="https://elines.coscoshipping.com/ebusiness/sailingSchedule/searchByCity" TargetMode="External"/><Relationship Id="rId6" Type="http://schemas.openxmlformats.org/officeDocument/2006/relationships/hyperlink" Target="https://world.lines.coscoshipping.com/germany/de/services/tariff/outbound/1/1" TargetMode="External"/><Relationship Id="rId11" Type="http://schemas.openxmlformats.org/officeDocument/2006/relationships/hyperlink" Target="https://world.lines.coscoshipping.com/statics/sites/main/local/spain/en/services/tariffs/PublishingImages/Pages/default/COSCO%20Transport%20Conditions%202023.pdf" TargetMode="External"/><Relationship Id="rId5" Type="http://schemas.openxmlformats.org/officeDocument/2006/relationships/hyperlink" Target="http://elines.coscoshipping.com/ebusiness/EuropeTradePrice" TargetMode="External"/><Relationship Id="rId15" Type="http://schemas.openxmlformats.org/officeDocument/2006/relationships/hyperlink" Target="https://world.lines.coscoshipping.com/statics/sites/main/local/spain/es/services/Tarifas/PublishingImages/Pages/default/COSCO%20Transport%20Conditions%202023%20-%20Espa%C3%B1ol%20v3.0.pdf" TargetMode="External"/><Relationship Id="rId10" Type="http://schemas.openxmlformats.org/officeDocument/2006/relationships/hyperlink" Target="https://world.lines.coscoshipping.com/statics/sites/main/local/spain/es/services/Tarifas/PublishingImages/Pages/default/COSCO%20Transport%20Conditions%202023%20-%20Espa%C3%B1ol%20v3.0.pdf" TargetMode="External"/><Relationship Id="rId4" Type="http://schemas.openxmlformats.org/officeDocument/2006/relationships/hyperlink" Target="https://elines.coscoshipping.com/local/sn/schedule/outbound" TargetMode="External"/><Relationship Id="rId9" Type="http://schemas.openxmlformats.org/officeDocument/2006/relationships/hyperlink" Target="https://world.lines.coscoshipping.com/germany/de/services/tariff/outbound/1/1" TargetMode="External"/><Relationship Id="rId14" Type="http://schemas.openxmlformats.org/officeDocument/2006/relationships/hyperlink" Target="https://elines.coscoshipping.com/ebusiness/demurrageDetentionTarif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synconhub.coscoshipping.com/" TargetMode="External"/><Relationship Id="rId13" Type="http://schemas.openxmlformats.org/officeDocument/2006/relationships/hyperlink" Target="https://world.lines.coscoshipping.com/spain/en/services/tariffs/1/1" TargetMode="External"/><Relationship Id="rId3" Type="http://schemas.openxmlformats.org/officeDocument/2006/relationships/hyperlink" Target="https://world.lines.coscoshipping.com/spain/es/services/Tarifas/1/1" TargetMode="External"/><Relationship Id="rId7" Type="http://schemas.openxmlformats.org/officeDocument/2006/relationships/hyperlink" Target="https://synconhub.coscoshipping.com/zh-cn/region/de/helps/tutorial-video/" TargetMode="External"/><Relationship Id="rId12" Type="http://schemas.openxmlformats.org/officeDocument/2006/relationships/hyperlink" Target="https://world.lines.coscoshipping.com/spain/en/services/barcelonaschedules/1/1" TargetMode="External"/><Relationship Id="rId17" Type="http://schemas.openxmlformats.org/officeDocument/2006/relationships/drawing" Target="../drawings/drawing9.xml"/><Relationship Id="rId2" Type="http://schemas.openxmlformats.org/officeDocument/2006/relationships/hyperlink" Target="http://elines.coscoshipping.com/ebusiness/demurrageDetentionTariff" TargetMode="External"/><Relationship Id="rId16" Type="http://schemas.openxmlformats.org/officeDocument/2006/relationships/hyperlink" Target="http://elines.coscoshipping.com/ebusiness/demurrageDetentionTariff" TargetMode="External"/><Relationship Id="rId1" Type="http://schemas.openxmlformats.org/officeDocument/2006/relationships/hyperlink" Target="https://elines.coscoshipping.com/ebusiness/sailingSchedule/searchByCity" TargetMode="External"/><Relationship Id="rId6" Type="http://schemas.openxmlformats.org/officeDocument/2006/relationships/hyperlink" Target="https://world.lines.coscoshipping.com/germany/de/services/tariff/outbound/1/1" TargetMode="External"/><Relationship Id="rId11" Type="http://schemas.openxmlformats.org/officeDocument/2006/relationships/hyperlink" Target="https://world.lines.coscoshipping.com/statics/sites/main/local/spain/en/services/tariffs/PublishingImages/Pages/default/COSCO%20Transport%20Conditions%202023.pdf" TargetMode="External"/><Relationship Id="rId5" Type="http://schemas.openxmlformats.org/officeDocument/2006/relationships/hyperlink" Target="http://elines.coscoshipping.com/ebusiness/EuropeTradePrice" TargetMode="External"/><Relationship Id="rId15" Type="http://schemas.openxmlformats.org/officeDocument/2006/relationships/hyperlink" Target="https://world.lines.coscoshipping.com/statics/sites/main/local/spain/es/services/Tarifas/PublishingImages/Pages/default/COSCO%20Transport%20Conditions%202023%20-%20Espa%C3%B1ol%20v3.0.pdf" TargetMode="External"/><Relationship Id="rId10" Type="http://schemas.openxmlformats.org/officeDocument/2006/relationships/hyperlink" Target="https://world.lines.coscoshipping.com/statics/sites/main/local/spain/es/services/Tarifas/PublishingImages/Pages/default/COSCO%20Transport%20Conditions%202023%20-%20Espa%C3%B1ol%20v3.0.pdf" TargetMode="External"/><Relationship Id="rId4" Type="http://schemas.openxmlformats.org/officeDocument/2006/relationships/hyperlink" Target="https://elines.coscoshipping.com/local/sn/schedule/outbound" TargetMode="External"/><Relationship Id="rId9" Type="http://schemas.openxmlformats.org/officeDocument/2006/relationships/hyperlink" Target="https://world.lines.coscoshipping.com/germany/de/services/tariff/outbound/1/1" TargetMode="External"/><Relationship Id="rId14" Type="http://schemas.openxmlformats.org/officeDocument/2006/relationships/hyperlink" Target="https://elines.coscoshipping.com/ebusiness/demurrageDetentionTariff"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elines.coscoshipping.com/ebusiness/demurrageDetentionTariff" TargetMode="External"/><Relationship Id="rId2" Type="http://schemas.openxmlformats.org/officeDocument/2006/relationships/hyperlink" Target="https://elines.coscoshipping.com/local/sn/schedule/outbound" TargetMode="External"/><Relationship Id="rId1" Type="http://schemas.openxmlformats.org/officeDocument/2006/relationships/hyperlink" Target="https://world.lines.coscoshipping.com/spain/es/services/Tarifas/1/1"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5:P59"/>
  <sheetViews>
    <sheetView tabSelected="1" zoomScaleNormal="100" workbookViewId="0">
      <selection activeCell="C68" sqref="C68"/>
    </sheetView>
  </sheetViews>
  <sheetFormatPr baseColWidth="10" defaultColWidth="11.42578125" defaultRowHeight="11.25"/>
  <cols>
    <col min="1" max="1" width="9.42578125" style="2" customWidth="1"/>
    <col min="2" max="2" width="38.140625" style="2" customWidth="1"/>
    <col min="3" max="3" width="43.42578125" style="2" customWidth="1"/>
    <col min="4" max="6" width="11.42578125" style="2"/>
    <col min="7" max="7" width="18.42578125" style="2" customWidth="1"/>
    <col min="8" max="8" width="24.5703125" style="2" bestFit="1" customWidth="1"/>
    <col min="9" max="9" width="14.42578125" style="2" customWidth="1"/>
    <col min="10" max="16384" width="11.42578125" style="2"/>
  </cols>
  <sheetData>
    <row r="15" spans="2:16" ht="15">
      <c r="B15" s="488" t="s">
        <v>0</v>
      </c>
      <c r="C15" s="489"/>
      <c r="D15" s="489"/>
      <c r="E15" s="489"/>
      <c r="F15" s="489"/>
      <c r="G15" s="489"/>
      <c r="H15" s="489"/>
      <c r="I15" s="489"/>
      <c r="J15" s="489"/>
      <c r="K15" s="489"/>
      <c r="L15" s="489"/>
      <c r="M15" s="489"/>
      <c r="N15" s="489"/>
      <c r="O15" s="489"/>
      <c r="P15" s="489"/>
    </row>
    <row r="17" spans="2:15" ht="35.1" customHeight="1">
      <c r="B17" s="490" t="s">
        <v>1</v>
      </c>
      <c r="C17" s="491"/>
      <c r="D17" s="491"/>
      <c r="E17" s="491"/>
      <c r="F17" s="491"/>
      <c r="G17" s="491"/>
      <c r="H17" s="491"/>
      <c r="I17" s="491"/>
      <c r="J17" s="491"/>
      <c r="K17" s="491"/>
      <c r="L17" s="491"/>
      <c r="M17" s="491"/>
      <c r="N17" s="491"/>
      <c r="O17" s="491"/>
    </row>
    <row r="18" spans="2:15" ht="35.1" customHeight="1">
      <c r="B18" s="490" t="s">
        <v>2</v>
      </c>
      <c r="C18" s="491"/>
      <c r="D18" s="491"/>
      <c r="E18" s="491"/>
      <c r="F18" s="491"/>
      <c r="G18" s="491"/>
      <c r="H18" s="491"/>
      <c r="I18" s="491"/>
      <c r="J18" s="491"/>
      <c r="K18" s="491"/>
      <c r="L18" s="491"/>
      <c r="M18" s="491"/>
      <c r="N18" s="491"/>
      <c r="O18" s="491"/>
    </row>
    <row r="19" spans="2:15" ht="15">
      <c r="B19" s="27"/>
      <c r="C19" s="28"/>
      <c r="D19" s="28"/>
      <c r="E19" s="28"/>
      <c r="F19" s="28"/>
      <c r="G19" s="28"/>
      <c r="H19" s="28"/>
      <c r="I19" s="28"/>
      <c r="J19" s="28"/>
      <c r="K19" s="28"/>
      <c r="L19" s="28"/>
      <c r="M19" s="28"/>
      <c r="N19" s="28"/>
      <c r="O19" s="28"/>
    </row>
    <row r="20" spans="2:15" ht="15">
      <c r="B20" s="27"/>
      <c r="C20" s="28"/>
      <c r="D20" s="28"/>
      <c r="E20" s="28"/>
      <c r="F20" s="28"/>
      <c r="G20" s="28"/>
      <c r="H20" s="28"/>
      <c r="I20" s="28"/>
      <c r="J20" s="28"/>
      <c r="K20" s="28"/>
      <c r="L20" s="28"/>
      <c r="M20" s="28"/>
      <c r="N20" s="28"/>
      <c r="O20" s="28"/>
    </row>
    <row r="21" spans="2:15" ht="15">
      <c r="B21" s="27"/>
      <c r="C21" s="28"/>
      <c r="D21" s="28"/>
      <c r="E21" s="28"/>
      <c r="F21" s="28"/>
      <c r="G21" s="28"/>
      <c r="H21" s="28"/>
      <c r="I21" s="28"/>
      <c r="J21" s="28"/>
      <c r="K21" s="28"/>
      <c r="L21" s="28"/>
      <c r="M21" s="28"/>
      <c r="N21" s="28"/>
      <c r="O21" s="28"/>
    </row>
    <row r="22" spans="2:15" ht="15">
      <c r="B22" s="27"/>
      <c r="C22" s="28"/>
      <c r="D22" s="28"/>
      <c r="E22" s="28"/>
      <c r="F22" s="28"/>
      <c r="G22" s="28"/>
      <c r="H22" s="28"/>
      <c r="I22" s="28"/>
      <c r="J22" s="28"/>
      <c r="K22" s="28"/>
      <c r="L22" s="28"/>
      <c r="M22" s="28"/>
      <c r="N22" s="28"/>
      <c r="O22" s="28"/>
    </row>
    <row r="23" spans="2:15" ht="15">
      <c r="B23" s="27"/>
      <c r="C23" s="28"/>
      <c r="D23" s="28"/>
      <c r="E23" s="28"/>
      <c r="F23" s="28"/>
      <c r="G23" s="28"/>
      <c r="H23" s="28"/>
      <c r="I23" s="28"/>
      <c r="J23" s="28"/>
      <c r="K23" s="28"/>
      <c r="L23" s="28"/>
      <c r="M23" s="28"/>
      <c r="N23" s="28"/>
      <c r="O23" s="28"/>
    </row>
    <row r="24" spans="2:15" ht="15">
      <c r="B24" s="27"/>
      <c r="C24" s="28"/>
      <c r="D24" s="28"/>
      <c r="E24" s="28"/>
      <c r="F24" s="28"/>
      <c r="G24" s="28"/>
      <c r="H24" s="28"/>
      <c r="I24" s="28"/>
      <c r="J24" s="28"/>
      <c r="K24" s="28"/>
      <c r="L24" s="28"/>
      <c r="M24" s="28"/>
      <c r="N24" s="28"/>
      <c r="O24" s="28"/>
    </row>
    <row r="25" spans="2:15" ht="15">
      <c r="B25" s="27"/>
      <c r="C25" s="28"/>
      <c r="D25" s="28"/>
      <c r="E25" s="28"/>
      <c r="F25" s="28"/>
      <c r="G25" s="28"/>
      <c r="H25" s="28"/>
      <c r="I25" s="28"/>
      <c r="J25" s="28"/>
      <c r="K25" s="28"/>
      <c r="L25" s="28"/>
      <c r="M25" s="28"/>
      <c r="N25" s="28"/>
      <c r="O25" s="28"/>
    </row>
    <row r="26" spans="2:15" ht="15">
      <c r="B26" s="27"/>
      <c r="C26" s="28"/>
      <c r="D26" s="28"/>
      <c r="E26" s="28"/>
      <c r="F26" s="28"/>
      <c r="G26" s="28"/>
      <c r="H26" s="28"/>
      <c r="I26" s="28"/>
      <c r="J26" s="28"/>
      <c r="K26" s="28"/>
      <c r="L26" s="28"/>
      <c r="M26" s="28"/>
      <c r="N26" s="28"/>
      <c r="O26" s="28"/>
    </row>
    <row r="27" spans="2:15" ht="15.75" thickBot="1">
      <c r="B27" s="27"/>
      <c r="C27" s="28"/>
      <c r="D27" s="28"/>
      <c r="E27" s="28"/>
      <c r="F27" s="28"/>
      <c r="G27" s="28"/>
      <c r="H27" s="28"/>
      <c r="I27" s="28"/>
      <c r="J27" s="28"/>
      <c r="K27" s="28"/>
      <c r="L27" s="28"/>
      <c r="M27" s="28"/>
      <c r="N27" s="28"/>
      <c r="O27" s="28"/>
    </row>
    <row r="28" spans="2:15" ht="35.1" customHeight="1" thickBot="1">
      <c r="B28" s="492" t="s">
        <v>3</v>
      </c>
      <c r="C28" s="493"/>
      <c r="D28" s="493"/>
      <c r="E28" s="493"/>
      <c r="F28" s="493"/>
      <c r="G28" s="493"/>
      <c r="H28" s="493"/>
      <c r="I28" s="493"/>
      <c r="J28" s="493"/>
      <c r="K28" s="493"/>
      <c r="L28" s="493"/>
      <c r="M28" s="493"/>
      <c r="N28" s="493"/>
      <c r="O28" s="494"/>
    </row>
    <row r="29" spans="2:15" ht="15">
      <c r="B29" s="27"/>
      <c r="C29" s="28"/>
      <c r="D29" s="28"/>
      <c r="E29" s="28"/>
      <c r="F29" s="28"/>
      <c r="G29" s="28"/>
      <c r="H29" s="28"/>
      <c r="I29" s="28"/>
      <c r="J29" s="28"/>
      <c r="K29" s="28"/>
      <c r="L29" s="28"/>
      <c r="M29" s="28"/>
      <c r="N29" s="28"/>
      <c r="O29" s="28"/>
    </row>
    <row r="30" spans="2:15">
      <c r="B30" s="4"/>
      <c r="C30" s="4"/>
      <c r="D30" s="4"/>
      <c r="E30" s="4"/>
      <c r="F30" s="4"/>
      <c r="G30" s="5"/>
      <c r="H30" s="5"/>
      <c r="I30" s="1"/>
    </row>
    <row r="31" spans="2:15">
      <c r="G31" s="1"/>
      <c r="H31" s="6"/>
      <c r="I31" s="1"/>
    </row>
    <row r="32" spans="2:15">
      <c r="B32" s="495" t="s">
        <v>4</v>
      </c>
      <c r="C32" s="495"/>
      <c r="D32" s="495"/>
      <c r="E32" s="495"/>
      <c r="F32" s="495"/>
      <c r="G32" s="495"/>
      <c r="H32" s="495"/>
      <c r="I32" s="495"/>
      <c r="J32" s="495"/>
      <c r="K32" s="495"/>
      <c r="L32" s="495"/>
      <c r="M32" s="495"/>
      <c r="N32" s="495"/>
      <c r="O32" s="495"/>
    </row>
    <row r="33" spans="2:15">
      <c r="B33" s="495"/>
      <c r="C33" s="495"/>
      <c r="D33" s="495"/>
      <c r="E33" s="495"/>
      <c r="F33" s="495"/>
      <c r="G33" s="495"/>
      <c r="H33" s="495"/>
      <c r="I33" s="495"/>
      <c r="J33" s="495"/>
      <c r="K33" s="495"/>
      <c r="L33" s="495"/>
      <c r="M33" s="495"/>
      <c r="N33" s="495"/>
      <c r="O33" s="495"/>
    </row>
    <row r="34" spans="2:15">
      <c r="B34" s="496" t="s">
        <v>5</v>
      </c>
      <c r="C34" s="496"/>
      <c r="D34" s="496"/>
      <c r="E34" s="496"/>
      <c r="F34" s="496"/>
      <c r="G34" s="496"/>
      <c r="H34" s="496" t="s">
        <v>6</v>
      </c>
      <c r="I34" s="496"/>
      <c r="J34" s="496"/>
      <c r="K34" s="496"/>
      <c r="L34" s="496"/>
      <c r="M34" s="496"/>
      <c r="N34" s="496"/>
      <c r="O34" s="496"/>
    </row>
    <row r="35" spans="2:15">
      <c r="B35" s="496"/>
      <c r="C35" s="496"/>
      <c r="D35" s="496"/>
      <c r="E35" s="496"/>
      <c r="F35" s="496"/>
      <c r="G35" s="496"/>
      <c r="H35" s="496"/>
      <c r="I35" s="496"/>
      <c r="J35" s="496"/>
      <c r="K35" s="496"/>
      <c r="L35" s="496"/>
      <c r="M35" s="496"/>
      <c r="N35" s="496"/>
      <c r="O35" s="496"/>
    </row>
    <row r="36" spans="2:15">
      <c r="B36" s="497" t="s">
        <v>7</v>
      </c>
      <c r="C36" s="497"/>
      <c r="D36" s="497"/>
      <c r="E36" s="497"/>
      <c r="F36" s="497"/>
      <c r="G36" s="497"/>
      <c r="H36" s="498" t="s">
        <v>8</v>
      </c>
      <c r="I36" s="499"/>
      <c r="J36" s="499"/>
      <c r="K36" s="499"/>
      <c r="L36" s="499"/>
      <c r="M36" s="499"/>
      <c r="N36" s="499"/>
      <c r="O36" s="499"/>
    </row>
    <row r="37" spans="2:15">
      <c r="B37" s="497"/>
      <c r="C37" s="497"/>
      <c r="D37" s="497"/>
      <c r="E37" s="497"/>
      <c r="F37" s="497"/>
      <c r="G37" s="497"/>
      <c r="H37" s="499"/>
      <c r="I37" s="499"/>
      <c r="J37" s="499"/>
      <c r="K37" s="499"/>
      <c r="L37" s="499"/>
      <c r="M37" s="499"/>
      <c r="N37" s="499"/>
      <c r="O37" s="499"/>
    </row>
    <row r="38" spans="2:15">
      <c r="B38" s="500" t="s">
        <v>9</v>
      </c>
      <c r="C38" s="500"/>
      <c r="D38" s="500"/>
      <c r="E38" s="500"/>
      <c r="F38" s="500"/>
      <c r="G38" s="500"/>
      <c r="H38" s="501" t="s">
        <v>8</v>
      </c>
      <c r="I38" s="502"/>
      <c r="J38" s="502"/>
      <c r="K38" s="502"/>
      <c r="L38" s="502"/>
      <c r="M38" s="502"/>
      <c r="N38" s="502"/>
      <c r="O38" s="502"/>
    </row>
    <row r="39" spans="2:15">
      <c r="B39" s="500"/>
      <c r="C39" s="500"/>
      <c r="D39" s="500"/>
      <c r="E39" s="500"/>
      <c r="F39" s="500"/>
      <c r="G39" s="500"/>
      <c r="H39" s="502"/>
      <c r="I39" s="502"/>
      <c r="J39" s="502"/>
      <c r="K39" s="502"/>
      <c r="L39" s="502"/>
      <c r="M39" s="502"/>
      <c r="N39" s="502"/>
      <c r="O39" s="502"/>
    </row>
    <row r="40" spans="2:15">
      <c r="B40" s="497" t="s">
        <v>10</v>
      </c>
      <c r="C40" s="497"/>
      <c r="D40" s="497"/>
      <c r="E40" s="497"/>
      <c r="F40" s="497"/>
      <c r="G40" s="497"/>
      <c r="H40" s="503" t="s">
        <v>8</v>
      </c>
      <c r="I40" s="504"/>
      <c r="J40" s="504"/>
      <c r="K40" s="504"/>
      <c r="L40" s="504"/>
      <c r="M40" s="504"/>
      <c r="N40" s="504"/>
      <c r="O40" s="504"/>
    </row>
    <row r="41" spans="2:15">
      <c r="B41" s="497"/>
      <c r="C41" s="497"/>
      <c r="D41" s="497"/>
      <c r="E41" s="497"/>
      <c r="F41" s="497"/>
      <c r="G41" s="497"/>
      <c r="H41" s="504"/>
      <c r="I41" s="504"/>
      <c r="J41" s="504"/>
      <c r="K41" s="504"/>
      <c r="L41" s="504"/>
      <c r="M41" s="504"/>
      <c r="N41" s="504"/>
      <c r="O41" s="504"/>
    </row>
    <row r="42" spans="2:15">
      <c r="B42" s="1"/>
      <c r="C42" s="1"/>
      <c r="D42" s="1"/>
      <c r="E42" s="1"/>
      <c r="F42" s="1"/>
      <c r="G42" s="1"/>
      <c r="H42" s="1"/>
      <c r="I42" s="1"/>
      <c r="J42" s="1"/>
      <c r="K42" s="1"/>
      <c r="L42" s="1"/>
      <c r="M42" s="1"/>
      <c r="N42" s="1"/>
      <c r="O42" s="1"/>
    </row>
    <row r="43" spans="2:15">
      <c r="B43" s="1"/>
      <c r="C43" s="1"/>
      <c r="D43" s="1"/>
      <c r="E43" s="1"/>
      <c r="F43" s="1"/>
      <c r="G43" s="1"/>
      <c r="H43" s="1"/>
      <c r="I43" s="1"/>
      <c r="J43" s="1"/>
      <c r="K43" s="1"/>
      <c r="L43" s="1"/>
      <c r="M43" s="1"/>
      <c r="N43" s="1"/>
      <c r="O43" s="1"/>
    </row>
    <row r="44" spans="2:15">
      <c r="B44" s="6"/>
      <c r="C44" s="7"/>
      <c r="D44" s="8"/>
      <c r="E44" s="9"/>
      <c r="F44" s="9"/>
      <c r="G44" s="1"/>
      <c r="H44" s="1"/>
      <c r="I44" s="1"/>
    </row>
    <row r="45" spans="2:15">
      <c r="I45" s="1"/>
    </row>
    <row r="46" spans="2:15">
      <c r="B46" s="495" t="s">
        <v>11</v>
      </c>
      <c r="C46" s="495"/>
      <c r="D46" s="495"/>
      <c r="E46" s="495"/>
      <c r="F46" s="495"/>
      <c r="G46" s="495"/>
      <c r="H46" s="495"/>
      <c r="I46" s="495"/>
      <c r="J46" s="495"/>
      <c r="K46" s="495"/>
      <c r="L46" s="495"/>
      <c r="M46" s="495"/>
      <c r="N46" s="495"/>
      <c r="O46" s="495"/>
    </row>
    <row r="47" spans="2:15" ht="12" customHeight="1">
      <c r="B47" s="495"/>
      <c r="C47" s="495"/>
      <c r="D47" s="495"/>
      <c r="E47" s="495"/>
      <c r="F47" s="495"/>
      <c r="G47" s="495"/>
      <c r="H47" s="495"/>
      <c r="I47" s="495"/>
      <c r="J47" s="495"/>
      <c r="K47" s="495"/>
      <c r="L47" s="495"/>
      <c r="M47" s="495"/>
      <c r="N47" s="495"/>
      <c r="O47" s="495"/>
    </row>
    <row r="48" spans="2:15" ht="11.25" customHeight="1">
      <c r="B48" s="496" t="s">
        <v>5</v>
      </c>
      <c r="C48" s="496"/>
      <c r="D48" s="496" t="s">
        <v>12</v>
      </c>
      <c r="E48" s="496"/>
      <c r="F48" s="496"/>
      <c r="G48" s="496" t="s">
        <v>13</v>
      </c>
      <c r="H48" s="496" t="s">
        <v>14</v>
      </c>
      <c r="I48" s="496" t="s">
        <v>15</v>
      </c>
      <c r="J48" s="496" t="s">
        <v>16</v>
      </c>
      <c r="K48" s="496"/>
      <c r="L48" s="496" t="s">
        <v>6</v>
      </c>
      <c r="M48" s="496"/>
      <c r="N48" s="496"/>
      <c r="O48" s="496"/>
    </row>
    <row r="49" spans="2:15" ht="11.25" customHeight="1">
      <c r="B49" s="496"/>
      <c r="C49" s="496"/>
      <c r="D49" s="496"/>
      <c r="E49" s="496"/>
      <c r="F49" s="496"/>
      <c r="G49" s="496"/>
      <c r="H49" s="496"/>
      <c r="I49" s="496"/>
      <c r="J49" s="496"/>
      <c r="K49" s="496"/>
      <c r="L49" s="496"/>
      <c r="M49" s="496"/>
      <c r="N49" s="496"/>
      <c r="O49" s="496"/>
    </row>
    <row r="50" spans="2:15" ht="11.25" customHeight="1">
      <c r="B50" s="497" t="s">
        <v>17</v>
      </c>
      <c r="C50" s="497"/>
      <c r="D50" s="499" t="s">
        <v>18</v>
      </c>
      <c r="E50" s="499"/>
      <c r="F50" s="499"/>
      <c r="G50" s="504">
        <v>8011</v>
      </c>
      <c r="H50" s="504" t="s">
        <v>19</v>
      </c>
      <c r="I50" s="504" t="s">
        <v>19</v>
      </c>
      <c r="J50" s="504" t="s">
        <v>20</v>
      </c>
      <c r="K50" s="504"/>
      <c r="L50" s="503" t="s">
        <v>21</v>
      </c>
      <c r="M50" s="503"/>
      <c r="N50" s="503"/>
      <c r="O50" s="503"/>
    </row>
    <row r="51" spans="2:15">
      <c r="B51" s="497"/>
      <c r="C51" s="497"/>
      <c r="D51" s="499"/>
      <c r="E51" s="499"/>
      <c r="F51" s="499"/>
      <c r="G51" s="504"/>
      <c r="H51" s="504"/>
      <c r="I51" s="504"/>
      <c r="J51" s="504"/>
      <c r="K51" s="504"/>
      <c r="L51" s="503"/>
      <c r="M51" s="503"/>
      <c r="N51" s="503"/>
      <c r="O51" s="503"/>
    </row>
    <row r="52" spans="2:15">
      <c r="B52" s="500" t="s">
        <v>22</v>
      </c>
      <c r="C52" s="500"/>
      <c r="D52" s="505" t="s">
        <v>23</v>
      </c>
      <c r="E52" s="505"/>
      <c r="F52" s="505"/>
      <c r="G52" s="502">
        <v>46023</v>
      </c>
      <c r="H52" s="502" t="s">
        <v>24</v>
      </c>
      <c r="I52" s="502" t="s">
        <v>24</v>
      </c>
      <c r="J52" s="502" t="s">
        <v>25</v>
      </c>
      <c r="K52" s="502"/>
      <c r="L52" s="501" t="s">
        <v>26</v>
      </c>
      <c r="M52" s="501"/>
      <c r="N52" s="501"/>
      <c r="O52" s="501"/>
    </row>
    <row r="53" spans="2:15">
      <c r="B53" s="500"/>
      <c r="C53" s="500"/>
      <c r="D53" s="505"/>
      <c r="E53" s="505"/>
      <c r="F53" s="505"/>
      <c r="G53" s="502"/>
      <c r="H53" s="502"/>
      <c r="I53" s="502"/>
      <c r="J53" s="502"/>
      <c r="K53" s="502"/>
      <c r="L53" s="501"/>
      <c r="M53" s="501"/>
      <c r="N53" s="501"/>
      <c r="O53" s="501"/>
    </row>
    <row r="54" spans="2:15">
      <c r="B54" s="497" t="s">
        <v>27</v>
      </c>
      <c r="C54" s="497"/>
      <c r="D54" s="499" t="s">
        <v>28</v>
      </c>
      <c r="E54" s="499"/>
      <c r="F54" s="499"/>
      <c r="G54" s="504">
        <v>11370</v>
      </c>
      <c r="H54" s="504" t="s">
        <v>29</v>
      </c>
      <c r="I54" s="504" t="s">
        <v>30</v>
      </c>
      <c r="J54" s="504" t="s">
        <v>31</v>
      </c>
      <c r="K54" s="504"/>
      <c r="L54" s="503" t="s">
        <v>32</v>
      </c>
      <c r="M54" s="503"/>
      <c r="N54" s="503"/>
      <c r="O54" s="503"/>
    </row>
    <row r="55" spans="2:15">
      <c r="B55" s="497"/>
      <c r="C55" s="497"/>
      <c r="D55" s="499"/>
      <c r="E55" s="499"/>
      <c r="F55" s="499"/>
      <c r="G55" s="504"/>
      <c r="H55" s="504"/>
      <c r="I55" s="504"/>
      <c r="J55" s="504"/>
      <c r="K55" s="504"/>
      <c r="L55" s="503"/>
      <c r="M55" s="503"/>
      <c r="N55" s="503"/>
      <c r="O55" s="503"/>
    </row>
    <row r="56" spans="2:15">
      <c r="B56" s="500" t="s">
        <v>33</v>
      </c>
      <c r="C56" s="500"/>
      <c r="D56" s="505" t="s">
        <v>34</v>
      </c>
      <c r="E56" s="505"/>
      <c r="F56" s="505"/>
      <c r="G56" s="502">
        <v>28010</v>
      </c>
      <c r="H56" s="502" t="s">
        <v>35</v>
      </c>
      <c r="I56" s="502" t="s">
        <v>35</v>
      </c>
      <c r="J56" s="502" t="s">
        <v>36</v>
      </c>
      <c r="K56" s="502"/>
      <c r="L56" s="501" t="s">
        <v>37</v>
      </c>
      <c r="M56" s="501"/>
      <c r="N56" s="501"/>
      <c r="O56" s="501"/>
    </row>
    <row r="57" spans="2:15" ht="11.25" customHeight="1">
      <c r="B57" s="500"/>
      <c r="C57" s="500"/>
      <c r="D57" s="505"/>
      <c r="E57" s="505"/>
      <c r="F57" s="505"/>
      <c r="G57" s="502"/>
      <c r="H57" s="502"/>
      <c r="I57" s="502"/>
      <c r="J57" s="502"/>
      <c r="K57" s="502"/>
      <c r="L57" s="501"/>
      <c r="M57" s="501"/>
      <c r="N57" s="501"/>
      <c r="O57" s="501"/>
    </row>
    <row r="58" spans="2:15" ht="11.25" customHeight="1">
      <c r="B58" s="497" t="s">
        <v>38</v>
      </c>
      <c r="C58" s="497"/>
      <c r="D58" s="499" t="s">
        <v>18</v>
      </c>
      <c r="E58" s="499"/>
      <c r="F58" s="499"/>
      <c r="G58" s="504">
        <v>8011</v>
      </c>
      <c r="H58" s="504" t="s">
        <v>19</v>
      </c>
      <c r="I58" s="504" t="s">
        <v>19</v>
      </c>
      <c r="J58" s="504" t="s">
        <v>20</v>
      </c>
      <c r="K58" s="504"/>
      <c r="L58" s="503" t="s">
        <v>21</v>
      </c>
      <c r="M58" s="503"/>
      <c r="N58" s="503"/>
      <c r="O58" s="503"/>
    </row>
    <row r="59" spans="2:15" ht="11.25" customHeight="1">
      <c r="B59" s="497"/>
      <c r="C59" s="497"/>
      <c r="D59" s="499"/>
      <c r="E59" s="499"/>
      <c r="F59" s="499"/>
      <c r="G59" s="504"/>
      <c r="H59" s="504"/>
      <c r="I59" s="504"/>
      <c r="J59" s="504"/>
      <c r="K59" s="504"/>
      <c r="L59" s="503"/>
      <c r="M59" s="503"/>
      <c r="N59" s="503"/>
      <c r="O59" s="503"/>
    </row>
  </sheetData>
  <mergeCells count="56">
    <mergeCell ref="J56:K57"/>
    <mergeCell ref="L56:O57"/>
    <mergeCell ref="B58:C59"/>
    <mergeCell ref="D58:F59"/>
    <mergeCell ref="G58:G59"/>
    <mergeCell ref="H58:H59"/>
    <mergeCell ref="I58:I59"/>
    <mergeCell ref="J58:K59"/>
    <mergeCell ref="L58:O59"/>
    <mergeCell ref="B56:C57"/>
    <mergeCell ref="D56:F57"/>
    <mergeCell ref="G56:G57"/>
    <mergeCell ref="H56:H57"/>
    <mergeCell ref="I56:I57"/>
    <mergeCell ref="J52:K53"/>
    <mergeCell ref="L52:O53"/>
    <mergeCell ref="B54:C55"/>
    <mergeCell ref="D54:F55"/>
    <mergeCell ref="G54:G55"/>
    <mergeCell ref="H54:H55"/>
    <mergeCell ref="I54:I55"/>
    <mergeCell ref="J54:K55"/>
    <mergeCell ref="L54:O55"/>
    <mergeCell ref="B52:C53"/>
    <mergeCell ref="D52:F53"/>
    <mergeCell ref="G52:G53"/>
    <mergeCell ref="H52:H53"/>
    <mergeCell ref="I52:I53"/>
    <mergeCell ref="J50:K51"/>
    <mergeCell ref="L50:O51"/>
    <mergeCell ref="B48:C49"/>
    <mergeCell ref="D48:F49"/>
    <mergeCell ref="G48:G49"/>
    <mergeCell ref="H48:H49"/>
    <mergeCell ref="I48:I49"/>
    <mergeCell ref="B50:C51"/>
    <mergeCell ref="D50:F51"/>
    <mergeCell ref="G50:G51"/>
    <mergeCell ref="H50:H51"/>
    <mergeCell ref="I50:I51"/>
    <mergeCell ref="B40:G41"/>
    <mergeCell ref="H40:O41"/>
    <mergeCell ref="B46:O47"/>
    <mergeCell ref="J48:K49"/>
    <mergeCell ref="L48:O49"/>
    <mergeCell ref="B34:G35"/>
    <mergeCell ref="H34:O35"/>
    <mergeCell ref="B36:G37"/>
    <mergeCell ref="H36:O37"/>
    <mergeCell ref="B38:G39"/>
    <mergeCell ref="H38:O39"/>
    <mergeCell ref="B15:P15"/>
    <mergeCell ref="B17:O17"/>
    <mergeCell ref="B18:O18"/>
    <mergeCell ref="B28:O28"/>
    <mergeCell ref="B32:O33"/>
  </mergeCells>
  <hyperlinks>
    <hyperlink ref="L50" r:id="rId1" xr:uid="{00000000-0004-0000-0000-000000000000}"/>
    <hyperlink ref="L52" r:id="rId2" xr:uid="{00000000-0004-0000-0000-000001000000}"/>
    <hyperlink ref="L54" r:id="rId3" xr:uid="{00000000-0004-0000-0000-000002000000}"/>
    <hyperlink ref="L56" r:id="rId4" xr:uid="{00000000-0004-0000-0000-000003000000}"/>
    <hyperlink ref="L58" r:id="rId5" xr:uid="{00000000-0004-0000-0000-000004000000}"/>
    <hyperlink ref="H36" r:id="rId6" xr:uid="{00000000-0004-0000-0000-000005000000}"/>
    <hyperlink ref="H38" r:id="rId7" xr:uid="{00000000-0004-0000-0000-000006000000}"/>
    <hyperlink ref="H40" r:id="rId8" xr:uid="{00000000-0004-0000-0000-000007000000}"/>
  </hyperlinks>
  <pageMargins left="0.7" right="0.7" top="0.75" bottom="0.75" header="0.3" footer="0.3"/>
  <pageSetup paperSize="9" orientation="portrait" horizontalDpi="300" verticalDpi="300"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66AE2-26B5-4657-B282-44B83D613C77}">
  <sheetPr>
    <tabColor theme="8" tint="0.59999389629810485"/>
  </sheetPr>
  <dimension ref="A1:CF170"/>
  <sheetViews>
    <sheetView showGridLines="0" topLeftCell="B1" zoomScaleNormal="100" workbookViewId="0">
      <selection activeCell="AE79" sqref="AE79"/>
    </sheetView>
  </sheetViews>
  <sheetFormatPr baseColWidth="10" defaultColWidth="11.42578125" defaultRowHeight="11.25"/>
  <cols>
    <col min="1" max="1" width="4.7109375" style="2" customWidth="1"/>
    <col min="2" max="2" width="16.5703125" style="10" customWidth="1"/>
    <col min="3" max="3" width="8.5703125" style="10" customWidth="1"/>
    <col min="4" max="4" width="18.7109375" style="10" customWidth="1"/>
    <col min="5" max="5" width="10.28515625" style="10" bestFit="1" customWidth="1"/>
    <col min="6" max="6" width="0.42578125" style="10" customWidth="1"/>
    <col min="7" max="7" width="8.5703125" style="10" customWidth="1"/>
    <col min="8" max="8" width="8.5703125" style="10" bestFit="1" customWidth="1"/>
    <col min="9" max="11" width="8.85546875" style="10" bestFit="1" customWidth="1"/>
    <col min="12" max="12" width="0.42578125" style="93" customWidth="1"/>
    <col min="13" max="13" width="8.28515625" style="10" bestFit="1" customWidth="1"/>
    <col min="14" max="14" width="11.85546875" style="10" customWidth="1"/>
    <col min="15" max="15" width="8.85546875" style="10" customWidth="1"/>
    <col min="16" max="16" width="8" style="10" bestFit="1" customWidth="1"/>
    <col min="17" max="17" width="10.42578125" style="10" customWidth="1"/>
    <col min="18" max="18" width="0.42578125" style="93" customWidth="1"/>
    <col min="19" max="19" width="9.5703125" style="10" bestFit="1" customWidth="1"/>
    <col min="20" max="20" width="12.5703125" style="10" bestFit="1" customWidth="1"/>
    <col min="21" max="21" width="8.85546875" style="10" bestFit="1" customWidth="1"/>
    <col min="22" max="23" width="8.28515625" style="10" bestFit="1" customWidth="1"/>
    <col min="24" max="24" width="0.42578125" style="93" customWidth="1"/>
    <col min="25" max="25" width="8.85546875" style="10" customWidth="1"/>
    <col min="26" max="27" width="8.85546875" style="3" customWidth="1"/>
    <col min="28" max="28" width="8.28515625" style="3" bestFit="1" customWidth="1"/>
    <col min="29" max="29" width="7.28515625" style="3" bestFit="1" customWidth="1"/>
    <col min="30" max="30" width="0.28515625" style="3" customWidth="1"/>
    <col min="31" max="31" width="27.85546875" style="10" bestFit="1" customWidth="1"/>
    <col min="32" max="32" width="31" style="3" bestFit="1" customWidth="1"/>
    <col min="33" max="84" width="11.42578125" style="3"/>
    <col min="85" max="16384" width="11.42578125" style="19"/>
  </cols>
  <sheetData>
    <row r="1" spans="2:32">
      <c r="AD1" s="71"/>
    </row>
    <row r="2" spans="2:32" ht="16.5" customHeight="1">
      <c r="Y2" s="12"/>
      <c r="Z2" s="12"/>
      <c r="AA2" s="12"/>
      <c r="AB2" s="12"/>
      <c r="AC2" s="12"/>
      <c r="AD2" s="17"/>
      <c r="AE2" s="12"/>
      <c r="AF2" s="12"/>
    </row>
    <row r="3" spans="2:32" s="12" customFormat="1" ht="16.5" customHeight="1">
      <c r="B3" s="507" t="s">
        <v>39</v>
      </c>
      <c r="C3" s="508"/>
      <c r="D3" s="508"/>
      <c r="E3" s="508"/>
      <c r="F3" s="508"/>
      <c r="G3" s="508"/>
      <c r="H3" s="508"/>
      <c r="I3" s="508"/>
      <c r="J3" s="508"/>
      <c r="K3" s="509"/>
      <c r="L3" s="13"/>
      <c r="M3" s="13"/>
      <c r="N3" s="13"/>
      <c r="AD3" s="17"/>
    </row>
    <row r="4" spans="2:32" s="12" customFormat="1" ht="12">
      <c r="B4" s="167" t="s">
        <v>40</v>
      </c>
      <c r="C4" s="168"/>
      <c r="D4" s="475" t="s">
        <v>41</v>
      </c>
      <c r="E4" s="475"/>
      <c r="F4" s="475"/>
      <c r="G4" s="475"/>
      <c r="H4" s="475"/>
      <c r="I4" s="475"/>
      <c r="J4" s="475"/>
      <c r="K4" s="476"/>
      <c r="L4" s="13"/>
      <c r="M4" s="13"/>
      <c r="N4" s="13"/>
      <c r="AD4" s="17"/>
    </row>
    <row r="5" spans="2:32" s="12" customFormat="1" ht="25.15" customHeight="1">
      <c r="B5" s="170" t="s">
        <v>42</v>
      </c>
      <c r="C5" s="171"/>
      <c r="D5" s="510" t="s">
        <v>43</v>
      </c>
      <c r="E5" s="510"/>
      <c r="F5" s="510"/>
      <c r="G5" s="510"/>
      <c r="H5" s="510"/>
      <c r="I5" s="510"/>
      <c r="J5" s="510"/>
      <c r="K5" s="511"/>
      <c r="L5" s="13"/>
      <c r="M5" s="13"/>
      <c r="N5" s="13"/>
      <c r="AD5" s="17"/>
    </row>
    <row r="6" spans="2:32" s="12" customFormat="1" ht="16.5" customHeight="1">
      <c r="B6" s="23" t="s">
        <v>44</v>
      </c>
      <c r="C6" s="23"/>
      <c r="D6" s="14"/>
      <c r="E6" s="14"/>
      <c r="F6" s="22"/>
      <c r="G6" s="15"/>
      <c r="H6" s="15"/>
      <c r="I6" s="15"/>
      <c r="J6" s="13"/>
      <c r="K6" s="13"/>
      <c r="L6" s="93"/>
      <c r="M6" s="13"/>
      <c r="N6" s="13"/>
      <c r="AD6" s="17"/>
    </row>
    <row r="7" spans="2:32" s="12" customFormat="1" ht="16.5" customHeight="1">
      <c r="B7" s="31"/>
      <c r="C7" s="31"/>
      <c r="D7" s="31"/>
      <c r="E7" s="31"/>
      <c r="F7" s="32"/>
      <c r="G7" s="33"/>
      <c r="H7" s="15"/>
      <c r="I7" s="15"/>
      <c r="J7" s="13"/>
      <c r="K7" s="13"/>
      <c r="L7" s="93"/>
      <c r="M7" s="13"/>
      <c r="N7" s="31" t="s">
        <v>45</v>
      </c>
      <c r="O7" s="89"/>
      <c r="P7" s="89"/>
      <c r="Q7" s="89"/>
      <c r="R7" s="89"/>
      <c r="S7" s="89"/>
      <c r="T7" s="89"/>
      <c r="U7" s="89"/>
      <c r="V7" s="89"/>
      <c r="W7" s="89"/>
      <c r="AD7" s="17"/>
    </row>
    <row r="8" spans="2:32" s="12" customFormat="1" ht="16.5" customHeight="1">
      <c r="B8" s="34"/>
      <c r="C8" s="34"/>
      <c r="D8" s="35"/>
      <c r="E8" s="35"/>
      <c r="F8" s="22"/>
      <c r="G8" s="35"/>
      <c r="H8" s="35"/>
      <c r="I8" s="35"/>
      <c r="J8" s="13"/>
      <c r="K8" s="13"/>
      <c r="L8" s="93"/>
      <c r="M8" s="13"/>
      <c r="N8" s="90"/>
      <c r="O8" s="89"/>
      <c r="P8" s="89"/>
      <c r="Q8" s="89"/>
      <c r="R8" s="89"/>
      <c r="S8" s="89"/>
      <c r="T8" s="89"/>
      <c r="U8" s="89"/>
      <c r="V8" s="89"/>
      <c r="W8" s="89"/>
      <c r="AD8" s="17"/>
    </row>
    <row r="9" spans="2:32" s="12" customFormat="1" ht="16.5" customHeight="1">
      <c r="B9" s="30"/>
      <c r="C9" s="30"/>
      <c r="D9" s="36"/>
      <c r="E9" s="22"/>
      <c r="F9" s="22"/>
      <c r="G9" s="37"/>
      <c r="H9" s="38"/>
      <c r="I9" s="38"/>
      <c r="J9" s="172"/>
      <c r="K9" s="172"/>
      <c r="L9" s="93"/>
      <c r="M9" s="13"/>
      <c r="N9" s="91" t="s">
        <v>46</v>
      </c>
      <c r="O9" s="92"/>
      <c r="P9" s="92"/>
      <c r="Q9" s="92"/>
      <c r="R9" s="92"/>
      <c r="S9" s="92"/>
      <c r="T9" s="89"/>
      <c r="U9" s="89"/>
      <c r="V9" s="89"/>
      <c r="W9" s="89"/>
      <c r="AD9" s="17"/>
    </row>
    <row r="10" spans="2:32" s="12" customFormat="1" ht="16.5" customHeight="1">
      <c r="B10" s="30"/>
      <c r="C10" s="30"/>
      <c r="D10" s="36"/>
      <c r="E10" s="22"/>
      <c r="F10" s="21"/>
      <c r="G10" s="37"/>
      <c r="H10" s="38"/>
      <c r="I10" s="38"/>
      <c r="J10" s="172"/>
      <c r="K10" s="172"/>
      <c r="L10" s="93"/>
      <c r="M10" s="13"/>
      <c r="N10" s="91"/>
      <c r="O10" s="92"/>
      <c r="P10" s="92"/>
      <c r="Q10" s="92"/>
      <c r="R10" s="92"/>
      <c r="S10" s="92"/>
      <c r="T10" s="89"/>
      <c r="U10" s="89"/>
      <c r="V10" s="89"/>
      <c r="W10" s="89"/>
      <c r="AD10" s="17"/>
    </row>
    <row r="11" spans="2:32" s="12" customFormat="1" ht="16.5" customHeight="1">
      <c r="B11" s="30"/>
      <c r="C11" s="30"/>
      <c r="D11" s="36"/>
      <c r="E11" s="22"/>
      <c r="F11" s="21"/>
      <c r="G11" s="37"/>
      <c r="H11" s="38"/>
      <c r="I11" s="38"/>
      <c r="J11" s="172"/>
      <c r="K11" s="172"/>
      <c r="L11" s="93"/>
      <c r="M11" s="13"/>
      <c r="N11" s="91" t="s">
        <v>47</v>
      </c>
      <c r="O11" s="92"/>
      <c r="P11" s="92"/>
      <c r="Q11" s="92"/>
      <c r="R11" s="92"/>
      <c r="S11" s="92"/>
      <c r="T11" s="89"/>
      <c r="U11" s="89"/>
      <c r="V11" s="89"/>
      <c r="W11" s="89"/>
      <c r="AD11" s="17"/>
    </row>
    <row r="12" spans="2:32" ht="16.5" customHeight="1">
      <c r="AD12" s="71"/>
    </row>
    <row r="13" spans="2:32">
      <c r="AD13" s="71"/>
    </row>
    <row r="14" spans="2:32">
      <c r="AD14" s="71"/>
    </row>
    <row r="15" spans="2:32">
      <c r="AD15" s="71"/>
    </row>
    <row r="16" spans="2:32" s="12" customFormat="1" ht="25.5">
      <c r="B16" s="477" t="s">
        <v>48</v>
      </c>
      <c r="C16" s="483" t="s">
        <v>49</v>
      </c>
      <c r="D16" s="477" t="s">
        <v>50</v>
      </c>
      <c r="E16" s="483" t="s">
        <v>51</v>
      </c>
      <c r="F16" s="24"/>
      <c r="G16" s="483" t="s">
        <v>52</v>
      </c>
      <c r="H16" s="483"/>
      <c r="I16" s="483"/>
      <c r="J16" s="483"/>
      <c r="K16" s="483"/>
      <c r="L16" s="93"/>
      <c r="M16" s="483" t="s">
        <v>53</v>
      </c>
      <c r="N16" s="483"/>
      <c r="O16" s="483"/>
      <c r="P16" s="483"/>
      <c r="Q16" s="483"/>
      <c r="R16" s="93"/>
      <c r="S16" s="483" t="s">
        <v>54</v>
      </c>
      <c r="T16" s="483"/>
      <c r="U16" s="483"/>
      <c r="V16" s="483"/>
      <c r="W16" s="483"/>
      <c r="X16" s="99"/>
      <c r="Y16" s="483" t="s">
        <v>55</v>
      </c>
      <c r="Z16" s="483"/>
      <c r="AA16" s="483"/>
      <c r="AB16" s="483"/>
      <c r="AC16" s="483"/>
      <c r="AD16" s="81"/>
      <c r="AE16" s="370" t="s">
        <v>56</v>
      </c>
      <c r="AF16" s="370" t="s">
        <v>57</v>
      </c>
    </row>
    <row r="17" spans="2:32" s="95" customFormat="1" ht="12.75">
      <c r="B17" s="477"/>
      <c r="C17" s="483"/>
      <c r="D17" s="477"/>
      <c r="E17" s="483"/>
      <c r="F17" s="24"/>
      <c r="G17" s="94" t="s">
        <v>58</v>
      </c>
      <c r="H17" s="94" t="s">
        <v>59</v>
      </c>
      <c r="I17" s="94" t="s">
        <v>60</v>
      </c>
      <c r="J17" s="94" t="s">
        <v>61</v>
      </c>
      <c r="K17" s="94" t="s">
        <v>62</v>
      </c>
      <c r="L17" s="93"/>
      <c r="M17" s="94" t="s">
        <v>58</v>
      </c>
      <c r="N17" s="94" t="s">
        <v>59</v>
      </c>
      <c r="O17" s="94" t="s">
        <v>60</v>
      </c>
      <c r="P17" s="94" t="s">
        <v>61</v>
      </c>
      <c r="Q17" s="94" t="s">
        <v>62</v>
      </c>
      <c r="R17" s="93"/>
      <c r="S17" s="94" t="s">
        <v>58</v>
      </c>
      <c r="T17" s="94" t="s">
        <v>59</v>
      </c>
      <c r="U17" s="94" t="s">
        <v>60</v>
      </c>
      <c r="V17" s="94" t="s">
        <v>61</v>
      </c>
      <c r="W17" s="94" t="s">
        <v>62</v>
      </c>
      <c r="X17" s="99"/>
      <c r="Y17" s="94" t="s">
        <v>58</v>
      </c>
      <c r="Z17" s="94" t="s">
        <v>59</v>
      </c>
      <c r="AA17" s="94" t="s">
        <v>60</v>
      </c>
      <c r="AB17" s="94" t="s">
        <v>61</v>
      </c>
      <c r="AC17" s="94" t="s">
        <v>62</v>
      </c>
      <c r="AD17" s="81"/>
      <c r="AE17" s="370"/>
      <c r="AF17" s="370"/>
    </row>
    <row r="18" spans="2:32" s="12" customFormat="1" ht="16.5" customHeight="1">
      <c r="B18" s="173" t="s">
        <v>63</v>
      </c>
      <c r="C18" s="173" t="s">
        <v>64</v>
      </c>
      <c r="D18" s="174" t="s">
        <v>65</v>
      </c>
      <c r="E18" s="175" t="s">
        <v>66</v>
      </c>
      <c r="F18" s="93"/>
      <c r="G18" s="176">
        <v>265</v>
      </c>
      <c r="H18" s="176">
        <v>415</v>
      </c>
      <c r="I18" s="176" t="s">
        <v>67</v>
      </c>
      <c r="J18" s="176" t="s">
        <v>68</v>
      </c>
      <c r="K18" s="177">
        <v>57</v>
      </c>
      <c r="L18" s="178"/>
      <c r="M18" s="176">
        <v>265</v>
      </c>
      <c r="N18" s="176">
        <v>415</v>
      </c>
      <c r="O18" s="176" t="s">
        <v>69</v>
      </c>
      <c r="P18" s="176" t="s">
        <v>70</v>
      </c>
      <c r="Q18" s="177">
        <v>35</v>
      </c>
      <c r="R18" s="93"/>
      <c r="S18" s="176">
        <v>265</v>
      </c>
      <c r="T18" s="176">
        <v>415</v>
      </c>
      <c r="U18" s="177" t="s">
        <v>71</v>
      </c>
      <c r="V18" s="177" t="s">
        <v>72</v>
      </c>
      <c r="W18" s="177">
        <v>57</v>
      </c>
      <c r="X18" s="99"/>
      <c r="Y18" s="176">
        <v>545</v>
      </c>
      <c r="Z18" s="176">
        <v>695</v>
      </c>
      <c r="AA18" s="176" t="s">
        <v>69</v>
      </c>
      <c r="AB18" s="176" t="s">
        <v>70</v>
      </c>
      <c r="AC18" s="177">
        <v>38</v>
      </c>
      <c r="AE18" s="177" t="s">
        <v>73</v>
      </c>
      <c r="AF18" s="174"/>
    </row>
    <row r="19" spans="2:32" s="29" customFormat="1" ht="16.5" customHeight="1">
      <c r="B19" s="173" t="s">
        <v>74</v>
      </c>
      <c r="C19" s="173" t="s">
        <v>75</v>
      </c>
      <c r="D19" s="173" t="s">
        <v>76</v>
      </c>
      <c r="E19" s="173" t="s">
        <v>66</v>
      </c>
      <c r="F19" s="93"/>
      <c r="G19" s="179">
        <v>165</v>
      </c>
      <c r="H19" s="179">
        <v>265</v>
      </c>
      <c r="I19" s="176" t="s">
        <v>67</v>
      </c>
      <c r="J19" s="173" t="s">
        <v>77</v>
      </c>
      <c r="K19" s="180">
        <v>74</v>
      </c>
      <c r="L19" s="178"/>
      <c r="M19" s="179">
        <v>165</v>
      </c>
      <c r="N19" s="179">
        <v>265</v>
      </c>
      <c r="O19" s="179" t="s">
        <v>69</v>
      </c>
      <c r="P19" s="173" t="s">
        <v>77</v>
      </c>
      <c r="Q19" s="180">
        <v>52</v>
      </c>
      <c r="R19" s="178"/>
      <c r="S19" s="179" t="s">
        <v>78</v>
      </c>
      <c r="T19" s="179" t="s">
        <v>78</v>
      </c>
      <c r="U19" s="181" t="s">
        <v>78</v>
      </c>
      <c r="V19" s="182" t="s">
        <v>78</v>
      </c>
      <c r="W19" s="183" t="s">
        <v>78</v>
      </c>
      <c r="X19" s="184"/>
      <c r="Y19" s="179">
        <v>445</v>
      </c>
      <c r="Z19" s="179">
        <v>545</v>
      </c>
      <c r="AA19" s="179" t="s">
        <v>69</v>
      </c>
      <c r="AB19" s="173" t="s">
        <v>77</v>
      </c>
      <c r="AC19" s="180">
        <v>55</v>
      </c>
      <c r="AE19" s="174" t="s">
        <v>73</v>
      </c>
      <c r="AF19" s="185"/>
    </row>
    <row r="20" spans="2:32" s="12" customFormat="1" ht="16.5" customHeight="1">
      <c r="B20" s="173" t="s">
        <v>79</v>
      </c>
      <c r="C20" s="173" t="s">
        <v>80</v>
      </c>
      <c r="D20" s="174" t="s">
        <v>76</v>
      </c>
      <c r="E20" s="175" t="s">
        <v>66</v>
      </c>
      <c r="F20" s="93"/>
      <c r="G20" s="179">
        <v>115</v>
      </c>
      <c r="H20" s="179">
        <v>215</v>
      </c>
      <c r="I20" s="176" t="s">
        <v>67</v>
      </c>
      <c r="J20" s="181" t="s">
        <v>77</v>
      </c>
      <c r="K20" s="174">
        <v>68</v>
      </c>
      <c r="L20" s="93"/>
      <c r="M20" s="179">
        <v>115</v>
      </c>
      <c r="N20" s="179">
        <v>215</v>
      </c>
      <c r="O20" s="179" t="s">
        <v>69</v>
      </c>
      <c r="P20" s="175" t="s">
        <v>77</v>
      </c>
      <c r="Q20" s="174">
        <v>45</v>
      </c>
      <c r="R20" s="93"/>
      <c r="S20" s="179" t="s">
        <v>78</v>
      </c>
      <c r="T20" s="179" t="s">
        <v>78</v>
      </c>
      <c r="U20" s="181" t="s">
        <v>78</v>
      </c>
      <c r="V20" s="182" t="s">
        <v>78</v>
      </c>
      <c r="W20" s="183" t="s">
        <v>78</v>
      </c>
      <c r="X20" s="99"/>
      <c r="Y20" s="179">
        <v>395</v>
      </c>
      <c r="Z20" s="179">
        <v>495</v>
      </c>
      <c r="AA20" s="179" t="s">
        <v>69</v>
      </c>
      <c r="AB20" s="175" t="s">
        <v>77</v>
      </c>
      <c r="AC20" s="174">
        <v>48</v>
      </c>
      <c r="AE20" s="174" t="s">
        <v>73</v>
      </c>
      <c r="AF20" s="174"/>
    </row>
    <row r="21" spans="2:32" s="29" customFormat="1" ht="16.5" customHeight="1">
      <c r="B21" s="173" t="s">
        <v>81</v>
      </c>
      <c r="C21" s="173" t="s">
        <v>82</v>
      </c>
      <c r="D21" s="174" t="s">
        <v>76</v>
      </c>
      <c r="E21" s="175" t="s">
        <v>66</v>
      </c>
      <c r="F21" s="93"/>
      <c r="G21" s="179">
        <v>115</v>
      </c>
      <c r="H21" s="179">
        <v>215</v>
      </c>
      <c r="I21" s="176" t="s">
        <v>67</v>
      </c>
      <c r="J21" s="181" t="s">
        <v>77</v>
      </c>
      <c r="K21" s="174">
        <v>66</v>
      </c>
      <c r="L21" s="178"/>
      <c r="M21" s="179">
        <v>115</v>
      </c>
      <c r="N21" s="179">
        <v>215</v>
      </c>
      <c r="O21" s="179" t="s">
        <v>69</v>
      </c>
      <c r="P21" s="175" t="s">
        <v>77</v>
      </c>
      <c r="Q21" s="174">
        <v>46</v>
      </c>
      <c r="R21" s="178"/>
      <c r="S21" s="179" t="s">
        <v>78</v>
      </c>
      <c r="T21" s="179" t="s">
        <v>78</v>
      </c>
      <c r="U21" s="181" t="s">
        <v>78</v>
      </c>
      <c r="V21" s="182" t="s">
        <v>78</v>
      </c>
      <c r="W21" s="183" t="s">
        <v>78</v>
      </c>
      <c r="X21" s="184"/>
      <c r="Y21" s="179">
        <v>395</v>
      </c>
      <c r="Z21" s="179">
        <v>495</v>
      </c>
      <c r="AA21" s="179" t="s">
        <v>69</v>
      </c>
      <c r="AB21" s="175" t="s">
        <v>77</v>
      </c>
      <c r="AC21" s="174">
        <v>49</v>
      </c>
      <c r="AE21" s="174" t="s">
        <v>73</v>
      </c>
      <c r="AF21" s="174"/>
    </row>
    <row r="22" spans="2:32" s="29" customFormat="1" ht="16.5" customHeight="1">
      <c r="B22" s="173" t="s">
        <v>83</v>
      </c>
      <c r="C22" s="173" t="s">
        <v>84</v>
      </c>
      <c r="D22" s="174" t="s">
        <v>76</v>
      </c>
      <c r="E22" s="175" t="s">
        <v>66</v>
      </c>
      <c r="F22" s="93"/>
      <c r="G22" s="179">
        <v>190</v>
      </c>
      <c r="H22" s="179">
        <v>365</v>
      </c>
      <c r="I22" s="176" t="s">
        <v>67</v>
      </c>
      <c r="J22" s="181" t="s">
        <v>85</v>
      </c>
      <c r="K22" s="174">
        <v>69</v>
      </c>
      <c r="L22" s="178"/>
      <c r="M22" s="179">
        <v>190</v>
      </c>
      <c r="N22" s="179">
        <v>365</v>
      </c>
      <c r="O22" s="179" t="s">
        <v>69</v>
      </c>
      <c r="P22" s="181" t="s">
        <v>85</v>
      </c>
      <c r="Q22" s="174">
        <v>46</v>
      </c>
      <c r="R22" s="178"/>
      <c r="S22" s="179">
        <v>190</v>
      </c>
      <c r="T22" s="179">
        <v>365</v>
      </c>
      <c r="U22" s="181" t="s">
        <v>71</v>
      </c>
      <c r="V22" s="182" t="s">
        <v>72</v>
      </c>
      <c r="W22" s="183">
        <v>55</v>
      </c>
      <c r="X22" s="184"/>
      <c r="Y22" s="179">
        <v>470</v>
      </c>
      <c r="Z22" s="179">
        <v>645</v>
      </c>
      <c r="AA22" s="179" t="s">
        <v>69</v>
      </c>
      <c r="AB22" s="181" t="s">
        <v>85</v>
      </c>
      <c r="AC22" s="174">
        <v>49</v>
      </c>
      <c r="AE22" s="174" t="s">
        <v>73</v>
      </c>
      <c r="AF22" s="174" t="s">
        <v>86</v>
      </c>
    </row>
    <row r="23" spans="2:32" s="29" customFormat="1" ht="16.5" customHeight="1">
      <c r="B23" s="173" t="s">
        <v>87</v>
      </c>
      <c r="C23" s="173" t="s">
        <v>88</v>
      </c>
      <c r="D23" s="174" t="s">
        <v>76</v>
      </c>
      <c r="E23" s="175" t="s">
        <v>66</v>
      </c>
      <c r="F23" s="93"/>
      <c r="G23" s="179">
        <v>165</v>
      </c>
      <c r="H23" s="179">
        <v>265</v>
      </c>
      <c r="I23" s="176" t="s">
        <v>67</v>
      </c>
      <c r="J23" s="186" t="s">
        <v>89</v>
      </c>
      <c r="K23" s="183">
        <v>83</v>
      </c>
      <c r="L23" s="178"/>
      <c r="M23" s="179">
        <v>165</v>
      </c>
      <c r="N23" s="179">
        <v>265</v>
      </c>
      <c r="O23" s="179" t="s">
        <v>69</v>
      </c>
      <c r="P23" s="186" t="s">
        <v>90</v>
      </c>
      <c r="Q23" s="183">
        <v>53</v>
      </c>
      <c r="R23" s="178"/>
      <c r="S23" s="179">
        <v>165</v>
      </c>
      <c r="T23" s="179">
        <v>265</v>
      </c>
      <c r="U23" s="186" t="s">
        <v>71</v>
      </c>
      <c r="V23" s="182" t="s">
        <v>72</v>
      </c>
      <c r="W23" s="183">
        <v>69</v>
      </c>
      <c r="X23" s="184"/>
      <c r="Y23" s="179">
        <v>445</v>
      </c>
      <c r="Z23" s="179">
        <v>545</v>
      </c>
      <c r="AA23" s="179" t="s">
        <v>69</v>
      </c>
      <c r="AB23" s="186" t="s">
        <v>90</v>
      </c>
      <c r="AC23" s="183">
        <v>56</v>
      </c>
      <c r="AE23" s="174" t="s">
        <v>73</v>
      </c>
      <c r="AF23" s="174"/>
    </row>
    <row r="24" spans="2:32" s="29" customFormat="1" ht="16.5" customHeight="1">
      <c r="B24" s="41" t="s">
        <v>91</v>
      </c>
      <c r="C24" s="41" t="s">
        <v>92</v>
      </c>
      <c r="D24" s="187" t="s">
        <v>93</v>
      </c>
      <c r="E24" s="40" t="s">
        <v>66</v>
      </c>
      <c r="F24" s="93"/>
      <c r="G24" s="188">
        <v>65</v>
      </c>
      <c r="H24" s="188">
        <v>115</v>
      </c>
      <c r="I24" s="189" t="s">
        <v>67</v>
      </c>
      <c r="J24" s="46" t="s">
        <v>68</v>
      </c>
      <c r="K24" s="39">
        <v>60</v>
      </c>
      <c r="L24" s="178"/>
      <c r="M24" s="188">
        <v>65</v>
      </c>
      <c r="N24" s="188">
        <v>115</v>
      </c>
      <c r="O24" s="188" t="s">
        <v>69</v>
      </c>
      <c r="P24" s="40" t="s">
        <v>70</v>
      </c>
      <c r="Q24" s="39">
        <v>44</v>
      </c>
      <c r="R24" s="178"/>
      <c r="S24" s="188">
        <v>65</v>
      </c>
      <c r="T24" s="188">
        <v>115</v>
      </c>
      <c r="U24" s="190" t="s">
        <v>71</v>
      </c>
      <c r="V24" s="191" t="s">
        <v>72</v>
      </c>
      <c r="W24" s="192">
        <v>60</v>
      </c>
      <c r="X24" s="184"/>
      <c r="Y24" s="188">
        <v>345</v>
      </c>
      <c r="Z24" s="188">
        <v>395</v>
      </c>
      <c r="AA24" s="188" t="s">
        <v>69</v>
      </c>
      <c r="AB24" s="40" t="s">
        <v>70</v>
      </c>
      <c r="AC24" s="39">
        <v>47</v>
      </c>
      <c r="AE24" s="39" t="s">
        <v>73</v>
      </c>
      <c r="AF24" s="39"/>
    </row>
    <row r="25" spans="2:32" s="193" customFormat="1" ht="16.5" customHeight="1">
      <c r="B25" s="41" t="s">
        <v>94</v>
      </c>
      <c r="C25" s="41" t="s">
        <v>90</v>
      </c>
      <c r="D25" s="187" t="s">
        <v>93</v>
      </c>
      <c r="E25" s="40" t="s">
        <v>66</v>
      </c>
      <c r="F25" s="93"/>
      <c r="G25" s="188">
        <v>65</v>
      </c>
      <c r="H25" s="188">
        <v>115</v>
      </c>
      <c r="I25" s="189" t="s">
        <v>67</v>
      </c>
      <c r="J25" s="46" t="s">
        <v>68</v>
      </c>
      <c r="K25" s="39">
        <v>49</v>
      </c>
      <c r="L25" s="178"/>
      <c r="M25" s="188">
        <v>65</v>
      </c>
      <c r="N25" s="188">
        <v>115</v>
      </c>
      <c r="O25" s="188" t="s">
        <v>69</v>
      </c>
      <c r="P25" s="40" t="s">
        <v>95</v>
      </c>
      <c r="Q25" s="39">
        <v>45</v>
      </c>
      <c r="R25" s="178"/>
      <c r="S25" s="188">
        <v>65</v>
      </c>
      <c r="T25" s="188">
        <v>115</v>
      </c>
      <c r="U25" s="190" t="s">
        <v>96</v>
      </c>
      <c r="V25" s="191" t="s">
        <v>97</v>
      </c>
      <c r="W25" s="192">
        <v>54</v>
      </c>
      <c r="X25" s="184"/>
      <c r="Y25" s="188">
        <v>345</v>
      </c>
      <c r="Z25" s="188">
        <v>395</v>
      </c>
      <c r="AA25" s="188" t="s">
        <v>69</v>
      </c>
      <c r="AB25" s="40" t="s">
        <v>95</v>
      </c>
      <c r="AC25" s="39">
        <v>48</v>
      </c>
      <c r="AE25" s="39" t="s">
        <v>73</v>
      </c>
      <c r="AF25" s="39"/>
    </row>
    <row r="26" spans="2:32" s="29" customFormat="1" ht="16.5" customHeight="1">
      <c r="B26" s="173" t="s">
        <v>98</v>
      </c>
      <c r="C26" s="173" t="s">
        <v>99</v>
      </c>
      <c r="D26" s="174" t="s">
        <v>76</v>
      </c>
      <c r="E26" s="175" t="s">
        <v>66</v>
      </c>
      <c r="F26" s="93"/>
      <c r="G26" s="179">
        <v>165</v>
      </c>
      <c r="H26" s="179">
        <v>265</v>
      </c>
      <c r="I26" s="176" t="s">
        <v>67</v>
      </c>
      <c r="J26" s="181" t="s">
        <v>89</v>
      </c>
      <c r="K26" s="174">
        <v>73</v>
      </c>
      <c r="L26" s="178"/>
      <c r="M26" s="179">
        <v>165</v>
      </c>
      <c r="N26" s="179">
        <v>265</v>
      </c>
      <c r="O26" s="179" t="s">
        <v>69</v>
      </c>
      <c r="P26" s="186" t="s">
        <v>90</v>
      </c>
      <c r="Q26" s="183">
        <v>52</v>
      </c>
      <c r="R26" s="178"/>
      <c r="S26" s="179">
        <v>165</v>
      </c>
      <c r="T26" s="179">
        <v>265</v>
      </c>
      <c r="U26" s="186" t="s">
        <v>71</v>
      </c>
      <c r="V26" s="182" t="s">
        <v>72</v>
      </c>
      <c r="W26" s="183">
        <v>65</v>
      </c>
      <c r="X26" s="184"/>
      <c r="Y26" s="179">
        <v>445</v>
      </c>
      <c r="Z26" s="179">
        <v>545</v>
      </c>
      <c r="AA26" s="179" t="s">
        <v>69</v>
      </c>
      <c r="AB26" s="186" t="s">
        <v>90</v>
      </c>
      <c r="AC26" s="183">
        <v>55</v>
      </c>
      <c r="AE26" s="174" t="s">
        <v>73</v>
      </c>
      <c r="AF26" s="174"/>
    </row>
    <row r="27" spans="2:32" s="29" customFormat="1" ht="16.5" customHeight="1">
      <c r="B27" s="173" t="s">
        <v>100</v>
      </c>
      <c r="C27" s="173" t="s">
        <v>101</v>
      </c>
      <c r="D27" s="174" t="s">
        <v>76</v>
      </c>
      <c r="E27" s="175" t="s">
        <v>66</v>
      </c>
      <c r="F27" s="93"/>
      <c r="G27" s="179">
        <v>165</v>
      </c>
      <c r="H27" s="179">
        <v>265</v>
      </c>
      <c r="I27" s="176" t="s">
        <v>67</v>
      </c>
      <c r="J27" s="181" t="s">
        <v>89</v>
      </c>
      <c r="K27" s="174">
        <v>70</v>
      </c>
      <c r="L27" s="178"/>
      <c r="M27" s="179">
        <v>165</v>
      </c>
      <c r="N27" s="179">
        <v>265</v>
      </c>
      <c r="O27" s="179" t="s">
        <v>69</v>
      </c>
      <c r="P27" s="186" t="s">
        <v>90</v>
      </c>
      <c r="Q27" s="183">
        <v>53</v>
      </c>
      <c r="R27" s="178"/>
      <c r="S27" s="179">
        <v>165</v>
      </c>
      <c r="T27" s="179">
        <v>265</v>
      </c>
      <c r="U27" s="186" t="s">
        <v>71</v>
      </c>
      <c r="V27" s="182" t="s">
        <v>72</v>
      </c>
      <c r="W27" s="183">
        <v>65</v>
      </c>
      <c r="X27" s="184"/>
      <c r="Y27" s="179">
        <v>445</v>
      </c>
      <c r="Z27" s="179">
        <v>545</v>
      </c>
      <c r="AA27" s="179" t="s">
        <v>69</v>
      </c>
      <c r="AB27" s="186" t="s">
        <v>90</v>
      </c>
      <c r="AC27" s="183">
        <v>56</v>
      </c>
      <c r="AE27" s="174" t="s">
        <v>73</v>
      </c>
      <c r="AF27" s="174"/>
    </row>
    <row r="28" spans="2:32" s="29" customFormat="1" ht="16.5" customHeight="1">
      <c r="B28" s="194" t="s">
        <v>102</v>
      </c>
      <c r="C28" s="194" t="s">
        <v>103</v>
      </c>
      <c r="D28" s="183" t="s">
        <v>76</v>
      </c>
      <c r="E28" s="182" t="s">
        <v>66</v>
      </c>
      <c r="F28" s="93"/>
      <c r="G28" s="179">
        <v>165</v>
      </c>
      <c r="H28" s="179">
        <v>315</v>
      </c>
      <c r="I28" s="176" t="s">
        <v>67</v>
      </c>
      <c r="J28" s="181" t="s">
        <v>85</v>
      </c>
      <c r="K28" s="174">
        <v>77</v>
      </c>
      <c r="L28" s="195"/>
      <c r="M28" s="179">
        <v>165</v>
      </c>
      <c r="N28" s="179">
        <v>315</v>
      </c>
      <c r="O28" s="179" t="s">
        <v>69</v>
      </c>
      <c r="P28" s="181" t="s">
        <v>85</v>
      </c>
      <c r="Q28" s="174">
        <v>54</v>
      </c>
      <c r="R28" s="195"/>
      <c r="S28" s="179" t="s">
        <v>78</v>
      </c>
      <c r="T28" s="179" t="s">
        <v>78</v>
      </c>
      <c r="U28" s="181" t="s">
        <v>78</v>
      </c>
      <c r="V28" s="182" t="s">
        <v>78</v>
      </c>
      <c r="W28" s="183" t="s">
        <v>78</v>
      </c>
      <c r="X28" s="99"/>
      <c r="Y28" s="179">
        <v>445</v>
      </c>
      <c r="Z28" s="179">
        <v>595</v>
      </c>
      <c r="AA28" s="179" t="s">
        <v>69</v>
      </c>
      <c r="AB28" s="181" t="s">
        <v>85</v>
      </c>
      <c r="AC28" s="174">
        <v>57</v>
      </c>
      <c r="AE28" s="174" t="s">
        <v>73</v>
      </c>
      <c r="AF28" s="196" t="s">
        <v>104</v>
      </c>
    </row>
    <row r="29" spans="2:32" s="29" customFormat="1" ht="16.5" customHeight="1">
      <c r="B29" s="194" t="s">
        <v>105</v>
      </c>
      <c r="C29" s="194" t="s">
        <v>106</v>
      </c>
      <c r="D29" s="174" t="s">
        <v>76</v>
      </c>
      <c r="E29" s="175" t="s">
        <v>66</v>
      </c>
      <c r="F29" s="93"/>
      <c r="G29" s="179">
        <v>667</v>
      </c>
      <c r="H29" s="179">
        <v>885</v>
      </c>
      <c r="I29" s="176" t="s">
        <v>67</v>
      </c>
      <c r="J29" s="181" t="s">
        <v>77</v>
      </c>
      <c r="K29" s="174">
        <v>83</v>
      </c>
      <c r="L29" s="178"/>
      <c r="M29" s="179">
        <v>667</v>
      </c>
      <c r="N29" s="179">
        <v>885</v>
      </c>
      <c r="O29" s="179" t="s">
        <v>69</v>
      </c>
      <c r="P29" s="175" t="s">
        <v>77</v>
      </c>
      <c r="Q29" s="174">
        <v>60</v>
      </c>
      <c r="R29" s="178"/>
      <c r="S29" s="179" t="s">
        <v>78</v>
      </c>
      <c r="T29" s="179" t="s">
        <v>78</v>
      </c>
      <c r="U29" s="181" t="s">
        <v>78</v>
      </c>
      <c r="V29" s="182" t="s">
        <v>78</v>
      </c>
      <c r="W29" s="183" t="s">
        <v>78</v>
      </c>
      <c r="X29" s="184"/>
      <c r="Y29" s="179">
        <v>947</v>
      </c>
      <c r="Z29" s="179">
        <v>1165</v>
      </c>
      <c r="AA29" s="179" t="s">
        <v>69</v>
      </c>
      <c r="AB29" s="175" t="s">
        <v>77</v>
      </c>
      <c r="AC29" s="174">
        <v>63</v>
      </c>
      <c r="AE29" s="174" t="s">
        <v>73</v>
      </c>
      <c r="AF29" s="174"/>
    </row>
    <row r="30" spans="2:32" s="12" customFormat="1" ht="16.5" customHeight="1">
      <c r="B30" s="194" t="s">
        <v>107</v>
      </c>
      <c r="C30" s="194" t="s">
        <v>108</v>
      </c>
      <c r="D30" s="173" t="s">
        <v>76</v>
      </c>
      <c r="E30" s="173" t="s">
        <v>66</v>
      </c>
      <c r="F30" s="93"/>
      <c r="G30" s="179">
        <v>165</v>
      </c>
      <c r="H30" s="179">
        <v>265</v>
      </c>
      <c r="I30" s="176" t="s">
        <v>67</v>
      </c>
      <c r="J30" s="181" t="s">
        <v>89</v>
      </c>
      <c r="K30" s="174">
        <v>75</v>
      </c>
      <c r="L30" s="178"/>
      <c r="M30" s="179">
        <v>165</v>
      </c>
      <c r="N30" s="179">
        <v>265</v>
      </c>
      <c r="O30" s="179" t="s">
        <v>69</v>
      </c>
      <c r="P30" s="186" t="s">
        <v>90</v>
      </c>
      <c r="Q30" s="183">
        <v>53</v>
      </c>
      <c r="R30" s="178"/>
      <c r="S30" s="179">
        <v>165</v>
      </c>
      <c r="T30" s="179">
        <v>265</v>
      </c>
      <c r="U30" s="197" t="s">
        <v>71</v>
      </c>
      <c r="V30" s="182" t="s">
        <v>72</v>
      </c>
      <c r="W30" s="183">
        <v>62</v>
      </c>
      <c r="X30" s="184"/>
      <c r="Y30" s="179">
        <v>445</v>
      </c>
      <c r="Z30" s="179">
        <v>545</v>
      </c>
      <c r="AA30" s="179" t="s">
        <v>69</v>
      </c>
      <c r="AB30" s="186" t="s">
        <v>90</v>
      </c>
      <c r="AC30" s="183">
        <v>56</v>
      </c>
      <c r="AE30" s="174" t="s">
        <v>73</v>
      </c>
      <c r="AF30" s="174"/>
    </row>
    <row r="31" spans="2:32" s="12" customFormat="1" ht="16.5" customHeight="1">
      <c r="B31" s="194" t="s">
        <v>109</v>
      </c>
      <c r="C31" s="194" t="s">
        <v>110</v>
      </c>
      <c r="D31" s="174" t="s">
        <v>76</v>
      </c>
      <c r="E31" s="175" t="s">
        <v>66</v>
      </c>
      <c r="F31" s="93"/>
      <c r="G31" s="179">
        <v>115</v>
      </c>
      <c r="H31" s="179">
        <v>215</v>
      </c>
      <c r="I31" s="176" t="s">
        <v>67</v>
      </c>
      <c r="J31" s="181" t="s">
        <v>77</v>
      </c>
      <c r="K31" s="174">
        <v>64</v>
      </c>
      <c r="L31" s="93"/>
      <c r="M31" s="179">
        <v>115</v>
      </c>
      <c r="N31" s="179">
        <v>215</v>
      </c>
      <c r="O31" s="179" t="s">
        <v>69</v>
      </c>
      <c r="P31" s="181" t="s">
        <v>77</v>
      </c>
      <c r="Q31" s="174">
        <v>41</v>
      </c>
      <c r="R31" s="93"/>
      <c r="S31" s="179" t="s">
        <v>78</v>
      </c>
      <c r="T31" s="179" t="s">
        <v>78</v>
      </c>
      <c r="U31" s="181" t="s">
        <v>78</v>
      </c>
      <c r="V31" s="182" t="s">
        <v>78</v>
      </c>
      <c r="W31" s="183" t="s">
        <v>78</v>
      </c>
      <c r="X31" s="99"/>
      <c r="Y31" s="179">
        <v>395</v>
      </c>
      <c r="Z31" s="179">
        <v>495</v>
      </c>
      <c r="AA31" s="179" t="s">
        <v>69</v>
      </c>
      <c r="AB31" s="181" t="s">
        <v>77</v>
      </c>
      <c r="AC31" s="174">
        <v>44</v>
      </c>
      <c r="AE31" s="174" t="s">
        <v>73</v>
      </c>
      <c r="AF31" s="174"/>
    </row>
    <row r="32" spans="2:32" s="12" customFormat="1" ht="16.5" customHeight="1">
      <c r="B32" s="41" t="s">
        <v>111</v>
      </c>
      <c r="C32" s="41" t="s">
        <v>89</v>
      </c>
      <c r="D32" s="187" t="s">
        <v>93</v>
      </c>
      <c r="E32" s="40" t="s">
        <v>66</v>
      </c>
      <c r="F32" s="93"/>
      <c r="G32" s="188">
        <v>65</v>
      </c>
      <c r="H32" s="188">
        <v>115</v>
      </c>
      <c r="I32" s="189" t="s">
        <v>67</v>
      </c>
      <c r="J32" s="46" t="s">
        <v>95</v>
      </c>
      <c r="K32" s="39">
        <v>67</v>
      </c>
      <c r="L32" s="178"/>
      <c r="M32" s="188">
        <v>65</v>
      </c>
      <c r="N32" s="188">
        <v>115</v>
      </c>
      <c r="O32" s="188" t="s">
        <v>112</v>
      </c>
      <c r="P32" s="40" t="s">
        <v>95</v>
      </c>
      <c r="Q32" s="39">
        <v>59</v>
      </c>
      <c r="R32" s="178"/>
      <c r="S32" s="188">
        <v>65</v>
      </c>
      <c r="T32" s="188">
        <v>115</v>
      </c>
      <c r="U32" s="190" t="s">
        <v>71</v>
      </c>
      <c r="V32" s="191" t="s">
        <v>72</v>
      </c>
      <c r="W32" s="192">
        <v>60</v>
      </c>
      <c r="X32" s="99"/>
      <c r="Y32" s="188">
        <v>345</v>
      </c>
      <c r="Z32" s="188">
        <v>395</v>
      </c>
      <c r="AA32" s="188" t="s">
        <v>112</v>
      </c>
      <c r="AB32" s="40" t="s">
        <v>95</v>
      </c>
      <c r="AC32" s="39">
        <v>62</v>
      </c>
      <c r="AE32" s="39" t="s">
        <v>73</v>
      </c>
      <c r="AF32" s="39"/>
    </row>
    <row r="33" spans="2:32" s="12" customFormat="1" ht="16.5" customHeight="1">
      <c r="B33" s="194" t="s">
        <v>113</v>
      </c>
      <c r="C33" s="194" t="s">
        <v>114</v>
      </c>
      <c r="D33" s="174" t="s">
        <v>76</v>
      </c>
      <c r="E33" s="175" t="s">
        <v>66</v>
      </c>
      <c r="F33" s="93"/>
      <c r="G33" s="179">
        <v>115</v>
      </c>
      <c r="H33" s="179">
        <v>215</v>
      </c>
      <c r="I33" s="176" t="s">
        <v>67</v>
      </c>
      <c r="J33" s="181" t="s">
        <v>77</v>
      </c>
      <c r="K33" s="174">
        <v>65</v>
      </c>
      <c r="L33" s="178"/>
      <c r="M33" s="179">
        <v>115</v>
      </c>
      <c r="N33" s="179">
        <v>215</v>
      </c>
      <c r="O33" s="179" t="s">
        <v>69</v>
      </c>
      <c r="P33" s="175" t="s">
        <v>77</v>
      </c>
      <c r="Q33" s="174">
        <v>42</v>
      </c>
      <c r="R33" s="178"/>
      <c r="S33" s="179" t="s">
        <v>78</v>
      </c>
      <c r="T33" s="179" t="s">
        <v>78</v>
      </c>
      <c r="U33" s="181" t="s">
        <v>78</v>
      </c>
      <c r="V33" s="182" t="s">
        <v>78</v>
      </c>
      <c r="W33" s="183" t="s">
        <v>78</v>
      </c>
      <c r="X33" s="184"/>
      <c r="Y33" s="179">
        <v>395</v>
      </c>
      <c r="Z33" s="179">
        <v>495</v>
      </c>
      <c r="AA33" s="179" t="s">
        <v>69</v>
      </c>
      <c r="AB33" s="175" t="s">
        <v>77</v>
      </c>
      <c r="AC33" s="174">
        <v>45</v>
      </c>
      <c r="AE33" s="174" t="s">
        <v>73</v>
      </c>
      <c r="AF33" s="174"/>
    </row>
    <row r="34" spans="2:32" s="29" customFormat="1" ht="16.5" customHeight="1">
      <c r="B34" s="41" t="s">
        <v>115</v>
      </c>
      <c r="C34" s="41" t="s">
        <v>85</v>
      </c>
      <c r="D34" s="187" t="s">
        <v>93</v>
      </c>
      <c r="E34" s="40" t="s">
        <v>66</v>
      </c>
      <c r="F34" s="93"/>
      <c r="G34" s="188">
        <v>65</v>
      </c>
      <c r="H34" s="188">
        <v>115</v>
      </c>
      <c r="I34" s="189" t="s">
        <v>67</v>
      </c>
      <c r="J34" s="46" t="s">
        <v>95</v>
      </c>
      <c r="K34" s="39">
        <v>63</v>
      </c>
      <c r="L34" s="178"/>
      <c r="M34" s="188">
        <v>65</v>
      </c>
      <c r="N34" s="188">
        <v>115</v>
      </c>
      <c r="O34" s="188" t="s">
        <v>69</v>
      </c>
      <c r="P34" s="40" t="s">
        <v>95</v>
      </c>
      <c r="Q34" s="39">
        <v>41</v>
      </c>
      <c r="R34" s="178"/>
      <c r="S34" s="188">
        <v>65</v>
      </c>
      <c r="T34" s="188">
        <v>115</v>
      </c>
      <c r="U34" s="46" t="s">
        <v>71</v>
      </c>
      <c r="V34" s="191" t="s">
        <v>72</v>
      </c>
      <c r="W34" s="192">
        <v>54</v>
      </c>
      <c r="X34" s="184"/>
      <c r="Y34" s="188">
        <v>345</v>
      </c>
      <c r="Z34" s="188">
        <v>395</v>
      </c>
      <c r="AA34" s="188" t="s">
        <v>69</v>
      </c>
      <c r="AB34" s="40" t="s">
        <v>95</v>
      </c>
      <c r="AC34" s="39">
        <v>44</v>
      </c>
      <c r="AE34" s="39" t="s">
        <v>73</v>
      </c>
      <c r="AF34" s="39"/>
    </row>
    <row r="35" spans="2:32" s="29" customFormat="1" ht="16.5" customHeight="1">
      <c r="B35" s="41" t="s">
        <v>116</v>
      </c>
      <c r="C35" s="41" t="s">
        <v>117</v>
      </c>
      <c r="D35" s="187" t="s">
        <v>93</v>
      </c>
      <c r="E35" s="40" t="s">
        <v>66</v>
      </c>
      <c r="F35" s="93"/>
      <c r="G35" s="188">
        <v>65</v>
      </c>
      <c r="H35" s="188">
        <v>115</v>
      </c>
      <c r="I35" s="189" t="s">
        <v>67</v>
      </c>
      <c r="J35" s="46" t="s">
        <v>95</v>
      </c>
      <c r="K35" s="39">
        <v>53</v>
      </c>
      <c r="L35" s="178"/>
      <c r="M35" s="188">
        <v>65</v>
      </c>
      <c r="N35" s="188">
        <v>115</v>
      </c>
      <c r="O35" s="188" t="s">
        <v>69</v>
      </c>
      <c r="P35" s="40" t="s">
        <v>95</v>
      </c>
      <c r="Q35" s="39">
        <v>36</v>
      </c>
      <c r="R35" s="178"/>
      <c r="S35" s="188">
        <v>65</v>
      </c>
      <c r="T35" s="188">
        <v>115</v>
      </c>
      <c r="U35" s="190" t="s">
        <v>71</v>
      </c>
      <c r="V35" s="191" t="s">
        <v>72</v>
      </c>
      <c r="W35" s="192">
        <v>59</v>
      </c>
      <c r="X35" s="184"/>
      <c r="Y35" s="188">
        <v>345</v>
      </c>
      <c r="Z35" s="188">
        <v>395</v>
      </c>
      <c r="AA35" s="188" t="s">
        <v>69</v>
      </c>
      <c r="AB35" s="40" t="s">
        <v>95</v>
      </c>
      <c r="AC35" s="39">
        <v>39</v>
      </c>
      <c r="AE35" s="39" t="s">
        <v>73</v>
      </c>
      <c r="AF35" s="39"/>
    </row>
    <row r="36" spans="2:32" s="12" customFormat="1" ht="16.5" customHeight="1">
      <c r="B36" s="194" t="s">
        <v>118</v>
      </c>
      <c r="C36" s="194" t="s">
        <v>119</v>
      </c>
      <c r="D36" s="174" t="s">
        <v>76</v>
      </c>
      <c r="E36" s="175" t="s">
        <v>66</v>
      </c>
      <c r="F36" s="93"/>
      <c r="G36" s="179">
        <v>165</v>
      </c>
      <c r="H36" s="179">
        <v>265</v>
      </c>
      <c r="I36" s="176" t="s">
        <v>67</v>
      </c>
      <c r="J36" s="181" t="s">
        <v>68</v>
      </c>
      <c r="K36" s="174">
        <v>49</v>
      </c>
      <c r="L36" s="178"/>
      <c r="M36" s="179">
        <v>165</v>
      </c>
      <c r="N36" s="179">
        <v>265</v>
      </c>
      <c r="O36" s="179" t="s">
        <v>69</v>
      </c>
      <c r="P36" s="175" t="s">
        <v>70</v>
      </c>
      <c r="Q36" s="174">
        <v>34</v>
      </c>
      <c r="R36" s="178"/>
      <c r="S36" s="179">
        <v>165</v>
      </c>
      <c r="T36" s="179">
        <v>265</v>
      </c>
      <c r="U36" s="181" t="s">
        <v>78</v>
      </c>
      <c r="V36" s="182" t="s">
        <v>78</v>
      </c>
      <c r="W36" s="183" t="s">
        <v>78</v>
      </c>
      <c r="X36" s="184"/>
      <c r="Y36" s="179">
        <v>445</v>
      </c>
      <c r="Z36" s="179">
        <v>545</v>
      </c>
      <c r="AA36" s="179" t="s">
        <v>69</v>
      </c>
      <c r="AB36" s="175" t="s">
        <v>70</v>
      </c>
      <c r="AC36" s="174">
        <v>37</v>
      </c>
      <c r="AE36" s="174" t="s">
        <v>73</v>
      </c>
      <c r="AF36" s="174"/>
    </row>
    <row r="37" spans="2:32" s="93" customFormat="1" ht="16.5" customHeight="1">
      <c r="B37" s="194" t="s">
        <v>120</v>
      </c>
      <c r="C37" s="194" t="s">
        <v>121</v>
      </c>
      <c r="D37" s="174" t="s">
        <v>76</v>
      </c>
      <c r="E37" s="175" t="s">
        <v>66</v>
      </c>
      <c r="G37" s="179" t="s">
        <v>78</v>
      </c>
      <c r="H37" s="179" t="s">
        <v>78</v>
      </c>
      <c r="I37" s="176" t="s">
        <v>78</v>
      </c>
      <c r="J37" s="181" t="s">
        <v>78</v>
      </c>
      <c r="K37" s="174" t="s">
        <v>78</v>
      </c>
      <c r="L37" s="178"/>
      <c r="M37" s="179">
        <v>165</v>
      </c>
      <c r="N37" s="179">
        <v>265</v>
      </c>
      <c r="O37" s="179" t="s">
        <v>112</v>
      </c>
      <c r="P37" s="175" t="s">
        <v>122</v>
      </c>
      <c r="Q37" s="174">
        <v>63</v>
      </c>
      <c r="R37" s="178"/>
      <c r="S37" s="179">
        <v>165</v>
      </c>
      <c r="T37" s="179">
        <v>265</v>
      </c>
      <c r="U37" s="181" t="s">
        <v>71</v>
      </c>
      <c r="V37" s="182" t="s">
        <v>72</v>
      </c>
      <c r="W37" s="183">
        <v>64</v>
      </c>
      <c r="X37" s="198"/>
      <c r="Y37" s="179">
        <v>445</v>
      </c>
      <c r="Z37" s="179">
        <v>545</v>
      </c>
      <c r="AA37" s="179" t="s">
        <v>112</v>
      </c>
      <c r="AB37" s="175" t="s">
        <v>122</v>
      </c>
      <c r="AC37" s="174">
        <v>66</v>
      </c>
      <c r="AE37" s="174" t="s">
        <v>73</v>
      </c>
      <c r="AF37" s="174"/>
    </row>
    <row r="38" spans="2:32" s="178" customFormat="1" ht="16.5" customHeight="1">
      <c r="B38" s="41" t="s">
        <v>123</v>
      </c>
      <c r="C38" s="41" t="s">
        <v>77</v>
      </c>
      <c r="D38" s="187" t="s">
        <v>93</v>
      </c>
      <c r="E38" s="40" t="s">
        <v>66</v>
      </c>
      <c r="F38" s="93"/>
      <c r="G38" s="188">
        <v>65</v>
      </c>
      <c r="H38" s="188">
        <v>115</v>
      </c>
      <c r="I38" s="189" t="s">
        <v>67</v>
      </c>
      <c r="J38" s="46" t="s">
        <v>95</v>
      </c>
      <c r="K38" s="39">
        <v>60</v>
      </c>
      <c r="L38" s="93"/>
      <c r="M38" s="188">
        <v>65</v>
      </c>
      <c r="N38" s="188">
        <v>115</v>
      </c>
      <c r="O38" s="188" t="s">
        <v>69</v>
      </c>
      <c r="P38" s="40" t="s">
        <v>95</v>
      </c>
      <c r="Q38" s="39">
        <v>39</v>
      </c>
      <c r="R38" s="93"/>
      <c r="S38" s="188">
        <v>65</v>
      </c>
      <c r="T38" s="188">
        <v>115</v>
      </c>
      <c r="U38" s="190" t="s">
        <v>96</v>
      </c>
      <c r="V38" s="191" t="s">
        <v>97</v>
      </c>
      <c r="W38" s="192">
        <v>48</v>
      </c>
      <c r="X38" s="99"/>
      <c r="Y38" s="188">
        <v>345</v>
      </c>
      <c r="Z38" s="188">
        <v>395</v>
      </c>
      <c r="AA38" s="188" t="s">
        <v>69</v>
      </c>
      <c r="AB38" s="40" t="s">
        <v>95</v>
      </c>
      <c r="AC38" s="39">
        <v>42</v>
      </c>
      <c r="AE38" s="39" t="s">
        <v>73</v>
      </c>
      <c r="AF38" s="39"/>
    </row>
    <row r="39" spans="2:32" s="29" customFormat="1" ht="16.5" customHeight="1">
      <c r="B39" s="41" t="s">
        <v>124</v>
      </c>
      <c r="C39" s="41" t="s">
        <v>122</v>
      </c>
      <c r="D39" s="187" t="s">
        <v>93</v>
      </c>
      <c r="E39" s="40" t="s">
        <v>66</v>
      </c>
      <c r="F39" s="93"/>
      <c r="G39" s="188">
        <v>65</v>
      </c>
      <c r="H39" s="188">
        <v>115</v>
      </c>
      <c r="I39" s="189" t="s">
        <v>67</v>
      </c>
      <c r="J39" s="46" t="s">
        <v>95</v>
      </c>
      <c r="K39" s="39">
        <v>68</v>
      </c>
      <c r="L39" s="178"/>
      <c r="M39" s="188">
        <v>65</v>
      </c>
      <c r="N39" s="188">
        <v>115</v>
      </c>
      <c r="O39" s="188" t="s">
        <v>112</v>
      </c>
      <c r="P39" s="40" t="s">
        <v>95</v>
      </c>
      <c r="Q39" s="39">
        <v>58</v>
      </c>
      <c r="R39" s="178"/>
      <c r="S39" s="188">
        <v>65</v>
      </c>
      <c r="T39" s="188">
        <v>115</v>
      </c>
      <c r="U39" s="190" t="s">
        <v>71</v>
      </c>
      <c r="V39" s="191" t="s">
        <v>72</v>
      </c>
      <c r="W39" s="192">
        <v>58</v>
      </c>
      <c r="X39" s="99"/>
      <c r="Y39" s="188">
        <v>345</v>
      </c>
      <c r="Z39" s="188">
        <v>395</v>
      </c>
      <c r="AA39" s="188" t="s">
        <v>112</v>
      </c>
      <c r="AB39" s="40" t="s">
        <v>95</v>
      </c>
      <c r="AC39" s="39">
        <v>61</v>
      </c>
      <c r="AE39" s="39" t="s">
        <v>73</v>
      </c>
      <c r="AF39" s="39"/>
    </row>
    <row r="40" spans="2:32" s="29" customFormat="1" ht="16.5" customHeight="1">
      <c r="B40" s="194" t="s">
        <v>125</v>
      </c>
      <c r="C40" s="194" t="s">
        <v>126</v>
      </c>
      <c r="D40" s="174" t="s">
        <v>76</v>
      </c>
      <c r="E40" s="175" t="s">
        <v>66</v>
      </c>
      <c r="F40" s="93"/>
      <c r="G40" s="179">
        <v>115</v>
      </c>
      <c r="H40" s="179">
        <v>215</v>
      </c>
      <c r="I40" s="176" t="s">
        <v>67</v>
      </c>
      <c r="J40" s="181" t="s">
        <v>77</v>
      </c>
      <c r="K40" s="174">
        <v>63</v>
      </c>
      <c r="L40" s="93"/>
      <c r="M40" s="179">
        <v>115</v>
      </c>
      <c r="N40" s="179">
        <v>215</v>
      </c>
      <c r="O40" s="179" t="s">
        <v>69</v>
      </c>
      <c r="P40" s="175" t="s">
        <v>77</v>
      </c>
      <c r="Q40" s="174">
        <v>43</v>
      </c>
      <c r="R40" s="93"/>
      <c r="S40" s="179" t="s">
        <v>78</v>
      </c>
      <c r="T40" s="179" t="s">
        <v>78</v>
      </c>
      <c r="U40" s="181" t="s">
        <v>78</v>
      </c>
      <c r="V40" s="182" t="s">
        <v>78</v>
      </c>
      <c r="W40" s="183" t="s">
        <v>78</v>
      </c>
      <c r="X40" s="99"/>
      <c r="Y40" s="179">
        <v>395</v>
      </c>
      <c r="Z40" s="179">
        <v>495</v>
      </c>
      <c r="AA40" s="179" t="s">
        <v>69</v>
      </c>
      <c r="AB40" s="175" t="s">
        <v>77</v>
      </c>
      <c r="AC40" s="174">
        <v>46</v>
      </c>
      <c r="AE40" s="174" t="s">
        <v>73</v>
      </c>
      <c r="AF40" s="174"/>
    </row>
    <row r="41" spans="2:32" s="29" customFormat="1" ht="16.5" customHeight="1">
      <c r="B41" s="194" t="s">
        <v>127</v>
      </c>
      <c r="C41" s="194" t="s">
        <v>128</v>
      </c>
      <c r="D41" s="174" t="s">
        <v>76</v>
      </c>
      <c r="E41" s="175" t="s">
        <v>66</v>
      </c>
      <c r="F41" s="93"/>
      <c r="G41" s="179">
        <v>190</v>
      </c>
      <c r="H41" s="179">
        <v>315</v>
      </c>
      <c r="I41" s="176" t="s">
        <v>67</v>
      </c>
      <c r="J41" s="181" t="s">
        <v>117</v>
      </c>
      <c r="K41" s="174">
        <v>55</v>
      </c>
      <c r="L41" s="178"/>
      <c r="M41" s="179" t="s">
        <v>78</v>
      </c>
      <c r="N41" s="179" t="s">
        <v>78</v>
      </c>
      <c r="O41" s="179" t="s">
        <v>69</v>
      </c>
      <c r="P41" s="175" t="s">
        <v>117</v>
      </c>
      <c r="Q41" s="174">
        <v>39</v>
      </c>
      <c r="R41" s="178"/>
      <c r="S41" s="179" t="s">
        <v>78</v>
      </c>
      <c r="T41" s="179" t="s">
        <v>78</v>
      </c>
      <c r="U41" s="197" t="s">
        <v>78</v>
      </c>
      <c r="V41" s="197" t="s">
        <v>78</v>
      </c>
      <c r="W41" s="196" t="s">
        <v>78</v>
      </c>
      <c r="X41" s="184"/>
      <c r="Y41" s="179" t="s">
        <v>78</v>
      </c>
      <c r="Z41" s="179" t="s">
        <v>78</v>
      </c>
      <c r="AA41" s="179" t="s">
        <v>69</v>
      </c>
      <c r="AB41" s="175" t="s">
        <v>117</v>
      </c>
      <c r="AC41" s="174">
        <v>42</v>
      </c>
      <c r="AE41" s="174" t="s">
        <v>73</v>
      </c>
      <c r="AF41" s="174"/>
    </row>
    <row r="42" spans="2:32" s="199" customFormat="1" ht="16.5" customHeight="1">
      <c r="B42" s="194" t="s">
        <v>129</v>
      </c>
      <c r="C42" s="194" t="s">
        <v>130</v>
      </c>
      <c r="D42" s="174" t="s">
        <v>76</v>
      </c>
      <c r="E42" s="175" t="s">
        <v>66</v>
      </c>
      <c r="F42" s="93"/>
      <c r="G42" s="179">
        <v>215</v>
      </c>
      <c r="H42" s="179">
        <v>365</v>
      </c>
      <c r="I42" s="176" t="s">
        <v>67</v>
      </c>
      <c r="J42" s="181" t="s">
        <v>85</v>
      </c>
      <c r="K42" s="174">
        <v>67</v>
      </c>
      <c r="L42" s="178"/>
      <c r="M42" s="179">
        <v>215</v>
      </c>
      <c r="N42" s="179">
        <v>365</v>
      </c>
      <c r="O42" s="179" t="s">
        <v>69</v>
      </c>
      <c r="P42" s="175" t="s">
        <v>85</v>
      </c>
      <c r="Q42" s="174">
        <v>44</v>
      </c>
      <c r="R42" s="178"/>
      <c r="S42" s="179">
        <v>215</v>
      </c>
      <c r="T42" s="179">
        <v>365</v>
      </c>
      <c r="U42" s="181" t="s">
        <v>71</v>
      </c>
      <c r="V42" s="182" t="s">
        <v>72</v>
      </c>
      <c r="W42" s="183">
        <v>60</v>
      </c>
      <c r="X42" s="184"/>
      <c r="Y42" s="179">
        <v>495</v>
      </c>
      <c r="Z42" s="179">
        <v>645</v>
      </c>
      <c r="AA42" s="179" t="s">
        <v>69</v>
      </c>
      <c r="AB42" s="175" t="s">
        <v>85</v>
      </c>
      <c r="AC42" s="174">
        <v>47</v>
      </c>
      <c r="AE42" s="174" t="s">
        <v>73</v>
      </c>
      <c r="AF42" s="174"/>
    </row>
    <row r="43" spans="2:32" s="12" customFormat="1" ht="16.5" customHeight="1">
      <c r="B43" s="194" t="s">
        <v>131</v>
      </c>
      <c r="C43" s="194" t="s">
        <v>132</v>
      </c>
      <c r="D43" s="174" t="s">
        <v>76</v>
      </c>
      <c r="E43" s="175" t="s">
        <v>66</v>
      </c>
      <c r="F43" s="93"/>
      <c r="G43" s="179">
        <v>165</v>
      </c>
      <c r="H43" s="179">
        <v>265</v>
      </c>
      <c r="I43" s="176" t="s">
        <v>67</v>
      </c>
      <c r="J43" s="181" t="s">
        <v>77</v>
      </c>
      <c r="K43" s="174">
        <v>70</v>
      </c>
      <c r="L43" s="178"/>
      <c r="M43" s="179">
        <v>165</v>
      </c>
      <c r="N43" s="179">
        <v>265</v>
      </c>
      <c r="O43" s="179" t="s">
        <v>69</v>
      </c>
      <c r="P43" s="175" t="s">
        <v>77</v>
      </c>
      <c r="Q43" s="174">
        <v>48</v>
      </c>
      <c r="R43" s="178"/>
      <c r="S43" s="179">
        <v>165</v>
      </c>
      <c r="T43" s="179">
        <v>265</v>
      </c>
      <c r="U43" s="181" t="s">
        <v>71</v>
      </c>
      <c r="V43" s="182" t="s">
        <v>72</v>
      </c>
      <c r="W43" s="183">
        <v>63</v>
      </c>
      <c r="X43" s="184"/>
      <c r="Y43" s="179">
        <v>445</v>
      </c>
      <c r="Z43" s="179">
        <v>545</v>
      </c>
      <c r="AA43" s="179" t="s">
        <v>69</v>
      </c>
      <c r="AB43" s="175" t="s">
        <v>77</v>
      </c>
      <c r="AC43" s="174">
        <v>51</v>
      </c>
      <c r="AE43" s="174" t="s">
        <v>73</v>
      </c>
      <c r="AF43" s="174"/>
    </row>
    <row r="44" spans="2:32" s="12" customFormat="1" ht="16.5" customHeight="1">
      <c r="B44" s="41" t="s">
        <v>133</v>
      </c>
      <c r="C44" s="41" t="s">
        <v>134</v>
      </c>
      <c r="D44" s="187" t="s">
        <v>93</v>
      </c>
      <c r="E44" s="40" t="s">
        <v>66</v>
      </c>
      <c r="F44" s="93"/>
      <c r="G44" s="188">
        <v>65</v>
      </c>
      <c r="H44" s="188">
        <v>115</v>
      </c>
      <c r="I44" s="189" t="s">
        <v>67</v>
      </c>
      <c r="J44" s="190" t="s">
        <v>95</v>
      </c>
      <c r="K44" s="192">
        <v>66</v>
      </c>
      <c r="L44" s="178"/>
      <c r="M44" s="188">
        <v>65</v>
      </c>
      <c r="N44" s="188">
        <v>115</v>
      </c>
      <c r="O44" s="188" t="s">
        <v>112</v>
      </c>
      <c r="P44" s="191" t="s">
        <v>95</v>
      </c>
      <c r="Q44" s="192">
        <v>56</v>
      </c>
      <c r="R44" s="178"/>
      <c r="S44" s="188">
        <v>65</v>
      </c>
      <c r="T44" s="188">
        <v>115</v>
      </c>
      <c r="U44" s="190" t="s">
        <v>96</v>
      </c>
      <c r="V44" s="191" t="s">
        <v>97</v>
      </c>
      <c r="W44" s="192">
        <v>51</v>
      </c>
      <c r="X44" s="184"/>
      <c r="Y44" s="188">
        <v>345</v>
      </c>
      <c r="Z44" s="188">
        <v>395</v>
      </c>
      <c r="AA44" s="188" t="s">
        <v>112</v>
      </c>
      <c r="AB44" s="191" t="s">
        <v>95</v>
      </c>
      <c r="AC44" s="192">
        <v>59</v>
      </c>
      <c r="AE44" s="39" t="s">
        <v>73</v>
      </c>
      <c r="AF44" s="39"/>
    </row>
    <row r="45" spans="2:32" s="12" customFormat="1" ht="16.5" customHeight="1">
      <c r="B45" s="41" t="s">
        <v>135</v>
      </c>
      <c r="C45" s="41" t="s">
        <v>136</v>
      </c>
      <c r="D45" s="187" t="s">
        <v>93</v>
      </c>
      <c r="E45" s="40" t="s">
        <v>66</v>
      </c>
      <c r="F45" s="93"/>
      <c r="G45" s="188">
        <v>65</v>
      </c>
      <c r="H45" s="188">
        <v>115</v>
      </c>
      <c r="I45" s="189" t="s">
        <v>67</v>
      </c>
      <c r="J45" s="190" t="s">
        <v>68</v>
      </c>
      <c r="K45" s="192">
        <v>61</v>
      </c>
      <c r="L45" s="178"/>
      <c r="M45" s="188">
        <v>65</v>
      </c>
      <c r="N45" s="188">
        <v>115</v>
      </c>
      <c r="O45" s="188" t="s">
        <v>69</v>
      </c>
      <c r="P45" s="191" t="s">
        <v>70</v>
      </c>
      <c r="Q45" s="192">
        <v>46</v>
      </c>
      <c r="R45" s="178"/>
      <c r="S45" s="188">
        <v>65</v>
      </c>
      <c r="T45" s="188">
        <v>115</v>
      </c>
      <c r="U45" s="190" t="s">
        <v>71</v>
      </c>
      <c r="V45" s="191" t="s">
        <v>72</v>
      </c>
      <c r="W45" s="192">
        <v>56</v>
      </c>
      <c r="X45" s="184"/>
      <c r="Y45" s="188">
        <v>345</v>
      </c>
      <c r="Z45" s="188">
        <v>395</v>
      </c>
      <c r="AA45" s="188" t="s">
        <v>69</v>
      </c>
      <c r="AB45" s="191" t="s">
        <v>70</v>
      </c>
      <c r="AC45" s="192">
        <v>49</v>
      </c>
      <c r="AE45" s="39" t="s">
        <v>73</v>
      </c>
      <c r="AF45" s="39"/>
    </row>
    <row r="46" spans="2:32" s="29" customFormat="1" ht="16.5" customHeight="1">
      <c r="B46" s="96" t="s">
        <v>137</v>
      </c>
      <c r="C46" s="96" t="s">
        <v>138</v>
      </c>
      <c r="D46" s="200" t="s">
        <v>93</v>
      </c>
      <c r="E46" s="191" t="s">
        <v>66</v>
      </c>
      <c r="F46" s="93"/>
      <c r="G46" s="188" t="s">
        <v>78</v>
      </c>
      <c r="H46" s="188" t="s">
        <v>78</v>
      </c>
      <c r="I46" s="201" t="s">
        <v>78</v>
      </c>
      <c r="J46" s="190" t="s">
        <v>78</v>
      </c>
      <c r="K46" s="192" t="s">
        <v>78</v>
      </c>
      <c r="L46" s="178"/>
      <c r="M46" s="188">
        <v>65</v>
      </c>
      <c r="N46" s="188">
        <v>115</v>
      </c>
      <c r="O46" s="188" t="s">
        <v>69</v>
      </c>
      <c r="P46" s="40" t="s">
        <v>95</v>
      </c>
      <c r="Q46" s="39">
        <v>47</v>
      </c>
      <c r="R46" s="178"/>
      <c r="S46" s="188">
        <v>65</v>
      </c>
      <c r="T46" s="188">
        <v>115</v>
      </c>
      <c r="U46" s="190" t="s">
        <v>96</v>
      </c>
      <c r="V46" s="191" t="s">
        <v>97</v>
      </c>
      <c r="W46" s="192">
        <v>55</v>
      </c>
      <c r="X46" s="184"/>
      <c r="Y46" s="188">
        <v>345</v>
      </c>
      <c r="Z46" s="188">
        <v>395</v>
      </c>
      <c r="AA46" s="188" t="s">
        <v>69</v>
      </c>
      <c r="AB46" s="40" t="s">
        <v>95</v>
      </c>
      <c r="AC46" s="39">
        <v>50</v>
      </c>
      <c r="AE46" s="39" t="s">
        <v>73</v>
      </c>
      <c r="AF46" s="39"/>
    </row>
    <row r="47" spans="2:32" s="29" customFormat="1" ht="16.5" customHeight="1">
      <c r="B47" s="173" t="s">
        <v>139</v>
      </c>
      <c r="C47" s="173" t="s">
        <v>140</v>
      </c>
      <c r="D47" s="174" t="s">
        <v>76</v>
      </c>
      <c r="E47" s="175" t="s">
        <v>66</v>
      </c>
      <c r="F47" s="93"/>
      <c r="G47" s="179">
        <v>165</v>
      </c>
      <c r="H47" s="179">
        <v>265</v>
      </c>
      <c r="I47" s="176" t="s">
        <v>67</v>
      </c>
      <c r="J47" s="181" t="s">
        <v>89</v>
      </c>
      <c r="K47" s="174">
        <v>76</v>
      </c>
      <c r="L47" s="178"/>
      <c r="M47" s="179">
        <v>165</v>
      </c>
      <c r="N47" s="179">
        <v>265</v>
      </c>
      <c r="O47" s="179" t="s">
        <v>69</v>
      </c>
      <c r="P47" s="175" t="s">
        <v>90</v>
      </c>
      <c r="Q47" s="174">
        <v>52</v>
      </c>
      <c r="R47" s="178"/>
      <c r="S47" s="179">
        <v>165</v>
      </c>
      <c r="T47" s="179">
        <v>265</v>
      </c>
      <c r="U47" s="197" t="s">
        <v>71</v>
      </c>
      <c r="V47" s="182" t="s">
        <v>72</v>
      </c>
      <c r="W47" s="183">
        <v>66</v>
      </c>
      <c r="X47" s="184"/>
      <c r="Y47" s="179">
        <v>445</v>
      </c>
      <c r="Z47" s="179">
        <v>545</v>
      </c>
      <c r="AA47" s="179" t="s">
        <v>69</v>
      </c>
      <c r="AB47" s="175" t="s">
        <v>90</v>
      </c>
      <c r="AC47" s="174">
        <v>55</v>
      </c>
      <c r="AE47" s="174" t="s">
        <v>73</v>
      </c>
      <c r="AF47" s="174"/>
    </row>
    <row r="48" spans="2:32" s="29" customFormat="1" ht="16.5" customHeight="1">
      <c r="B48" s="173" t="s">
        <v>141</v>
      </c>
      <c r="C48" s="173" t="s">
        <v>142</v>
      </c>
      <c r="D48" s="174" t="s">
        <v>76</v>
      </c>
      <c r="E48" s="175" t="s">
        <v>66</v>
      </c>
      <c r="F48" s="93"/>
      <c r="G48" s="179">
        <v>190</v>
      </c>
      <c r="H48" s="179">
        <v>365</v>
      </c>
      <c r="I48" s="176" t="s">
        <v>67</v>
      </c>
      <c r="J48" s="181" t="s">
        <v>117</v>
      </c>
      <c r="K48" s="174">
        <v>59</v>
      </c>
      <c r="L48" s="178"/>
      <c r="M48" s="179">
        <v>190</v>
      </c>
      <c r="N48" s="179">
        <v>365</v>
      </c>
      <c r="O48" s="179" t="s">
        <v>69</v>
      </c>
      <c r="P48" s="175" t="s">
        <v>117</v>
      </c>
      <c r="Q48" s="174">
        <v>43</v>
      </c>
      <c r="R48" s="178"/>
      <c r="S48" s="179" t="s">
        <v>78</v>
      </c>
      <c r="T48" s="179" t="s">
        <v>78</v>
      </c>
      <c r="U48" s="197" t="s">
        <v>78</v>
      </c>
      <c r="V48" s="181" t="s">
        <v>78</v>
      </c>
      <c r="W48" s="174" t="s">
        <v>78</v>
      </c>
      <c r="X48" s="184"/>
      <c r="Y48" s="179">
        <v>470</v>
      </c>
      <c r="Z48" s="179">
        <v>645</v>
      </c>
      <c r="AA48" s="179" t="s">
        <v>69</v>
      </c>
      <c r="AB48" s="175" t="s">
        <v>117</v>
      </c>
      <c r="AC48" s="174">
        <v>46</v>
      </c>
      <c r="AE48" s="174" t="s">
        <v>73</v>
      </c>
      <c r="AF48" s="174"/>
    </row>
    <row r="49" spans="2:32" s="29" customFormat="1" ht="16.5" customHeight="1">
      <c r="B49" s="173" t="s">
        <v>143</v>
      </c>
      <c r="C49" s="173" t="s">
        <v>144</v>
      </c>
      <c r="D49" s="174" t="s">
        <v>76</v>
      </c>
      <c r="E49" s="175" t="s">
        <v>66</v>
      </c>
      <c r="F49" s="93"/>
      <c r="G49" s="179">
        <v>165</v>
      </c>
      <c r="H49" s="179">
        <v>265</v>
      </c>
      <c r="I49" s="176" t="s">
        <v>67</v>
      </c>
      <c r="J49" s="181" t="s">
        <v>89</v>
      </c>
      <c r="K49" s="174">
        <v>73</v>
      </c>
      <c r="L49" s="93"/>
      <c r="M49" s="179">
        <v>165</v>
      </c>
      <c r="N49" s="179">
        <v>265</v>
      </c>
      <c r="O49" s="179" t="s">
        <v>69</v>
      </c>
      <c r="P49" s="175" t="s">
        <v>90</v>
      </c>
      <c r="Q49" s="174">
        <v>48</v>
      </c>
      <c r="R49" s="93"/>
      <c r="S49" s="179">
        <v>165</v>
      </c>
      <c r="T49" s="179">
        <v>265</v>
      </c>
      <c r="U49" s="181" t="s">
        <v>71</v>
      </c>
      <c r="V49" s="182" t="s">
        <v>72</v>
      </c>
      <c r="W49" s="183">
        <v>65</v>
      </c>
      <c r="X49" s="99"/>
      <c r="Y49" s="179">
        <v>445</v>
      </c>
      <c r="Z49" s="179">
        <v>545</v>
      </c>
      <c r="AA49" s="179" t="s">
        <v>69</v>
      </c>
      <c r="AB49" s="175" t="s">
        <v>90</v>
      </c>
      <c r="AC49" s="174">
        <v>51</v>
      </c>
      <c r="AE49" s="174" t="s">
        <v>73</v>
      </c>
      <c r="AF49" s="174"/>
    </row>
    <row r="50" spans="2:32" s="29" customFormat="1" ht="16.5" customHeight="1">
      <c r="B50" s="194" t="s">
        <v>145</v>
      </c>
      <c r="C50" s="194" t="s">
        <v>146</v>
      </c>
      <c r="D50" s="174" t="s">
        <v>76</v>
      </c>
      <c r="E50" s="175" t="s">
        <v>66</v>
      </c>
      <c r="F50" s="93"/>
      <c r="G50" s="179">
        <v>115</v>
      </c>
      <c r="H50" s="179">
        <v>215</v>
      </c>
      <c r="I50" s="176" t="s">
        <v>67</v>
      </c>
      <c r="J50" s="181" t="s">
        <v>77</v>
      </c>
      <c r="K50" s="174">
        <v>66</v>
      </c>
      <c r="L50" s="178"/>
      <c r="M50" s="179">
        <v>115</v>
      </c>
      <c r="N50" s="179">
        <v>215</v>
      </c>
      <c r="O50" s="179" t="s">
        <v>69</v>
      </c>
      <c r="P50" s="175" t="s">
        <v>77</v>
      </c>
      <c r="Q50" s="174">
        <v>45</v>
      </c>
      <c r="R50" s="178"/>
      <c r="S50" s="179" t="s">
        <v>78</v>
      </c>
      <c r="T50" s="179" t="s">
        <v>78</v>
      </c>
      <c r="U50" s="181" t="s">
        <v>78</v>
      </c>
      <c r="V50" s="182" t="s">
        <v>78</v>
      </c>
      <c r="W50" s="183" t="s">
        <v>78</v>
      </c>
      <c r="X50" s="184"/>
      <c r="Y50" s="179">
        <v>395</v>
      </c>
      <c r="Z50" s="179">
        <v>495</v>
      </c>
      <c r="AA50" s="179" t="s">
        <v>69</v>
      </c>
      <c r="AB50" s="175" t="s">
        <v>77</v>
      </c>
      <c r="AC50" s="174">
        <v>48</v>
      </c>
      <c r="AE50" s="174" t="s">
        <v>73</v>
      </c>
      <c r="AF50" s="174"/>
    </row>
    <row r="51" spans="2:32" s="29" customFormat="1" ht="16.5" customHeight="1">
      <c r="B51" s="173" t="s">
        <v>147</v>
      </c>
      <c r="C51" s="173" t="s">
        <v>148</v>
      </c>
      <c r="D51" s="174" t="s">
        <v>76</v>
      </c>
      <c r="E51" s="175" t="s">
        <v>66</v>
      </c>
      <c r="F51" s="93"/>
      <c r="G51" s="179">
        <v>115</v>
      </c>
      <c r="H51" s="179">
        <v>215</v>
      </c>
      <c r="I51" s="176" t="s">
        <v>67</v>
      </c>
      <c r="J51" s="181" t="s">
        <v>77</v>
      </c>
      <c r="K51" s="174">
        <v>63</v>
      </c>
      <c r="L51" s="178"/>
      <c r="M51" s="179">
        <v>115</v>
      </c>
      <c r="N51" s="179">
        <v>215</v>
      </c>
      <c r="O51" s="179" t="s">
        <v>69</v>
      </c>
      <c r="P51" s="175" t="s">
        <v>77</v>
      </c>
      <c r="Q51" s="174">
        <v>41</v>
      </c>
      <c r="R51" s="178"/>
      <c r="S51" s="179" t="s">
        <v>78</v>
      </c>
      <c r="T51" s="179" t="s">
        <v>78</v>
      </c>
      <c r="U51" s="181" t="s">
        <v>78</v>
      </c>
      <c r="V51" s="182" t="s">
        <v>78</v>
      </c>
      <c r="W51" s="183" t="s">
        <v>78</v>
      </c>
      <c r="X51" s="184"/>
      <c r="Y51" s="179">
        <v>395</v>
      </c>
      <c r="Z51" s="179">
        <v>495</v>
      </c>
      <c r="AA51" s="179" t="s">
        <v>69</v>
      </c>
      <c r="AB51" s="175" t="s">
        <v>77</v>
      </c>
      <c r="AC51" s="174">
        <v>44</v>
      </c>
      <c r="AE51" s="174" t="s">
        <v>73</v>
      </c>
      <c r="AF51" s="174"/>
    </row>
    <row r="52" spans="2:32" s="29" customFormat="1" ht="16.5" customHeight="1">
      <c r="B52" s="173" t="s">
        <v>149</v>
      </c>
      <c r="C52" s="173" t="s">
        <v>150</v>
      </c>
      <c r="D52" s="174" t="s">
        <v>151</v>
      </c>
      <c r="E52" s="175" t="s">
        <v>66</v>
      </c>
      <c r="F52" s="93"/>
      <c r="G52" s="179">
        <v>215</v>
      </c>
      <c r="H52" s="179">
        <v>315</v>
      </c>
      <c r="I52" s="176" t="s">
        <v>67</v>
      </c>
      <c r="J52" s="181" t="s">
        <v>68</v>
      </c>
      <c r="K52" s="174">
        <v>49</v>
      </c>
      <c r="L52" s="93"/>
      <c r="M52" s="179">
        <v>215</v>
      </c>
      <c r="N52" s="179">
        <v>315</v>
      </c>
      <c r="O52" s="179" t="s">
        <v>69</v>
      </c>
      <c r="P52" s="175" t="s">
        <v>70</v>
      </c>
      <c r="Q52" s="174">
        <v>33</v>
      </c>
      <c r="R52" s="93"/>
      <c r="S52" s="179">
        <v>215</v>
      </c>
      <c r="T52" s="179">
        <v>315</v>
      </c>
      <c r="U52" s="197" t="s">
        <v>71</v>
      </c>
      <c r="V52" s="182" t="s">
        <v>72</v>
      </c>
      <c r="W52" s="183">
        <v>49</v>
      </c>
      <c r="X52" s="99"/>
      <c r="Y52" s="179">
        <v>495</v>
      </c>
      <c r="Z52" s="179">
        <v>595</v>
      </c>
      <c r="AA52" s="179" t="s">
        <v>69</v>
      </c>
      <c r="AB52" s="175" t="s">
        <v>70</v>
      </c>
      <c r="AC52" s="174">
        <v>36</v>
      </c>
      <c r="AE52" s="174" t="s">
        <v>73</v>
      </c>
      <c r="AF52" s="174"/>
    </row>
    <row r="53" spans="2:32" s="29" customFormat="1" ht="16.5" customHeight="1">
      <c r="B53" s="173" t="s">
        <v>152</v>
      </c>
      <c r="C53" s="173" t="s">
        <v>153</v>
      </c>
      <c r="D53" s="174" t="s">
        <v>151</v>
      </c>
      <c r="E53" s="175" t="s">
        <v>66</v>
      </c>
      <c r="F53" s="93"/>
      <c r="G53" s="179">
        <v>190</v>
      </c>
      <c r="H53" s="179">
        <v>315</v>
      </c>
      <c r="I53" s="176" t="s">
        <v>67</v>
      </c>
      <c r="J53" s="181" t="s">
        <v>68</v>
      </c>
      <c r="K53" s="174">
        <v>47</v>
      </c>
      <c r="L53" s="93"/>
      <c r="M53" s="179">
        <v>190</v>
      </c>
      <c r="N53" s="179">
        <v>315</v>
      </c>
      <c r="O53" s="179" t="s">
        <v>69</v>
      </c>
      <c r="P53" s="175" t="s">
        <v>70</v>
      </c>
      <c r="Q53" s="174">
        <v>35</v>
      </c>
      <c r="R53" s="93"/>
      <c r="S53" s="179">
        <v>190</v>
      </c>
      <c r="T53" s="179">
        <v>315</v>
      </c>
      <c r="U53" s="181" t="s">
        <v>71</v>
      </c>
      <c r="V53" s="182" t="s">
        <v>72</v>
      </c>
      <c r="W53" s="183">
        <v>47</v>
      </c>
      <c r="X53" s="99"/>
      <c r="Y53" s="179">
        <v>470</v>
      </c>
      <c r="Z53" s="179">
        <v>595</v>
      </c>
      <c r="AA53" s="179" t="s">
        <v>69</v>
      </c>
      <c r="AB53" s="175" t="s">
        <v>70</v>
      </c>
      <c r="AC53" s="174">
        <v>38</v>
      </c>
      <c r="AE53" s="174" t="s">
        <v>73</v>
      </c>
      <c r="AF53" s="174"/>
    </row>
    <row r="54" spans="2:32" s="12" customFormat="1" ht="16.5" customHeight="1">
      <c r="B54" s="194" t="s">
        <v>154</v>
      </c>
      <c r="C54" s="194" t="s">
        <v>155</v>
      </c>
      <c r="D54" s="174" t="s">
        <v>151</v>
      </c>
      <c r="E54" s="175" t="s">
        <v>66</v>
      </c>
      <c r="F54" s="93"/>
      <c r="G54" s="179">
        <v>215</v>
      </c>
      <c r="H54" s="179">
        <v>315</v>
      </c>
      <c r="I54" s="176" t="s">
        <v>67</v>
      </c>
      <c r="J54" s="181" t="s">
        <v>68</v>
      </c>
      <c r="K54" s="174">
        <v>51</v>
      </c>
      <c r="L54" s="178"/>
      <c r="M54" s="179">
        <v>215</v>
      </c>
      <c r="N54" s="179">
        <v>315</v>
      </c>
      <c r="O54" s="179" t="s">
        <v>69</v>
      </c>
      <c r="P54" s="175" t="s">
        <v>70</v>
      </c>
      <c r="Q54" s="174">
        <v>34</v>
      </c>
      <c r="R54" s="178"/>
      <c r="S54" s="179">
        <v>215</v>
      </c>
      <c r="T54" s="179">
        <v>315</v>
      </c>
      <c r="U54" s="181" t="s">
        <v>71</v>
      </c>
      <c r="V54" s="182" t="s">
        <v>72</v>
      </c>
      <c r="W54" s="183">
        <v>51</v>
      </c>
      <c r="X54" s="184"/>
      <c r="Y54" s="179">
        <v>495</v>
      </c>
      <c r="Z54" s="179">
        <v>595</v>
      </c>
      <c r="AA54" s="179" t="s">
        <v>69</v>
      </c>
      <c r="AB54" s="175" t="s">
        <v>70</v>
      </c>
      <c r="AC54" s="174">
        <v>37</v>
      </c>
      <c r="AE54" s="174" t="s">
        <v>73</v>
      </c>
      <c r="AF54" s="174"/>
    </row>
    <row r="55" spans="2:32" s="29" customFormat="1" ht="16.5" customHeight="1">
      <c r="B55" s="173" t="s">
        <v>156</v>
      </c>
      <c r="C55" s="173" t="s">
        <v>157</v>
      </c>
      <c r="D55" s="174" t="s">
        <v>151</v>
      </c>
      <c r="E55" s="175" t="s">
        <v>66</v>
      </c>
      <c r="F55" s="93"/>
      <c r="G55" s="179">
        <v>190</v>
      </c>
      <c r="H55" s="179">
        <v>315</v>
      </c>
      <c r="I55" s="176" t="s">
        <v>67</v>
      </c>
      <c r="J55" s="181" t="s">
        <v>68</v>
      </c>
      <c r="K55" s="174">
        <v>50</v>
      </c>
      <c r="L55" s="178"/>
      <c r="M55" s="179">
        <v>190</v>
      </c>
      <c r="N55" s="179">
        <v>315</v>
      </c>
      <c r="O55" s="179" t="s">
        <v>69</v>
      </c>
      <c r="P55" s="175" t="s">
        <v>70</v>
      </c>
      <c r="Q55" s="174">
        <v>41</v>
      </c>
      <c r="R55" s="178"/>
      <c r="S55" s="179">
        <v>190</v>
      </c>
      <c r="T55" s="179">
        <v>315</v>
      </c>
      <c r="U55" s="197" t="s">
        <v>71</v>
      </c>
      <c r="V55" s="182" t="s">
        <v>72</v>
      </c>
      <c r="W55" s="183">
        <v>50</v>
      </c>
      <c r="X55" s="184"/>
      <c r="Y55" s="179">
        <v>470</v>
      </c>
      <c r="Z55" s="179">
        <v>595</v>
      </c>
      <c r="AA55" s="179" t="s">
        <v>69</v>
      </c>
      <c r="AB55" s="175" t="s">
        <v>70</v>
      </c>
      <c r="AC55" s="174">
        <v>44</v>
      </c>
      <c r="AE55" s="174" t="s">
        <v>73</v>
      </c>
      <c r="AF55" s="174"/>
    </row>
    <row r="56" spans="2:32" s="29" customFormat="1" ht="16.5" customHeight="1">
      <c r="B56" s="173" t="s">
        <v>158</v>
      </c>
      <c r="C56" s="173" t="s">
        <v>159</v>
      </c>
      <c r="D56" s="174" t="s">
        <v>160</v>
      </c>
      <c r="E56" s="175" t="s">
        <v>66</v>
      </c>
      <c r="F56" s="93"/>
      <c r="G56" s="179">
        <v>115</v>
      </c>
      <c r="H56" s="179">
        <v>215</v>
      </c>
      <c r="I56" s="176" t="s">
        <v>67</v>
      </c>
      <c r="J56" s="181" t="s">
        <v>77</v>
      </c>
      <c r="K56" s="174">
        <v>66</v>
      </c>
      <c r="L56" s="178"/>
      <c r="M56" s="179">
        <v>115</v>
      </c>
      <c r="N56" s="179">
        <v>215</v>
      </c>
      <c r="O56" s="179" t="s">
        <v>69</v>
      </c>
      <c r="P56" s="175" t="s">
        <v>77</v>
      </c>
      <c r="Q56" s="174">
        <v>44</v>
      </c>
      <c r="R56" s="178"/>
      <c r="S56" s="179">
        <v>115</v>
      </c>
      <c r="T56" s="179">
        <v>215</v>
      </c>
      <c r="U56" s="181" t="s">
        <v>71</v>
      </c>
      <c r="V56" s="182" t="s">
        <v>72</v>
      </c>
      <c r="W56" s="183">
        <v>59</v>
      </c>
      <c r="X56" s="184"/>
      <c r="Y56" s="179">
        <v>395</v>
      </c>
      <c r="Z56" s="179">
        <v>495</v>
      </c>
      <c r="AA56" s="179" t="s">
        <v>69</v>
      </c>
      <c r="AB56" s="175" t="s">
        <v>77</v>
      </c>
      <c r="AC56" s="174">
        <v>47</v>
      </c>
      <c r="AE56" s="174" t="s">
        <v>73</v>
      </c>
      <c r="AF56" s="174"/>
    </row>
    <row r="57" spans="2:32" s="29" customFormat="1" ht="16.5" customHeight="1">
      <c r="B57" s="173" t="s">
        <v>161</v>
      </c>
      <c r="C57" s="173" t="s">
        <v>162</v>
      </c>
      <c r="D57" s="174" t="s">
        <v>160</v>
      </c>
      <c r="E57" s="175" t="s">
        <v>66</v>
      </c>
      <c r="F57" s="93"/>
      <c r="G57" s="179">
        <v>115</v>
      </c>
      <c r="H57" s="179">
        <v>215</v>
      </c>
      <c r="I57" s="176" t="s">
        <v>67</v>
      </c>
      <c r="J57" s="181" t="s">
        <v>77</v>
      </c>
      <c r="K57" s="174">
        <v>67</v>
      </c>
      <c r="L57" s="93"/>
      <c r="M57" s="179">
        <v>115</v>
      </c>
      <c r="N57" s="179">
        <v>215</v>
      </c>
      <c r="O57" s="179" t="s">
        <v>69</v>
      </c>
      <c r="P57" s="175" t="s">
        <v>77</v>
      </c>
      <c r="Q57" s="174">
        <v>47</v>
      </c>
      <c r="R57" s="93"/>
      <c r="S57" s="179">
        <v>115</v>
      </c>
      <c r="T57" s="179">
        <v>215</v>
      </c>
      <c r="U57" s="181" t="s">
        <v>71</v>
      </c>
      <c r="V57" s="182" t="s">
        <v>72</v>
      </c>
      <c r="W57" s="183">
        <v>60</v>
      </c>
      <c r="X57" s="99"/>
      <c r="Y57" s="179">
        <v>395</v>
      </c>
      <c r="Z57" s="179">
        <v>495</v>
      </c>
      <c r="AA57" s="179" t="s">
        <v>69</v>
      </c>
      <c r="AB57" s="175" t="s">
        <v>77</v>
      </c>
      <c r="AC57" s="174">
        <v>50</v>
      </c>
      <c r="AE57" s="174" t="s">
        <v>73</v>
      </c>
      <c r="AF57" s="174"/>
    </row>
    <row r="58" spans="2:32" s="12" customFormat="1" ht="16.5" customHeight="1">
      <c r="B58" s="173" t="s">
        <v>163</v>
      </c>
      <c r="C58" s="173" t="s">
        <v>164</v>
      </c>
      <c r="D58" s="174" t="s">
        <v>160</v>
      </c>
      <c r="E58" s="175" t="s">
        <v>66</v>
      </c>
      <c r="F58" s="93"/>
      <c r="G58" s="179">
        <v>115</v>
      </c>
      <c r="H58" s="179">
        <v>215</v>
      </c>
      <c r="I58" s="176" t="s">
        <v>67</v>
      </c>
      <c r="J58" s="181" t="s">
        <v>77</v>
      </c>
      <c r="K58" s="174">
        <v>67</v>
      </c>
      <c r="L58" s="93"/>
      <c r="M58" s="179">
        <v>115</v>
      </c>
      <c r="N58" s="179">
        <v>215</v>
      </c>
      <c r="O58" s="179" t="s">
        <v>69</v>
      </c>
      <c r="P58" s="175" t="s">
        <v>77</v>
      </c>
      <c r="Q58" s="174">
        <v>44</v>
      </c>
      <c r="R58" s="93"/>
      <c r="S58" s="179">
        <v>115</v>
      </c>
      <c r="T58" s="179">
        <v>215</v>
      </c>
      <c r="U58" s="181" t="s">
        <v>71</v>
      </c>
      <c r="V58" s="182" t="s">
        <v>72</v>
      </c>
      <c r="W58" s="183">
        <v>60</v>
      </c>
      <c r="X58" s="99"/>
      <c r="Y58" s="179">
        <v>395</v>
      </c>
      <c r="Z58" s="179">
        <v>495</v>
      </c>
      <c r="AA58" s="179" t="s">
        <v>69</v>
      </c>
      <c r="AB58" s="175" t="s">
        <v>77</v>
      </c>
      <c r="AC58" s="174">
        <v>47</v>
      </c>
      <c r="AE58" s="174" t="s">
        <v>73</v>
      </c>
      <c r="AF58" s="174"/>
    </row>
    <row r="59" spans="2:32" s="12" customFormat="1" ht="16.5" customHeight="1">
      <c r="B59" s="173" t="s">
        <v>165</v>
      </c>
      <c r="C59" s="173" t="s">
        <v>166</v>
      </c>
      <c r="D59" s="174" t="s">
        <v>160</v>
      </c>
      <c r="E59" s="175" t="s">
        <v>66</v>
      </c>
      <c r="F59" s="93"/>
      <c r="G59" s="179">
        <v>115</v>
      </c>
      <c r="H59" s="179">
        <v>215</v>
      </c>
      <c r="I59" s="176" t="s">
        <v>67</v>
      </c>
      <c r="J59" s="181" t="s">
        <v>77</v>
      </c>
      <c r="K59" s="174">
        <v>67</v>
      </c>
      <c r="L59" s="93"/>
      <c r="M59" s="179">
        <v>115</v>
      </c>
      <c r="N59" s="179">
        <v>215</v>
      </c>
      <c r="O59" s="179" t="s">
        <v>69</v>
      </c>
      <c r="P59" s="175" t="s">
        <v>77</v>
      </c>
      <c r="Q59" s="174">
        <v>45</v>
      </c>
      <c r="R59" s="93"/>
      <c r="S59" s="179">
        <v>115</v>
      </c>
      <c r="T59" s="179">
        <v>215</v>
      </c>
      <c r="U59" s="181" t="s">
        <v>71</v>
      </c>
      <c r="V59" s="182" t="s">
        <v>72</v>
      </c>
      <c r="W59" s="183">
        <v>58</v>
      </c>
      <c r="X59" s="99"/>
      <c r="Y59" s="179">
        <v>395</v>
      </c>
      <c r="Z59" s="179">
        <v>495</v>
      </c>
      <c r="AA59" s="179" t="s">
        <v>69</v>
      </c>
      <c r="AB59" s="175" t="s">
        <v>77</v>
      </c>
      <c r="AC59" s="174">
        <v>48</v>
      </c>
      <c r="AE59" s="174" t="s">
        <v>73</v>
      </c>
      <c r="AF59" s="174"/>
    </row>
    <row r="60" spans="2:32" s="29" customFormat="1" ht="16.5" customHeight="1">
      <c r="B60" s="173" t="s">
        <v>167</v>
      </c>
      <c r="C60" s="173" t="s">
        <v>168</v>
      </c>
      <c r="D60" s="174" t="s">
        <v>160</v>
      </c>
      <c r="E60" s="175" t="s">
        <v>66</v>
      </c>
      <c r="F60" s="93"/>
      <c r="G60" s="179">
        <v>115</v>
      </c>
      <c r="H60" s="179">
        <v>215</v>
      </c>
      <c r="I60" s="176" t="s">
        <v>67</v>
      </c>
      <c r="J60" s="181" t="s">
        <v>77</v>
      </c>
      <c r="K60" s="174">
        <v>69</v>
      </c>
      <c r="L60" s="93"/>
      <c r="M60" s="179">
        <v>115</v>
      </c>
      <c r="N60" s="179">
        <v>215</v>
      </c>
      <c r="O60" s="179" t="s">
        <v>112</v>
      </c>
      <c r="P60" s="175" t="s">
        <v>122</v>
      </c>
      <c r="Q60" s="174">
        <v>67</v>
      </c>
      <c r="R60" s="93"/>
      <c r="S60" s="179">
        <v>115</v>
      </c>
      <c r="T60" s="179">
        <v>215</v>
      </c>
      <c r="U60" s="181" t="s">
        <v>71</v>
      </c>
      <c r="V60" s="182" t="s">
        <v>72</v>
      </c>
      <c r="W60" s="183">
        <v>67</v>
      </c>
      <c r="X60" s="99"/>
      <c r="Y60" s="179">
        <v>395</v>
      </c>
      <c r="Z60" s="179">
        <v>495</v>
      </c>
      <c r="AA60" s="179" t="s">
        <v>112</v>
      </c>
      <c r="AB60" s="175" t="s">
        <v>122</v>
      </c>
      <c r="AC60" s="174">
        <v>70</v>
      </c>
      <c r="AE60" s="174" t="s">
        <v>73</v>
      </c>
      <c r="AF60" s="174"/>
    </row>
    <row r="61" spans="2:32" s="29" customFormat="1" ht="16.5" customHeight="1">
      <c r="B61" s="173" t="s">
        <v>169</v>
      </c>
      <c r="C61" s="173" t="s">
        <v>170</v>
      </c>
      <c r="D61" s="174" t="s">
        <v>160</v>
      </c>
      <c r="E61" s="175" t="s">
        <v>66</v>
      </c>
      <c r="F61" s="93"/>
      <c r="G61" s="179">
        <v>265</v>
      </c>
      <c r="H61" s="179">
        <v>365</v>
      </c>
      <c r="I61" s="176" t="s">
        <v>67</v>
      </c>
      <c r="J61" s="181" t="s">
        <v>77</v>
      </c>
      <c r="K61" s="174">
        <v>68</v>
      </c>
      <c r="L61" s="178"/>
      <c r="M61" s="179">
        <v>265</v>
      </c>
      <c r="N61" s="179">
        <v>365</v>
      </c>
      <c r="O61" s="179" t="s">
        <v>69</v>
      </c>
      <c r="P61" s="175" t="s">
        <v>77</v>
      </c>
      <c r="Q61" s="174">
        <v>52</v>
      </c>
      <c r="R61" s="178"/>
      <c r="S61" s="179">
        <v>265</v>
      </c>
      <c r="T61" s="179">
        <v>365</v>
      </c>
      <c r="U61" s="181" t="s">
        <v>71</v>
      </c>
      <c r="V61" s="182" t="s">
        <v>72</v>
      </c>
      <c r="W61" s="183">
        <v>61</v>
      </c>
      <c r="X61" s="184"/>
      <c r="Y61" s="179">
        <v>545</v>
      </c>
      <c r="Z61" s="179">
        <v>645</v>
      </c>
      <c r="AA61" s="179" t="s">
        <v>69</v>
      </c>
      <c r="AB61" s="175" t="s">
        <v>77</v>
      </c>
      <c r="AC61" s="174">
        <v>55</v>
      </c>
      <c r="AE61" s="174" t="s">
        <v>73</v>
      </c>
      <c r="AF61" s="174"/>
    </row>
    <row r="62" spans="2:32" s="29" customFormat="1" ht="16.5" customHeight="1">
      <c r="B62" s="173" t="s">
        <v>171</v>
      </c>
      <c r="C62" s="173" t="s">
        <v>172</v>
      </c>
      <c r="D62" s="174" t="s">
        <v>160</v>
      </c>
      <c r="E62" s="175" t="s">
        <v>66</v>
      </c>
      <c r="F62" s="93"/>
      <c r="G62" s="179">
        <v>115</v>
      </c>
      <c r="H62" s="179">
        <v>215</v>
      </c>
      <c r="I62" s="176" t="s">
        <v>67</v>
      </c>
      <c r="J62" s="181" t="s">
        <v>77</v>
      </c>
      <c r="K62" s="174">
        <v>66</v>
      </c>
      <c r="L62" s="178"/>
      <c r="M62" s="179">
        <v>115</v>
      </c>
      <c r="N62" s="179">
        <v>215</v>
      </c>
      <c r="O62" s="179" t="s">
        <v>69</v>
      </c>
      <c r="P62" s="175" t="s">
        <v>77</v>
      </c>
      <c r="Q62" s="174">
        <v>47</v>
      </c>
      <c r="R62" s="178"/>
      <c r="S62" s="179">
        <v>115</v>
      </c>
      <c r="T62" s="179">
        <v>215</v>
      </c>
      <c r="U62" s="181" t="s">
        <v>71</v>
      </c>
      <c r="V62" s="182" t="s">
        <v>72</v>
      </c>
      <c r="W62" s="183">
        <v>59</v>
      </c>
      <c r="X62" s="184"/>
      <c r="Y62" s="179">
        <v>395</v>
      </c>
      <c r="Z62" s="179">
        <v>495</v>
      </c>
      <c r="AA62" s="179" t="s">
        <v>69</v>
      </c>
      <c r="AB62" s="175" t="s">
        <v>77</v>
      </c>
      <c r="AC62" s="174">
        <v>50</v>
      </c>
      <c r="AE62" s="174" t="s">
        <v>73</v>
      </c>
      <c r="AF62" s="174"/>
    </row>
    <row r="63" spans="2:32" s="12" customFormat="1" ht="16.5" customHeight="1">
      <c r="B63" s="173" t="s">
        <v>173</v>
      </c>
      <c r="C63" s="173" t="s">
        <v>174</v>
      </c>
      <c r="D63" s="174" t="s">
        <v>160</v>
      </c>
      <c r="E63" s="175" t="s">
        <v>66</v>
      </c>
      <c r="F63" s="93"/>
      <c r="G63" s="179">
        <v>115</v>
      </c>
      <c r="H63" s="179">
        <v>215</v>
      </c>
      <c r="I63" s="176" t="s">
        <v>67</v>
      </c>
      <c r="J63" s="181" t="s">
        <v>77</v>
      </c>
      <c r="K63" s="174">
        <v>66</v>
      </c>
      <c r="L63" s="93"/>
      <c r="M63" s="179">
        <v>115</v>
      </c>
      <c r="N63" s="179">
        <v>215</v>
      </c>
      <c r="O63" s="179" t="s">
        <v>69</v>
      </c>
      <c r="P63" s="175" t="s">
        <v>77</v>
      </c>
      <c r="Q63" s="174">
        <v>47</v>
      </c>
      <c r="R63" s="93"/>
      <c r="S63" s="179">
        <v>115</v>
      </c>
      <c r="T63" s="179">
        <v>215</v>
      </c>
      <c r="U63" s="181" t="s">
        <v>71</v>
      </c>
      <c r="V63" s="182" t="s">
        <v>72</v>
      </c>
      <c r="W63" s="183">
        <v>58</v>
      </c>
      <c r="X63" s="99"/>
      <c r="Y63" s="179">
        <v>395</v>
      </c>
      <c r="Z63" s="179">
        <v>495</v>
      </c>
      <c r="AA63" s="179" t="s">
        <v>69</v>
      </c>
      <c r="AB63" s="175" t="s">
        <v>77</v>
      </c>
      <c r="AC63" s="174">
        <v>50</v>
      </c>
      <c r="AE63" s="174" t="s">
        <v>73</v>
      </c>
      <c r="AF63" s="174"/>
    </row>
    <row r="64" spans="2:32" s="12" customFormat="1" ht="16.5" customHeight="1">
      <c r="B64" s="173" t="s">
        <v>175</v>
      </c>
      <c r="C64" s="173" t="s">
        <v>176</v>
      </c>
      <c r="D64" s="174" t="s">
        <v>177</v>
      </c>
      <c r="E64" s="175" t="s">
        <v>66</v>
      </c>
      <c r="F64" s="93"/>
      <c r="G64" s="179">
        <v>365</v>
      </c>
      <c r="H64" s="179">
        <v>615</v>
      </c>
      <c r="I64" s="202" t="s">
        <v>67</v>
      </c>
      <c r="J64" s="186" t="s">
        <v>68</v>
      </c>
      <c r="K64" s="183">
        <v>66</v>
      </c>
      <c r="L64" s="178"/>
      <c r="M64" s="179" t="s">
        <v>78</v>
      </c>
      <c r="N64" s="179" t="s">
        <v>78</v>
      </c>
      <c r="O64" s="179" t="s">
        <v>69</v>
      </c>
      <c r="P64" s="175" t="s">
        <v>70</v>
      </c>
      <c r="Q64" s="174">
        <v>43</v>
      </c>
      <c r="R64" s="178"/>
      <c r="S64" s="179" t="s">
        <v>78</v>
      </c>
      <c r="T64" s="179" t="s">
        <v>78</v>
      </c>
      <c r="U64" s="197" t="s">
        <v>78</v>
      </c>
      <c r="V64" s="181" t="s">
        <v>78</v>
      </c>
      <c r="W64" s="174" t="s">
        <v>78</v>
      </c>
      <c r="X64" s="184"/>
      <c r="Y64" s="179" t="s">
        <v>78</v>
      </c>
      <c r="Z64" s="179" t="s">
        <v>78</v>
      </c>
      <c r="AA64" s="179" t="s">
        <v>69</v>
      </c>
      <c r="AB64" s="175" t="s">
        <v>70</v>
      </c>
      <c r="AC64" s="174">
        <v>46</v>
      </c>
      <c r="AE64" s="174" t="s">
        <v>73</v>
      </c>
      <c r="AF64" s="174"/>
    </row>
    <row r="65" spans="2:32" s="12" customFormat="1" ht="16.5" customHeight="1">
      <c r="B65" s="173" t="s">
        <v>178</v>
      </c>
      <c r="C65" s="173" t="s">
        <v>179</v>
      </c>
      <c r="D65" s="174" t="s">
        <v>177</v>
      </c>
      <c r="E65" s="175" t="s">
        <v>66</v>
      </c>
      <c r="F65" s="93"/>
      <c r="G65" s="179">
        <v>485</v>
      </c>
      <c r="H65" s="179">
        <v>895</v>
      </c>
      <c r="I65" s="202" t="s">
        <v>67</v>
      </c>
      <c r="J65" s="186" t="s">
        <v>68</v>
      </c>
      <c r="K65" s="183">
        <v>50</v>
      </c>
      <c r="L65" s="93"/>
      <c r="M65" s="179" t="s">
        <v>78</v>
      </c>
      <c r="N65" s="179" t="s">
        <v>78</v>
      </c>
      <c r="O65" s="179" t="s">
        <v>69</v>
      </c>
      <c r="P65" s="175" t="s">
        <v>70</v>
      </c>
      <c r="Q65" s="174">
        <v>34</v>
      </c>
      <c r="R65" s="93"/>
      <c r="S65" s="179" t="s">
        <v>78</v>
      </c>
      <c r="T65" s="179" t="s">
        <v>78</v>
      </c>
      <c r="U65" s="197" t="s">
        <v>78</v>
      </c>
      <c r="V65" s="181" t="s">
        <v>78</v>
      </c>
      <c r="W65" s="174" t="s">
        <v>78</v>
      </c>
      <c r="X65" s="99"/>
      <c r="Y65" s="179" t="s">
        <v>78</v>
      </c>
      <c r="Z65" s="179" t="s">
        <v>78</v>
      </c>
      <c r="AA65" s="179" t="s">
        <v>69</v>
      </c>
      <c r="AB65" s="175" t="s">
        <v>70</v>
      </c>
      <c r="AC65" s="174">
        <v>37</v>
      </c>
      <c r="AE65" s="174" t="s">
        <v>73</v>
      </c>
      <c r="AF65" s="174"/>
    </row>
    <row r="66" spans="2:32" s="12" customFormat="1" ht="16.5" customHeight="1">
      <c r="B66" s="173" t="s">
        <v>180</v>
      </c>
      <c r="C66" s="173" t="s">
        <v>181</v>
      </c>
      <c r="D66" s="174" t="s">
        <v>177</v>
      </c>
      <c r="E66" s="175" t="s">
        <v>66</v>
      </c>
      <c r="F66" s="93"/>
      <c r="G66" s="179">
        <v>530</v>
      </c>
      <c r="H66" s="179">
        <v>985</v>
      </c>
      <c r="I66" s="202" t="s">
        <v>67</v>
      </c>
      <c r="J66" s="186" t="s">
        <v>68</v>
      </c>
      <c r="K66" s="183">
        <v>61</v>
      </c>
      <c r="L66" s="178"/>
      <c r="M66" s="179">
        <v>530</v>
      </c>
      <c r="N66" s="179">
        <v>985</v>
      </c>
      <c r="O66" s="179" t="s">
        <v>69</v>
      </c>
      <c r="P66" s="175" t="s">
        <v>70</v>
      </c>
      <c r="Q66" s="174">
        <v>38</v>
      </c>
      <c r="R66" s="178"/>
      <c r="S66" s="179" t="s">
        <v>78</v>
      </c>
      <c r="T66" s="179" t="s">
        <v>78</v>
      </c>
      <c r="U66" s="197" t="s">
        <v>78</v>
      </c>
      <c r="V66" s="181" t="s">
        <v>78</v>
      </c>
      <c r="W66" s="174" t="s">
        <v>78</v>
      </c>
      <c r="X66" s="203"/>
      <c r="Y66" s="179">
        <v>810</v>
      </c>
      <c r="Z66" s="179">
        <v>1265</v>
      </c>
      <c r="AA66" s="179" t="s">
        <v>69</v>
      </c>
      <c r="AB66" s="175" t="s">
        <v>70</v>
      </c>
      <c r="AC66" s="174">
        <v>41</v>
      </c>
      <c r="AE66" s="174" t="s">
        <v>73</v>
      </c>
      <c r="AF66" s="174"/>
    </row>
    <row r="67" spans="2:32" s="29" customFormat="1" ht="16.5" customHeight="1">
      <c r="B67" s="173" t="s">
        <v>182</v>
      </c>
      <c r="C67" s="173" t="s">
        <v>183</v>
      </c>
      <c r="D67" s="174" t="s">
        <v>177</v>
      </c>
      <c r="E67" s="175" t="s">
        <v>66</v>
      </c>
      <c r="F67" s="93"/>
      <c r="G67" s="179">
        <v>115</v>
      </c>
      <c r="H67" s="179">
        <v>215</v>
      </c>
      <c r="I67" s="202" t="s">
        <v>67</v>
      </c>
      <c r="J67" s="186" t="s">
        <v>68</v>
      </c>
      <c r="K67" s="183">
        <v>51</v>
      </c>
      <c r="L67" s="93"/>
      <c r="M67" s="179">
        <v>115</v>
      </c>
      <c r="N67" s="179">
        <v>215</v>
      </c>
      <c r="O67" s="179" t="s">
        <v>69</v>
      </c>
      <c r="P67" s="175" t="s">
        <v>70</v>
      </c>
      <c r="Q67" s="174">
        <v>35</v>
      </c>
      <c r="R67" s="93"/>
      <c r="S67" s="179">
        <v>115</v>
      </c>
      <c r="T67" s="179">
        <v>215</v>
      </c>
      <c r="U67" s="204" t="s">
        <v>71</v>
      </c>
      <c r="V67" s="181" t="s">
        <v>72</v>
      </c>
      <c r="W67" s="174">
        <v>58</v>
      </c>
      <c r="X67" s="99"/>
      <c r="Y67" s="179">
        <v>395</v>
      </c>
      <c r="Z67" s="179">
        <v>495</v>
      </c>
      <c r="AA67" s="179" t="s">
        <v>69</v>
      </c>
      <c r="AB67" s="175" t="s">
        <v>70</v>
      </c>
      <c r="AC67" s="174">
        <v>38</v>
      </c>
      <c r="AE67" s="174" t="s">
        <v>73</v>
      </c>
      <c r="AF67" s="174"/>
    </row>
    <row r="68" spans="2:32" s="29" customFormat="1" ht="16.5" customHeight="1">
      <c r="B68" s="173" t="s">
        <v>184</v>
      </c>
      <c r="C68" s="173" t="s">
        <v>185</v>
      </c>
      <c r="D68" s="174" t="s">
        <v>177</v>
      </c>
      <c r="E68" s="175" t="s">
        <v>66</v>
      </c>
      <c r="F68" s="93"/>
      <c r="G68" s="179">
        <v>115</v>
      </c>
      <c r="H68" s="179">
        <v>215</v>
      </c>
      <c r="I68" s="176" t="s">
        <v>67</v>
      </c>
      <c r="J68" s="181" t="s">
        <v>68</v>
      </c>
      <c r="K68" s="174">
        <v>48</v>
      </c>
      <c r="L68" s="93"/>
      <c r="M68" s="179">
        <v>115</v>
      </c>
      <c r="N68" s="179">
        <v>215</v>
      </c>
      <c r="O68" s="179" t="s">
        <v>69</v>
      </c>
      <c r="P68" s="175" t="s">
        <v>70</v>
      </c>
      <c r="Q68" s="174">
        <v>32</v>
      </c>
      <c r="R68" s="93"/>
      <c r="S68" s="179">
        <v>115</v>
      </c>
      <c r="T68" s="179">
        <v>215</v>
      </c>
      <c r="U68" s="197" t="s">
        <v>71</v>
      </c>
      <c r="V68" s="182" t="s">
        <v>72</v>
      </c>
      <c r="W68" s="183">
        <v>48</v>
      </c>
      <c r="X68" s="99"/>
      <c r="Y68" s="179">
        <v>395</v>
      </c>
      <c r="Z68" s="179">
        <v>495</v>
      </c>
      <c r="AA68" s="179" t="s">
        <v>69</v>
      </c>
      <c r="AB68" s="175" t="s">
        <v>70</v>
      </c>
      <c r="AC68" s="174">
        <v>35</v>
      </c>
      <c r="AE68" s="174" t="s">
        <v>73</v>
      </c>
      <c r="AF68" s="174"/>
    </row>
    <row r="69" spans="2:32" s="205" customFormat="1" ht="16.5" customHeight="1">
      <c r="B69" s="41" t="s">
        <v>186</v>
      </c>
      <c r="C69" s="41" t="s">
        <v>68</v>
      </c>
      <c r="D69" s="187" t="s">
        <v>187</v>
      </c>
      <c r="E69" s="40" t="s">
        <v>66</v>
      </c>
      <c r="F69" s="93"/>
      <c r="G69" s="188">
        <v>65</v>
      </c>
      <c r="H69" s="188">
        <v>115</v>
      </c>
      <c r="I69" s="189" t="s">
        <v>67</v>
      </c>
      <c r="J69" s="46" t="s">
        <v>95</v>
      </c>
      <c r="K69" s="39">
        <v>43</v>
      </c>
      <c r="L69" s="93"/>
      <c r="M69" s="188">
        <v>65</v>
      </c>
      <c r="N69" s="188">
        <v>115</v>
      </c>
      <c r="O69" s="188" t="s">
        <v>112</v>
      </c>
      <c r="P69" s="40" t="s">
        <v>95</v>
      </c>
      <c r="Q69" s="39">
        <v>43</v>
      </c>
      <c r="R69" s="93"/>
      <c r="S69" s="188" t="s">
        <v>78</v>
      </c>
      <c r="T69" s="188" t="s">
        <v>78</v>
      </c>
      <c r="U69" s="190" t="s">
        <v>96</v>
      </c>
      <c r="V69" s="191" t="s">
        <v>97</v>
      </c>
      <c r="W69" s="192">
        <v>40</v>
      </c>
      <c r="X69" s="99"/>
      <c r="Y69" s="188">
        <v>345</v>
      </c>
      <c r="Z69" s="188">
        <v>395</v>
      </c>
      <c r="AA69" s="188" t="s">
        <v>112</v>
      </c>
      <c r="AB69" s="40" t="s">
        <v>95</v>
      </c>
      <c r="AC69" s="39">
        <v>46</v>
      </c>
      <c r="AE69" s="39" t="s">
        <v>73</v>
      </c>
      <c r="AF69" s="39"/>
    </row>
    <row r="70" spans="2:32" s="29" customFormat="1" ht="16.5" customHeight="1">
      <c r="B70" s="173" t="s">
        <v>188</v>
      </c>
      <c r="C70" s="173" t="s">
        <v>189</v>
      </c>
      <c r="D70" s="174" t="s">
        <v>190</v>
      </c>
      <c r="E70" s="175" t="s">
        <v>66</v>
      </c>
      <c r="F70" s="93"/>
      <c r="G70" s="179">
        <v>265</v>
      </c>
      <c r="H70" s="179">
        <v>415</v>
      </c>
      <c r="I70" s="176" t="s">
        <v>67</v>
      </c>
      <c r="J70" s="181" t="s">
        <v>68</v>
      </c>
      <c r="K70" s="174">
        <v>58</v>
      </c>
      <c r="L70" s="93"/>
      <c r="M70" s="179">
        <v>265</v>
      </c>
      <c r="N70" s="179">
        <v>415</v>
      </c>
      <c r="O70" s="179" t="s">
        <v>69</v>
      </c>
      <c r="P70" s="175" t="s">
        <v>70</v>
      </c>
      <c r="Q70" s="174">
        <v>35</v>
      </c>
      <c r="R70" s="93"/>
      <c r="S70" s="179">
        <v>265</v>
      </c>
      <c r="T70" s="179">
        <v>415</v>
      </c>
      <c r="U70" s="181" t="s">
        <v>71</v>
      </c>
      <c r="V70" s="182" t="s">
        <v>72</v>
      </c>
      <c r="W70" s="183">
        <v>58</v>
      </c>
      <c r="X70" s="99"/>
      <c r="Y70" s="179">
        <v>545</v>
      </c>
      <c r="Z70" s="179">
        <v>695</v>
      </c>
      <c r="AA70" s="179" t="s">
        <v>69</v>
      </c>
      <c r="AB70" s="175" t="s">
        <v>70</v>
      </c>
      <c r="AC70" s="174">
        <v>38</v>
      </c>
      <c r="AE70" s="174" t="s">
        <v>73</v>
      </c>
      <c r="AF70" s="174"/>
    </row>
    <row r="71" spans="2:32" s="12" customFormat="1" ht="16.5" customHeight="1">
      <c r="B71" s="96" t="s">
        <v>191</v>
      </c>
      <c r="C71" s="96" t="s">
        <v>192</v>
      </c>
      <c r="D71" s="192" t="s">
        <v>193</v>
      </c>
      <c r="E71" s="191" t="s">
        <v>66</v>
      </c>
      <c r="F71" s="24"/>
      <c r="G71" s="188">
        <v>215</v>
      </c>
      <c r="H71" s="188">
        <v>315</v>
      </c>
      <c r="I71" s="189" t="s">
        <v>67</v>
      </c>
      <c r="J71" s="46" t="s">
        <v>68</v>
      </c>
      <c r="K71" s="39">
        <v>52</v>
      </c>
      <c r="L71" s="178"/>
      <c r="M71" s="188">
        <v>215</v>
      </c>
      <c r="N71" s="188">
        <v>315</v>
      </c>
      <c r="O71" s="188" t="s">
        <v>69</v>
      </c>
      <c r="P71" s="40" t="s">
        <v>70</v>
      </c>
      <c r="Q71" s="39">
        <v>36</v>
      </c>
      <c r="R71" s="178"/>
      <c r="S71" s="188">
        <v>215</v>
      </c>
      <c r="T71" s="188">
        <v>315</v>
      </c>
      <c r="U71" s="190" t="s">
        <v>96</v>
      </c>
      <c r="V71" s="191" t="s">
        <v>97</v>
      </c>
      <c r="W71" s="192">
        <v>50</v>
      </c>
      <c r="X71" s="184"/>
      <c r="Y71" s="188">
        <v>495</v>
      </c>
      <c r="Z71" s="188">
        <v>595</v>
      </c>
      <c r="AA71" s="188" t="s">
        <v>69</v>
      </c>
      <c r="AB71" s="40" t="s">
        <v>70</v>
      </c>
      <c r="AC71" s="39">
        <v>39</v>
      </c>
      <c r="AE71" s="39" t="s">
        <v>73</v>
      </c>
      <c r="AF71" s="39"/>
    </row>
    <row r="72" spans="2:32" s="29" customFormat="1" ht="16.5" customHeight="1">
      <c r="B72" s="41" t="s">
        <v>194</v>
      </c>
      <c r="C72" s="41" t="s">
        <v>70</v>
      </c>
      <c r="D72" s="187" t="s">
        <v>195</v>
      </c>
      <c r="E72" s="40" t="s">
        <v>66</v>
      </c>
      <c r="F72" s="93"/>
      <c r="G72" s="188">
        <v>65</v>
      </c>
      <c r="H72" s="188">
        <v>115</v>
      </c>
      <c r="I72" s="189" t="s">
        <v>67</v>
      </c>
      <c r="J72" s="46" t="s">
        <v>68</v>
      </c>
      <c r="K72" s="39">
        <v>48</v>
      </c>
      <c r="L72" s="93"/>
      <c r="M72" s="188">
        <v>65</v>
      </c>
      <c r="N72" s="188">
        <v>115</v>
      </c>
      <c r="O72" s="188" t="s">
        <v>69</v>
      </c>
      <c r="P72" s="40" t="s">
        <v>95</v>
      </c>
      <c r="Q72" s="39">
        <v>28</v>
      </c>
      <c r="R72" s="93"/>
      <c r="S72" s="188">
        <v>65</v>
      </c>
      <c r="T72" s="188">
        <v>115</v>
      </c>
      <c r="U72" s="46" t="s">
        <v>71</v>
      </c>
      <c r="V72" s="191" t="s">
        <v>72</v>
      </c>
      <c r="W72" s="192">
        <v>51</v>
      </c>
      <c r="X72" s="99"/>
      <c r="Y72" s="188">
        <v>345</v>
      </c>
      <c r="Z72" s="188">
        <v>395</v>
      </c>
      <c r="AA72" s="188" t="s">
        <v>69</v>
      </c>
      <c r="AB72" s="40" t="s">
        <v>95</v>
      </c>
      <c r="AC72" s="39">
        <v>31</v>
      </c>
      <c r="AE72" s="39" t="s">
        <v>73</v>
      </c>
      <c r="AF72" s="39"/>
    </row>
    <row r="73" spans="2:32" s="12" customFormat="1" ht="16.5" customHeight="1">
      <c r="B73" s="41" t="s">
        <v>196</v>
      </c>
      <c r="C73" s="41" t="s">
        <v>197</v>
      </c>
      <c r="D73" s="187" t="s">
        <v>198</v>
      </c>
      <c r="E73" s="40" t="s">
        <v>66</v>
      </c>
      <c r="F73" s="93"/>
      <c r="G73" s="190">
        <f>IF(((VLOOKUP($B73,[1]Combinar1!$C:$X,9,FALSE))=0),"no service",VLOOKUP($B73,[1]Combinar1!$C:$X,9,FALSE))</f>
        <v>65</v>
      </c>
      <c r="H73" s="189">
        <f>IF(((VLOOKUP($B73,[1]Combinar1!$C:$X,10,FALSE))=0),"no service",VLOOKUP($B73,[1]Combinar1!$C:$X,10,FALSE))</f>
        <v>115</v>
      </c>
      <c r="I73" s="189" t="str">
        <f>IF(((VLOOKUP($B73,[1]Combinar1!$C:$X,11,FALSE))=0),"no service",VLOOKUP($B73,[1]Combinar1!$C:$X,11,FALSE))</f>
        <v>AEM2</v>
      </c>
      <c r="J73" s="46" t="str">
        <f>IF(((VLOOKUP($B73,[1]Combinar1!$C:$X,12,FALSE))=0),"no service",VLOOKUP($B73,[1]Combinar1!$C:$X,12,FALSE))</f>
        <v>SHA</v>
      </c>
      <c r="K73" s="39">
        <f>IF(((VLOOKUP($B73,[1]Combinar1!$C:$X,13,FALSE))=0),"no service",VLOOKUP($B73,[1]Combinar1!$C:$X,13,FALSE))</f>
        <v>60</v>
      </c>
      <c r="L73" s="93"/>
      <c r="M73" s="188">
        <f>IF(((VLOOKUP($B73,[1]Combinar1!$C:$X,4,FALSE))=0),"no service",VLOOKUP($B73,[1]Combinar1!$C:$X,4,FALSE))</f>
        <v>65</v>
      </c>
      <c r="N73" s="188">
        <f>IF(((VLOOKUP($B73,[1]Combinar1!$C:$X,5,FALSE))=0),"no service",VLOOKUP($B73,[1]Combinar1!$C:$X,5,FALSE))</f>
        <v>115</v>
      </c>
      <c r="O73" s="188" t="str">
        <f>IF(((VLOOKUP($B73,[1]Combinar1!$C:$X,6,FALSE))=0),"no service",VLOOKUP($B73,[1]Combinar1!$C:$X,6,FALSE))</f>
        <v>AEM1</v>
      </c>
      <c r="P73" s="40" t="str">
        <f>IF(((VLOOKUP($B73,[1]Combinar1!$C:$X,7,FALSE))=0),"no service",VLOOKUP($B73,[1]Combinar1!$C:$X,7,FALSE))</f>
        <v>SHA</v>
      </c>
      <c r="Q73" s="39">
        <f>IF(((VLOOKUP($B73,[1]Combinar1!$C:$X,8,FALSE))=0),"no service",VLOOKUP($B73,[1]Combinar1!$C:$X,8,FALSE))</f>
        <v>41</v>
      </c>
      <c r="R73" s="93"/>
      <c r="S73" s="188">
        <v>65</v>
      </c>
      <c r="T73" s="188">
        <v>115</v>
      </c>
      <c r="U73" s="190" t="s">
        <v>96</v>
      </c>
      <c r="V73" s="191" t="s">
        <v>97</v>
      </c>
      <c r="W73" s="192">
        <v>55</v>
      </c>
      <c r="X73" s="99"/>
      <c r="Y73" s="188">
        <v>345</v>
      </c>
      <c r="Z73" s="188">
        <v>395</v>
      </c>
      <c r="AA73" s="188" t="s">
        <v>67</v>
      </c>
      <c r="AB73" s="40" t="s">
        <v>95</v>
      </c>
      <c r="AC73" s="39">
        <v>62</v>
      </c>
      <c r="AE73" s="39" t="s">
        <v>73</v>
      </c>
      <c r="AF73" s="39"/>
    </row>
    <row r="74" spans="2:32" s="12" customFormat="1" ht="16.5" customHeight="1">
      <c r="B74" s="173" t="s">
        <v>199</v>
      </c>
      <c r="C74" s="173" t="s">
        <v>200</v>
      </c>
      <c r="D74" s="174" t="s">
        <v>201</v>
      </c>
      <c r="E74" s="175" t="s">
        <v>66</v>
      </c>
      <c r="F74" s="93"/>
      <c r="G74" s="179">
        <v>315</v>
      </c>
      <c r="H74" s="179">
        <v>615</v>
      </c>
      <c r="I74" s="176" t="s">
        <v>67</v>
      </c>
      <c r="J74" s="181" t="s">
        <v>77</v>
      </c>
      <c r="K74" s="174">
        <v>66</v>
      </c>
      <c r="L74" s="93"/>
      <c r="M74" s="179">
        <v>315</v>
      </c>
      <c r="N74" s="179">
        <v>615</v>
      </c>
      <c r="O74" s="179" t="s">
        <v>69</v>
      </c>
      <c r="P74" s="175" t="s">
        <v>77</v>
      </c>
      <c r="Q74" s="174">
        <v>46</v>
      </c>
      <c r="R74" s="93"/>
      <c r="S74" s="179">
        <v>315</v>
      </c>
      <c r="T74" s="179">
        <v>615</v>
      </c>
      <c r="U74" s="181" t="s">
        <v>71</v>
      </c>
      <c r="V74" s="182" t="s">
        <v>72</v>
      </c>
      <c r="W74" s="183">
        <v>59</v>
      </c>
      <c r="X74" s="99"/>
      <c r="Y74" s="179">
        <v>595</v>
      </c>
      <c r="Z74" s="179">
        <v>895</v>
      </c>
      <c r="AA74" s="179" t="s">
        <v>69</v>
      </c>
      <c r="AB74" s="175" t="s">
        <v>77</v>
      </c>
      <c r="AC74" s="174">
        <v>49</v>
      </c>
      <c r="AE74" s="174" t="s">
        <v>73</v>
      </c>
      <c r="AF74" s="174" t="s">
        <v>202</v>
      </c>
    </row>
    <row r="75" spans="2:32" s="12" customFormat="1" ht="16.5" customHeight="1">
      <c r="B75" s="173" t="s">
        <v>203</v>
      </c>
      <c r="C75" s="173" t="s">
        <v>204</v>
      </c>
      <c r="D75" s="174" t="s">
        <v>201</v>
      </c>
      <c r="E75" s="175" t="s">
        <v>66</v>
      </c>
      <c r="F75" s="93"/>
      <c r="G75" s="179">
        <v>235</v>
      </c>
      <c r="H75" s="179">
        <v>446</v>
      </c>
      <c r="I75" s="176" t="s">
        <v>67</v>
      </c>
      <c r="J75" s="181" t="s">
        <v>77</v>
      </c>
      <c r="K75" s="174">
        <v>67</v>
      </c>
      <c r="L75" s="93"/>
      <c r="M75" s="179">
        <v>235</v>
      </c>
      <c r="N75" s="179">
        <v>446</v>
      </c>
      <c r="O75" s="179" t="s">
        <v>69</v>
      </c>
      <c r="P75" s="175" t="s">
        <v>77</v>
      </c>
      <c r="Q75" s="174">
        <v>51</v>
      </c>
      <c r="R75" s="93"/>
      <c r="S75" s="179" t="s">
        <v>78</v>
      </c>
      <c r="T75" s="179" t="s">
        <v>78</v>
      </c>
      <c r="U75" s="181" t="s">
        <v>78</v>
      </c>
      <c r="V75" s="182" t="s">
        <v>78</v>
      </c>
      <c r="W75" s="183" t="s">
        <v>78</v>
      </c>
      <c r="X75" s="206"/>
      <c r="Y75" s="179">
        <v>515</v>
      </c>
      <c r="Z75" s="179">
        <v>726</v>
      </c>
      <c r="AA75" s="179" t="s">
        <v>69</v>
      </c>
      <c r="AB75" s="175" t="s">
        <v>77</v>
      </c>
      <c r="AC75" s="174">
        <v>54</v>
      </c>
      <c r="AE75" s="174" t="s">
        <v>73</v>
      </c>
      <c r="AF75" s="174" t="s">
        <v>202</v>
      </c>
    </row>
    <row r="76" spans="2:32" s="12" customFormat="1" ht="16.5" customHeight="1">
      <c r="B76" s="173" t="s">
        <v>205</v>
      </c>
      <c r="C76" s="173" t="s">
        <v>206</v>
      </c>
      <c r="D76" s="174" t="s">
        <v>207</v>
      </c>
      <c r="E76" s="175" t="s">
        <v>66</v>
      </c>
      <c r="F76" s="93"/>
      <c r="G76" s="179">
        <v>115</v>
      </c>
      <c r="H76" s="179">
        <v>215</v>
      </c>
      <c r="I76" s="176" t="s">
        <v>67</v>
      </c>
      <c r="J76" s="181" t="s">
        <v>77</v>
      </c>
      <c r="K76" s="174">
        <v>70</v>
      </c>
      <c r="L76" s="178"/>
      <c r="M76" s="179">
        <v>115</v>
      </c>
      <c r="N76" s="179">
        <v>215</v>
      </c>
      <c r="O76" s="179" t="s">
        <v>69</v>
      </c>
      <c r="P76" s="181" t="s">
        <v>77</v>
      </c>
      <c r="Q76" s="174">
        <v>47</v>
      </c>
      <c r="R76" s="178"/>
      <c r="S76" s="179">
        <v>115</v>
      </c>
      <c r="T76" s="179">
        <v>215</v>
      </c>
      <c r="U76" s="202" t="s">
        <v>71</v>
      </c>
      <c r="V76" s="182" t="s">
        <v>72</v>
      </c>
      <c r="W76" s="183">
        <v>63</v>
      </c>
      <c r="X76" s="184"/>
      <c r="Y76" s="179">
        <v>395</v>
      </c>
      <c r="Z76" s="179">
        <v>495</v>
      </c>
      <c r="AA76" s="179" t="s">
        <v>69</v>
      </c>
      <c r="AB76" s="181" t="s">
        <v>77</v>
      </c>
      <c r="AC76" s="174">
        <v>50</v>
      </c>
      <c r="AE76" s="174" t="s">
        <v>73</v>
      </c>
      <c r="AF76" s="174" t="s">
        <v>202</v>
      </c>
    </row>
    <row r="77" spans="2:32" s="12" customFormat="1" ht="16.5" customHeight="1">
      <c r="B77" s="173" t="s">
        <v>208</v>
      </c>
      <c r="C77" s="173" t="s">
        <v>209</v>
      </c>
      <c r="D77" s="174" t="s">
        <v>210</v>
      </c>
      <c r="E77" s="175" t="s">
        <v>66</v>
      </c>
      <c r="F77" s="93"/>
      <c r="G77" s="179">
        <v>145</v>
      </c>
      <c r="H77" s="179">
        <v>235</v>
      </c>
      <c r="I77" s="176" t="s">
        <v>67</v>
      </c>
      <c r="J77" s="181" t="s">
        <v>68</v>
      </c>
      <c r="K77" s="174">
        <v>50</v>
      </c>
      <c r="L77" s="93"/>
      <c r="M77" s="179">
        <v>145</v>
      </c>
      <c r="N77" s="179">
        <v>235</v>
      </c>
      <c r="O77" s="179" t="s">
        <v>69</v>
      </c>
      <c r="P77" s="175" t="s">
        <v>70</v>
      </c>
      <c r="Q77" s="174">
        <v>34</v>
      </c>
      <c r="R77" s="93"/>
      <c r="S77" s="179">
        <v>145</v>
      </c>
      <c r="T77" s="179">
        <v>235</v>
      </c>
      <c r="U77" s="181" t="s">
        <v>71</v>
      </c>
      <c r="V77" s="182" t="s">
        <v>72</v>
      </c>
      <c r="W77" s="183">
        <v>56</v>
      </c>
      <c r="X77" s="99"/>
      <c r="Y77" s="179">
        <v>425</v>
      </c>
      <c r="Z77" s="179">
        <v>515</v>
      </c>
      <c r="AA77" s="179" t="s">
        <v>69</v>
      </c>
      <c r="AB77" s="175" t="s">
        <v>70</v>
      </c>
      <c r="AC77" s="174">
        <v>37</v>
      </c>
      <c r="AE77" s="174" t="s">
        <v>73</v>
      </c>
      <c r="AF77" s="174"/>
    </row>
    <row r="78" spans="2:32" s="29" customFormat="1" ht="16.5" customHeight="1">
      <c r="B78" s="173" t="s">
        <v>211</v>
      </c>
      <c r="C78" s="173" t="s">
        <v>212</v>
      </c>
      <c r="D78" s="174" t="s">
        <v>210</v>
      </c>
      <c r="E78" s="175" t="s">
        <v>66</v>
      </c>
      <c r="F78" s="93"/>
      <c r="G78" s="179">
        <v>115</v>
      </c>
      <c r="H78" s="179">
        <v>215</v>
      </c>
      <c r="I78" s="176" t="s">
        <v>67</v>
      </c>
      <c r="J78" s="181" t="s">
        <v>68</v>
      </c>
      <c r="K78" s="174">
        <v>49</v>
      </c>
      <c r="L78" s="178"/>
      <c r="M78" s="179">
        <v>115</v>
      </c>
      <c r="N78" s="179">
        <v>215</v>
      </c>
      <c r="O78" s="179" t="s">
        <v>69</v>
      </c>
      <c r="P78" s="175" t="s">
        <v>70</v>
      </c>
      <c r="Q78" s="174">
        <v>35</v>
      </c>
      <c r="R78" s="178"/>
      <c r="S78" s="179">
        <v>115</v>
      </c>
      <c r="T78" s="179">
        <v>215</v>
      </c>
      <c r="U78" s="181" t="s">
        <v>71</v>
      </c>
      <c r="V78" s="182" t="s">
        <v>72</v>
      </c>
      <c r="W78" s="183">
        <v>53</v>
      </c>
      <c r="X78" s="184"/>
      <c r="Y78" s="179">
        <v>395</v>
      </c>
      <c r="Z78" s="179">
        <v>495</v>
      </c>
      <c r="AA78" s="179" t="s">
        <v>69</v>
      </c>
      <c r="AB78" s="175" t="s">
        <v>70</v>
      </c>
      <c r="AC78" s="174">
        <v>38</v>
      </c>
      <c r="AE78" s="174" t="s">
        <v>73</v>
      </c>
      <c r="AF78" s="174"/>
    </row>
    <row r="79" spans="2:32" s="29" customFormat="1" ht="16.5" customHeight="1">
      <c r="B79" s="194" t="s">
        <v>213</v>
      </c>
      <c r="C79" s="194" t="s">
        <v>214</v>
      </c>
      <c r="D79" s="183" t="s">
        <v>215</v>
      </c>
      <c r="E79" s="182" t="s">
        <v>66</v>
      </c>
      <c r="F79" s="93"/>
      <c r="G79" s="179">
        <v>140</v>
      </c>
      <c r="H79" s="179">
        <v>235</v>
      </c>
      <c r="I79" s="176" t="s">
        <v>67</v>
      </c>
      <c r="J79" s="181" t="s">
        <v>68</v>
      </c>
      <c r="K79" s="174">
        <v>51</v>
      </c>
      <c r="L79" s="207"/>
      <c r="M79" s="179">
        <v>140</v>
      </c>
      <c r="N79" s="179">
        <v>235</v>
      </c>
      <c r="O79" s="179" t="s">
        <v>69</v>
      </c>
      <c r="P79" s="175" t="s">
        <v>90</v>
      </c>
      <c r="Q79" s="174">
        <v>51</v>
      </c>
      <c r="R79" s="207"/>
      <c r="S79" s="179">
        <v>140</v>
      </c>
      <c r="T79" s="179">
        <v>235</v>
      </c>
      <c r="U79" s="181" t="s">
        <v>71</v>
      </c>
      <c r="V79" s="182" t="s">
        <v>72</v>
      </c>
      <c r="W79" s="183">
        <v>73</v>
      </c>
      <c r="X79" s="208"/>
      <c r="Y79" s="179">
        <v>420</v>
      </c>
      <c r="Z79" s="179">
        <v>515</v>
      </c>
      <c r="AA79" s="179" t="s">
        <v>69</v>
      </c>
      <c r="AB79" s="175" t="s">
        <v>90</v>
      </c>
      <c r="AC79" s="174">
        <v>54</v>
      </c>
      <c r="AE79" s="174" t="s">
        <v>73</v>
      </c>
      <c r="AF79" s="174"/>
    </row>
    <row r="80" spans="2:32" s="12" customFormat="1" ht="16.5" customHeight="1">
      <c r="B80" s="173" t="s">
        <v>216</v>
      </c>
      <c r="C80" s="173" t="s">
        <v>217</v>
      </c>
      <c r="D80" s="174" t="s">
        <v>215</v>
      </c>
      <c r="E80" s="175" t="s">
        <v>66</v>
      </c>
      <c r="F80" s="93"/>
      <c r="G80" s="179">
        <v>145</v>
      </c>
      <c r="H80" s="179">
        <v>235</v>
      </c>
      <c r="I80" s="202" t="s">
        <v>67</v>
      </c>
      <c r="J80" s="186" t="s">
        <v>68</v>
      </c>
      <c r="K80" s="183">
        <v>46</v>
      </c>
      <c r="L80" s="93"/>
      <c r="M80" s="179">
        <v>145</v>
      </c>
      <c r="N80" s="179">
        <v>235</v>
      </c>
      <c r="O80" s="179" t="s">
        <v>69</v>
      </c>
      <c r="P80" s="175" t="s">
        <v>70</v>
      </c>
      <c r="Q80" s="174">
        <v>34</v>
      </c>
      <c r="R80" s="93"/>
      <c r="S80" s="179">
        <v>145</v>
      </c>
      <c r="T80" s="179">
        <v>235</v>
      </c>
      <c r="U80" s="181" t="s">
        <v>71</v>
      </c>
      <c r="V80" s="182" t="s">
        <v>72</v>
      </c>
      <c r="W80" s="183">
        <v>58</v>
      </c>
      <c r="X80" s="99"/>
      <c r="Y80" s="179">
        <v>425</v>
      </c>
      <c r="Z80" s="179">
        <v>515</v>
      </c>
      <c r="AA80" s="179" t="s">
        <v>69</v>
      </c>
      <c r="AB80" s="175" t="s">
        <v>70</v>
      </c>
      <c r="AC80" s="174">
        <v>37</v>
      </c>
      <c r="AE80" s="174" t="s">
        <v>73</v>
      </c>
      <c r="AF80" s="174"/>
    </row>
    <row r="81" spans="2:32" s="12" customFormat="1" ht="16.5" customHeight="1">
      <c r="B81" s="41" t="s">
        <v>218</v>
      </c>
      <c r="C81" s="41" t="s">
        <v>219</v>
      </c>
      <c r="D81" s="187" t="s">
        <v>220</v>
      </c>
      <c r="E81" s="40" t="s">
        <v>66</v>
      </c>
      <c r="F81" s="93"/>
      <c r="G81" s="188">
        <v>65</v>
      </c>
      <c r="H81" s="188">
        <v>115</v>
      </c>
      <c r="I81" s="189" t="s">
        <v>67</v>
      </c>
      <c r="J81" s="192" t="s">
        <v>77</v>
      </c>
      <c r="K81" s="192">
        <v>68</v>
      </c>
      <c r="L81" s="93"/>
      <c r="M81" s="188">
        <v>65</v>
      </c>
      <c r="N81" s="188">
        <v>115</v>
      </c>
      <c r="O81" s="188" t="s">
        <v>69</v>
      </c>
      <c r="P81" s="40" t="s">
        <v>95</v>
      </c>
      <c r="Q81" s="39">
        <v>43</v>
      </c>
      <c r="R81" s="93"/>
      <c r="S81" s="188">
        <v>65</v>
      </c>
      <c r="T81" s="188">
        <v>115</v>
      </c>
      <c r="U81" s="98" t="s">
        <v>71</v>
      </c>
      <c r="V81" s="46" t="s">
        <v>72</v>
      </c>
      <c r="W81" s="39">
        <v>66</v>
      </c>
      <c r="X81" s="99"/>
      <c r="Y81" s="188">
        <v>345</v>
      </c>
      <c r="Z81" s="188">
        <v>395</v>
      </c>
      <c r="AA81" s="188" t="s">
        <v>69</v>
      </c>
      <c r="AB81" s="40" t="s">
        <v>95</v>
      </c>
      <c r="AC81" s="39">
        <v>46</v>
      </c>
      <c r="AE81" s="39" t="s">
        <v>73</v>
      </c>
      <c r="AF81" s="39"/>
    </row>
    <row r="82" spans="2:32" s="29" customFormat="1" ht="16.5" customHeight="1">
      <c r="B82" s="184"/>
      <c r="C82" s="184"/>
      <c r="D82" s="209"/>
      <c r="E82" s="210"/>
      <c r="F82" s="211"/>
      <c r="G82" s="212"/>
      <c r="H82" s="212"/>
      <c r="I82" s="212"/>
      <c r="J82" s="212"/>
      <c r="K82" s="209"/>
      <c r="L82" s="178"/>
      <c r="M82" s="212"/>
      <c r="N82" s="212"/>
      <c r="O82" s="212"/>
      <c r="P82" s="212"/>
      <c r="Q82" s="209"/>
      <c r="R82" s="178"/>
      <c r="S82" s="212"/>
      <c r="T82" s="212"/>
      <c r="U82" s="212"/>
      <c r="V82" s="212"/>
      <c r="W82" s="209"/>
      <c r="X82" s="184"/>
      <c r="Y82" s="184"/>
      <c r="Z82" s="184"/>
      <c r="AA82" s="184"/>
      <c r="AB82" s="184"/>
      <c r="AC82" s="184"/>
      <c r="AD82" s="371"/>
      <c r="AE82" s="213"/>
      <c r="AF82" s="209"/>
    </row>
    <row r="83" spans="2:32" s="12" customFormat="1" ht="16.5" customHeight="1">
      <c r="B83" s="10"/>
      <c r="C83" s="10"/>
      <c r="D83" s="10"/>
      <c r="E83" s="10"/>
      <c r="F83" s="10"/>
      <c r="G83" s="10"/>
      <c r="H83" s="10"/>
      <c r="I83" s="10"/>
      <c r="J83" s="10"/>
      <c r="K83" s="10"/>
      <c r="L83" s="93"/>
      <c r="M83" s="10"/>
      <c r="N83" s="10"/>
      <c r="O83" s="10"/>
      <c r="P83" s="10"/>
      <c r="Q83" s="10"/>
      <c r="R83" s="93"/>
      <c r="S83" s="10"/>
      <c r="T83" s="10"/>
      <c r="U83" s="10"/>
      <c r="V83" s="10"/>
      <c r="W83" s="10"/>
      <c r="X83" s="93"/>
      <c r="Y83" s="93"/>
      <c r="Z83" s="93"/>
      <c r="AA83" s="93"/>
      <c r="AB83" s="93"/>
      <c r="AC83" s="93"/>
      <c r="AD83" s="62"/>
      <c r="AE83" s="10"/>
      <c r="AF83" s="2"/>
    </row>
    <row r="84" spans="2:32" s="12" customFormat="1" ht="16.5" customHeight="1" thickBot="1">
      <c r="B84" s="103" t="s">
        <v>221</v>
      </c>
      <c r="C84" s="104"/>
      <c r="D84" s="103"/>
      <c r="E84" s="104"/>
      <c r="F84" s="214"/>
      <c r="G84" s="104"/>
      <c r="H84" s="104"/>
      <c r="I84" s="104"/>
      <c r="J84" s="104"/>
      <c r="K84" s="104"/>
      <c r="L84" s="215"/>
      <c r="M84" s="104"/>
      <c r="N84" s="104"/>
      <c r="O84" s="104"/>
      <c r="P84" s="104"/>
      <c r="Q84" s="104"/>
      <c r="R84" s="215"/>
      <c r="S84" s="104"/>
      <c r="T84" s="104"/>
      <c r="U84" s="104"/>
      <c r="V84" s="104"/>
      <c r="W84" s="104"/>
      <c r="X84" s="215"/>
      <c r="Y84" s="215"/>
      <c r="Z84" s="215"/>
      <c r="AA84" s="215"/>
      <c r="AB84" s="215"/>
      <c r="AC84" s="215"/>
      <c r="AD84" s="215"/>
      <c r="AE84" s="104"/>
      <c r="AF84" s="107"/>
    </row>
    <row r="85" spans="2:32" s="12" customFormat="1" ht="16.5" customHeight="1">
      <c r="B85" s="108"/>
      <c r="C85" s="108"/>
      <c r="D85" s="10"/>
      <c r="E85" s="10"/>
      <c r="F85" s="16"/>
      <c r="G85" s="10"/>
      <c r="H85" s="10"/>
      <c r="I85" s="10"/>
      <c r="J85" s="10"/>
      <c r="K85" s="10"/>
      <c r="L85" s="93"/>
      <c r="M85" s="10"/>
      <c r="N85" s="10"/>
      <c r="O85" s="10"/>
      <c r="P85" s="10"/>
      <c r="Q85" s="10"/>
      <c r="R85" s="93"/>
      <c r="S85" s="10"/>
      <c r="T85" s="10"/>
      <c r="U85" s="10"/>
      <c r="V85" s="10"/>
      <c r="W85" s="10"/>
      <c r="X85" s="93"/>
      <c r="Y85" s="93"/>
      <c r="Z85" s="93"/>
      <c r="AA85" s="93"/>
      <c r="AB85" s="93"/>
      <c r="AC85" s="93"/>
      <c r="AD85" s="93"/>
      <c r="AE85" s="10"/>
      <c r="AF85" s="2"/>
    </row>
    <row r="86" spans="2:32" s="12" customFormat="1" ht="16.5" customHeight="1">
      <c r="B86" s="109" t="s">
        <v>222</v>
      </c>
      <c r="C86" s="109"/>
      <c r="D86" s="102"/>
      <c r="E86" s="102"/>
      <c r="F86" s="216"/>
      <c r="G86" s="102"/>
      <c r="H86" s="102"/>
      <c r="I86" s="102"/>
      <c r="J86" s="10"/>
      <c r="K86" s="10"/>
      <c r="L86" s="93"/>
      <c r="M86" s="10"/>
      <c r="N86" s="10"/>
      <c r="O86" s="10"/>
      <c r="P86" s="10"/>
      <c r="Q86" s="10"/>
      <c r="R86" s="93"/>
      <c r="S86" s="10"/>
      <c r="T86" s="10"/>
      <c r="U86" s="10"/>
      <c r="V86" s="10"/>
      <c r="W86" s="10"/>
      <c r="X86" s="93"/>
      <c r="Y86" s="93"/>
      <c r="Z86" s="93"/>
      <c r="AA86" s="93"/>
      <c r="AB86" s="93"/>
      <c r="AC86" s="93"/>
      <c r="AD86" s="93"/>
      <c r="AE86" s="10"/>
      <c r="AF86" s="2"/>
    </row>
    <row r="87" spans="2:32" s="12" customFormat="1" ht="16.5" customHeight="1">
      <c r="B87" s="110"/>
      <c r="C87" s="110"/>
      <c r="D87" s="10"/>
      <c r="E87" s="10"/>
      <c r="F87" s="16"/>
      <c r="G87" s="10"/>
      <c r="H87" s="10"/>
      <c r="I87" s="10"/>
      <c r="J87" s="10"/>
      <c r="K87" s="10"/>
      <c r="L87" s="93"/>
      <c r="M87" s="10"/>
      <c r="N87" s="10"/>
      <c r="O87" s="10"/>
      <c r="P87" s="10"/>
      <c r="Q87" s="10"/>
      <c r="R87" s="93"/>
      <c r="S87" s="10"/>
      <c r="T87" s="10"/>
      <c r="U87" s="10"/>
      <c r="V87" s="10"/>
      <c r="W87" s="10"/>
      <c r="X87" s="93"/>
      <c r="Y87" s="93"/>
      <c r="Z87" s="93"/>
      <c r="AA87" s="93"/>
      <c r="AB87" s="93"/>
      <c r="AC87" s="93"/>
      <c r="AD87" s="93"/>
      <c r="AE87" s="10"/>
      <c r="AF87" s="2"/>
    </row>
    <row r="88" spans="2:32" s="12" customFormat="1" ht="16.5" customHeight="1" thickBot="1">
      <c r="B88" s="103" t="s">
        <v>223</v>
      </c>
      <c r="C88" s="104"/>
      <c r="D88" s="217"/>
      <c r="E88" s="217"/>
      <c r="F88" s="217"/>
      <c r="G88" s="217"/>
      <c r="H88" s="217"/>
      <c r="I88" s="217"/>
      <c r="J88" s="217"/>
      <c r="K88" s="217"/>
      <c r="L88" s="217"/>
      <c r="M88" s="217"/>
      <c r="N88" s="217"/>
      <c r="O88" s="217"/>
      <c r="P88" s="217"/>
      <c r="Q88" s="217"/>
      <c r="R88" s="215"/>
      <c r="S88" s="217"/>
      <c r="T88" s="217"/>
      <c r="U88" s="217"/>
      <c r="V88" s="217"/>
      <c r="W88" s="217"/>
      <c r="X88" s="217"/>
      <c r="Y88" s="217"/>
      <c r="Z88" s="217"/>
      <c r="AA88" s="217"/>
      <c r="AB88" s="217"/>
      <c r="AC88" s="217"/>
      <c r="AD88" s="215"/>
      <c r="AE88" s="217"/>
      <c r="AF88" s="218"/>
    </row>
    <row r="89" spans="2:32" s="12" customFormat="1" ht="16.5" customHeight="1">
      <c r="B89" s="219"/>
      <c r="C89" s="219"/>
      <c r="D89" s="10"/>
      <c r="E89" s="10"/>
      <c r="F89" s="16"/>
      <c r="G89" s="10"/>
      <c r="H89" s="10"/>
      <c r="I89" s="10"/>
      <c r="J89" s="10"/>
      <c r="K89" s="10"/>
      <c r="L89" s="24"/>
      <c r="M89" s="10"/>
      <c r="N89" s="10"/>
      <c r="O89" s="10"/>
      <c r="P89" s="10"/>
      <c r="Q89" s="10"/>
      <c r="R89" s="24"/>
      <c r="S89" s="10"/>
      <c r="T89" s="10"/>
      <c r="U89" s="10"/>
      <c r="V89" s="10"/>
      <c r="W89" s="10"/>
      <c r="X89" s="10"/>
      <c r="Y89" s="10"/>
      <c r="Z89" s="2"/>
      <c r="AE89" s="10"/>
      <c r="AF89" s="2"/>
    </row>
    <row r="90" spans="2:32" s="12" customFormat="1" ht="16.5" customHeight="1">
      <c r="B90" s="446" t="s">
        <v>224</v>
      </c>
      <c r="C90" s="446"/>
      <c r="D90" s="447"/>
      <c r="E90" s="447"/>
      <c r="F90" s="448"/>
      <c r="G90" s="447"/>
      <c r="H90" s="447"/>
      <c r="I90" s="447"/>
      <c r="J90" s="445"/>
      <c r="K90" s="445"/>
      <c r="L90" s="445"/>
      <c r="M90" s="445"/>
      <c r="N90" s="445"/>
      <c r="O90" s="10"/>
      <c r="P90" s="10"/>
      <c r="Q90" s="10"/>
      <c r="R90" s="24"/>
      <c r="S90" s="10"/>
      <c r="T90" s="10"/>
      <c r="U90" s="10"/>
      <c r="V90" s="10"/>
      <c r="W90" s="10"/>
      <c r="X90" s="10"/>
      <c r="Y90" s="10"/>
      <c r="Z90" s="2"/>
      <c r="AE90" s="10"/>
      <c r="AF90" s="2"/>
    </row>
    <row r="91" spans="2:32" s="12" customFormat="1" ht="16.5" customHeight="1">
      <c r="B91" s="219"/>
      <c r="C91" s="219"/>
      <c r="D91" s="10"/>
      <c r="E91" s="10"/>
      <c r="F91" s="16"/>
      <c r="G91" s="10"/>
      <c r="H91" s="10"/>
      <c r="I91" s="10"/>
      <c r="J91" s="10"/>
      <c r="K91" s="10"/>
      <c r="L91" s="24"/>
      <c r="M91" s="10"/>
      <c r="N91" s="10"/>
      <c r="O91" s="10"/>
      <c r="P91" s="10"/>
      <c r="Q91" s="10"/>
      <c r="R91" s="24"/>
      <c r="S91" s="10"/>
      <c r="T91" s="10"/>
      <c r="U91" s="10"/>
      <c r="V91" s="10"/>
      <c r="W91" s="10"/>
      <c r="X91" s="10"/>
      <c r="Y91" s="10"/>
      <c r="Z91" s="2"/>
      <c r="AE91" s="10"/>
      <c r="AF91" s="2"/>
    </row>
    <row r="92" spans="2:32" s="12" customFormat="1" ht="16.5" customHeight="1">
      <c r="B92" s="220" t="s">
        <v>225</v>
      </c>
      <c r="C92" s="220"/>
      <c r="D92" s="102"/>
      <c r="E92" s="102"/>
      <c r="F92" s="216"/>
      <c r="G92" s="102"/>
      <c r="H92" s="102"/>
      <c r="I92" s="10"/>
      <c r="J92" s="10"/>
      <c r="K92" s="10"/>
      <c r="L92" s="24"/>
      <c r="M92" s="10"/>
      <c r="N92" s="10"/>
      <c r="O92" s="10"/>
      <c r="P92" s="10"/>
      <c r="Q92" s="10"/>
      <c r="R92" s="24"/>
      <c r="S92" s="10"/>
      <c r="T92" s="10"/>
      <c r="U92" s="10"/>
      <c r="V92" s="10"/>
      <c r="W92" s="10"/>
      <c r="X92" s="10"/>
      <c r="Y92" s="10"/>
      <c r="Z92" s="2"/>
      <c r="AE92" s="10"/>
      <c r="AF92" s="2"/>
    </row>
    <row r="93" spans="2:32" s="12" customFormat="1" ht="16.5" customHeight="1">
      <c r="B93" s="110"/>
      <c r="C93" s="110"/>
      <c r="D93" s="10"/>
      <c r="E93" s="10"/>
      <c r="F93" s="16"/>
      <c r="G93" s="10"/>
      <c r="H93" s="10"/>
      <c r="I93" s="10"/>
      <c r="J93" s="10"/>
      <c r="K93" s="10"/>
      <c r="L93" s="93"/>
      <c r="M93" s="10"/>
      <c r="N93" s="10"/>
      <c r="O93" s="10"/>
      <c r="P93" s="10"/>
      <c r="Q93" s="10"/>
      <c r="R93" s="93"/>
      <c r="S93" s="10"/>
      <c r="T93" s="10"/>
      <c r="U93" s="10"/>
      <c r="V93" s="10"/>
      <c r="W93" s="10"/>
      <c r="X93" s="93"/>
      <c r="Y93" s="10"/>
      <c r="Z93" s="2"/>
      <c r="AE93" s="10"/>
      <c r="AF93" s="2"/>
    </row>
    <row r="94" spans="2:32" s="12" customFormat="1" ht="16.5" customHeight="1">
      <c r="B94" s="111" t="s">
        <v>226</v>
      </c>
      <c r="C94" s="111"/>
      <c r="D94" s="111"/>
      <c r="E94" s="111"/>
      <c r="F94" s="111"/>
      <c r="G94" s="111"/>
      <c r="H94" s="111"/>
      <c r="I94" s="449"/>
      <c r="J94" s="221"/>
      <c r="K94" s="10"/>
      <c r="L94" s="93"/>
      <c r="M94" s="10"/>
      <c r="N94" s="10"/>
      <c r="O94" s="10"/>
      <c r="P94" s="10"/>
      <c r="Q94" s="10"/>
      <c r="R94" s="93"/>
      <c r="S94" s="10"/>
      <c r="T94" s="10"/>
      <c r="U94" s="10"/>
      <c r="V94" s="10"/>
      <c r="W94" s="10"/>
      <c r="X94" s="93"/>
      <c r="Y94" s="10"/>
      <c r="Z94" s="2"/>
      <c r="AE94" s="10"/>
      <c r="AF94" s="2"/>
    </row>
    <row r="95" spans="2:32" s="12" customFormat="1" ht="16.5" customHeight="1">
      <c r="B95" s="222"/>
      <c r="C95" s="10"/>
      <c r="D95" s="10"/>
      <c r="E95" s="10"/>
      <c r="F95" s="16"/>
      <c r="G95" s="10"/>
      <c r="H95" s="10"/>
      <c r="I95" s="10"/>
      <c r="J95" s="10"/>
      <c r="K95" s="93"/>
      <c r="L95"/>
      <c r="M95" s="223"/>
      <c r="N95" s="20"/>
      <c r="O95" s="20"/>
      <c r="P95" s="10"/>
      <c r="Q95" s="10"/>
      <c r="R95"/>
      <c r="S95" s="10"/>
      <c r="T95" s="10"/>
      <c r="U95" s="10"/>
      <c r="V95" s="10"/>
      <c r="W95" s="10"/>
      <c r="X95" s="93"/>
      <c r="Y95" s="10"/>
      <c r="Z95" s="10"/>
      <c r="AE95" s="10"/>
      <c r="AF95" s="10"/>
    </row>
    <row r="96" spans="2:32" s="12" customFormat="1" ht="16.5" customHeight="1">
      <c r="B96" s="113" t="s">
        <v>227</v>
      </c>
      <c r="C96" s="113"/>
      <c r="D96" s="221"/>
      <c r="E96" s="224"/>
      <c r="F96" s="224"/>
      <c r="G96" s="224"/>
      <c r="H96" s="224"/>
      <c r="I96" s="224"/>
      <c r="J96" s="224"/>
      <c r="K96" s="224"/>
      <c r="L96" s="224"/>
      <c r="M96" s="224"/>
      <c r="N96" s="10"/>
      <c r="O96" s="10"/>
      <c r="P96" s="10"/>
      <c r="Q96" s="10"/>
      <c r="R96" s="93"/>
      <c r="S96" s="10"/>
      <c r="T96" s="10"/>
      <c r="U96" s="10"/>
      <c r="V96" s="10"/>
      <c r="W96" s="10"/>
      <c r="X96" s="93"/>
      <c r="Y96" s="10"/>
      <c r="Z96" s="2"/>
      <c r="AE96" s="10"/>
      <c r="AF96" s="2"/>
    </row>
    <row r="97" spans="2:19" ht="16.5" customHeight="1">
      <c r="B97" s="102"/>
      <c r="C97" s="102"/>
      <c r="D97" s="102"/>
      <c r="E97" s="102"/>
      <c r="F97" s="102"/>
      <c r="G97" s="102"/>
    </row>
    <row r="98" spans="2:19" s="12" customFormat="1" ht="16.5" customHeight="1">
      <c r="B98" s="115" t="s">
        <v>228</v>
      </c>
      <c r="C98" s="115"/>
      <c r="D98" s="116"/>
      <c r="E98" s="116"/>
      <c r="F98" s="116"/>
      <c r="G98" s="117"/>
    </row>
    <row r="99" spans="2:19" s="12" customFormat="1" ht="16.5" customHeight="1">
      <c r="B99" s="225"/>
      <c r="C99" s="225"/>
      <c r="D99" s="117"/>
      <c r="E99" s="117"/>
      <c r="F99" s="117"/>
      <c r="G99" s="117"/>
      <c r="H99" s="117"/>
      <c r="I99" s="117"/>
      <c r="J99" s="117"/>
      <c r="K99" s="117"/>
      <c r="L99" s="117"/>
      <c r="M99" s="117"/>
      <c r="N99" s="117"/>
      <c r="O99" s="117"/>
      <c r="P99" s="117"/>
      <c r="Q99" s="117"/>
      <c r="R99" s="117"/>
      <c r="S99" s="117"/>
    </row>
    <row r="100" spans="2:19" s="12" customFormat="1" ht="16.5" customHeight="1">
      <c r="B100" s="119" t="s">
        <v>229</v>
      </c>
      <c r="C100" s="119"/>
      <c r="D100" s="117"/>
      <c r="E100" s="117"/>
      <c r="F100" s="117"/>
      <c r="G100" s="117"/>
      <c r="H100" s="117"/>
      <c r="I100" s="117"/>
      <c r="J100" s="117"/>
      <c r="K100" s="117"/>
      <c r="L100" s="117"/>
      <c r="M100" s="117"/>
      <c r="N100" s="117"/>
      <c r="O100" s="117"/>
      <c r="P100" s="117"/>
      <c r="Q100" s="117"/>
      <c r="R100" s="117"/>
      <c r="S100" s="117"/>
    </row>
    <row r="101" spans="2:19" s="12" customFormat="1" ht="16.5" customHeight="1">
      <c r="B101" s="119" t="s">
        <v>230</v>
      </c>
      <c r="C101" s="119"/>
      <c r="D101" s="117"/>
      <c r="E101" s="117"/>
      <c r="F101" s="117"/>
      <c r="G101" s="117"/>
      <c r="H101" s="117"/>
      <c r="I101" s="117"/>
      <c r="J101" s="117"/>
      <c r="K101" s="117"/>
      <c r="L101" s="117"/>
      <c r="M101" s="117"/>
      <c r="N101" s="117"/>
      <c r="O101" s="117"/>
      <c r="P101" s="117"/>
      <c r="Q101" s="117"/>
      <c r="R101" s="117"/>
      <c r="S101" s="117"/>
    </row>
    <row r="102" spans="2:19" s="12" customFormat="1" ht="16.5" customHeight="1">
      <c r="B102" s="119" t="s">
        <v>231</v>
      </c>
      <c r="C102" s="119"/>
      <c r="D102" s="117"/>
      <c r="E102" s="117"/>
      <c r="F102" s="117"/>
      <c r="G102" s="117"/>
      <c r="H102" s="117"/>
      <c r="I102" s="117"/>
      <c r="J102" s="117"/>
      <c r="K102" s="117"/>
      <c r="L102" s="117"/>
      <c r="M102" s="117"/>
      <c r="N102" s="117"/>
      <c r="O102" s="117"/>
      <c r="P102" s="117"/>
      <c r="Q102" s="117"/>
      <c r="R102" s="117"/>
      <c r="S102" s="117"/>
    </row>
    <row r="103" spans="2:19" s="12" customFormat="1" ht="16.5" customHeight="1">
      <c r="B103" s="119" t="s">
        <v>232</v>
      </c>
      <c r="C103" s="119"/>
      <c r="D103" s="117"/>
      <c r="E103" s="117"/>
      <c r="F103" s="117"/>
      <c r="G103" s="117"/>
      <c r="H103" s="117"/>
      <c r="I103" s="117"/>
      <c r="J103" s="117"/>
      <c r="K103" s="117"/>
      <c r="L103" s="117"/>
      <c r="M103" s="117"/>
      <c r="N103" s="117"/>
      <c r="O103" s="117"/>
      <c r="P103" s="117"/>
      <c r="Q103" s="117"/>
      <c r="R103" s="117"/>
      <c r="S103" s="117"/>
    </row>
    <row r="104" spans="2:19" s="12" customFormat="1" ht="16.5" customHeight="1">
      <c r="B104" s="119" t="s">
        <v>233</v>
      </c>
      <c r="C104" s="119"/>
      <c r="D104" s="117"/>
      <c r="E104" s="117"/>
      <c r="F104" s="117"/>
      <c r="G104" s="117"/>
      <c r="H104" s="117"/>
      <c r="I104" s="117"/>
      <c r="J104" s="117"/>
      <c r="K104" s="117"/>
      <c r="L104" s="117"/>
      <c r="M104" s="117"/>
      <c r="N104" s="117"/>
      <c r="O104" s="117"/>
      <c r="P104" s="117"/>
      <c r="Q104" s="117"/>
      <c r="R104" s="117"/>
      <c r="S104" s="117"/>
    </row>
    <row r="105" spans="2:19" s="12" customFormat="1" ht="16.5" customHeight="1">
      <c r="B105" s="226" t="s">
        <v>234</v>
      </c>
      <c r="C105" s="119"/>
      <c r="D105" s="117"/>
      <c r="E105" s="117"/>
      <c r="F105" s="117"/>
      <c r="G105" s="117"/>
      <c r="H105" s="117"/>
      <c r="I105" s="117"/>
      <c r="J105" s="117"/>
      <c r="K105" s="117"/>
      <c r="L105" s="117"/>
      <c r="M105" s="117"/>
      <c r="N105" s="117"/>
      <c r="O105" s="117"/>
      <c r="P105" s="117"/>
      <c r="Q105" s="117"/>
      <c r="R105" s="117"/>
      <c r="S105" s="117"/>
    </row>
    <row r="106" spans="2:19" s="12" customFormat="1" ht="16.5" customHeight="1">
      <c r="B106" s="119" t="s">
        <v>235</v>
      </c>
      <c r="C106" s="119"/>
      <c r="D106" s="117"/>
      <c r="E106" s="117"/>
      <c r="F106" s="117"/>
      <c r="G106" s="117"/>
      <c r="H106" s="117"/>
      <c r="I106" s="117"/>
      <c r="J106" s="117"/>
      <c r="K106" s="117"/>
      <c r="L106" s="117"/>
      <c r="M106" s="117"/>
      <c r="N106" s="117"/>
      <c r="O106" s="117"/>
      <c r="P106" s="117"/>
      <c r="Q106" s="117"/>
      <c r="R106" s="117"/>
      <c r="S106" s="117"/>
    </row>
    <row r="107" spans="2:19" s="12" customFormat="1" ht="16.5" customHeight="1" thickBot="1">
      <c r="B107" s="119"/>
      <c r="C107" s="119"/>
      <c r="D107" s="117"/>
      <c r="E107" s="117"/>
      <c r="F107" s="117"/>
      <c r="G107" s="117"/>
      <c r="H107" s="117"/>
      <c r="I107" s="117"/>
      <c r="J107" s="117"/>
      <c r="K107" s="117"/>
      <c r="L107" s="117"/>
      <c r="M107" s="117"/>
      <c r="N107" s="117"/>
      <c r="O107" s="117"/>
      <c r="P107" s="117"/>
      <c r="Q107" s="117"/>
      <c r="R107" s="117"/>
      <c r="S107" s="117"/>
    </row>
    <row r="108" spans="2:19" s="12" customFormat="1" ht="16.5" customHeight="1">
      <c r="B108" s="227" t="s">
        <v>236</v>
      </c>
      <c r="C108" s="228"/>
      <c r="D108" s="229"/>
      <c r="E108" s="229"/>
      <c r="F108" s="229"/>
      <c r="G108" s="229"/>
      <c r="H108" s="229"/>
      <c r="I108" s="229"/>
      <c r="J108" s="229"/>
      <c r="K108" s="229"/>
      <c r="L108" s="229"/>
      <c r="M108" s="229"/>
      <c r="N108" s="230"/>
      <c r="O108" s="117"/>
      <c r="P108" s="117"/>
      <c r="Q108" s="117"/>
      <c r="R108" s="117"/>
      <c r="S108" s="117"/>
    </row>
    <row r="109" spans="2:19" s="12" customFormat="1" ht="16.5" customHeight="1">
      <c r="B109" s="231" t="s">
        <v>237</v>
      </c>
      <c r="C109" s="232"/>
      <c r="D109" s="233"/>
      <c r="E109" s="233"/>
      <c r="F109" s="233"/>
      <c r="G109" s="233"/>
      <c r="H109" s="233"/>
      <c r="I109" s="233"/>
      <c r="J109" s="233"/>
      <c r="K109" s="233"/>
      <c r="L109" s="233"/>
      <c r="M109" s="233"/>
      <c r="N109" s="234"/>
      <c r="O109" s="117"/>
      <c r="P109" s="117"/>
      <c r="Q109" s="117"/>
      <c r="R109" s="117"/>
      <c r="S109" s="117"/>
    </row>
    <row r="110" spans="2:19" s="12" customFormat="1" ht="16.5" customHeight="1">
      <c r="B110" s="231" t="s">
        <v>238</v>
      </c>
      <c r="C110" s="235"/>
      <c r="D110" s="233"/>
      <c r="E110" s="233"/>
      <c r="F110" s="233"/>
      <c r="G110" s="233"/>
      <c r="H110" s="233"/>
      <c r="I110" s="233"/>
      <c r="J110" s="233"/>
      <c r="K110" s="233"/>
      <c r="L110" s="233"/>
      <c r="M110" s="233"/>
      <c r="N110" s="234"/>
      <c r="O110" s="117"/>
      <c r="P110" s="117"/>
      <c r="Q110" s="117"/>
      <c r="R110" s="117"/>
      <c r="S110" s="117"/>
    </row>
    <row r="111" spans="2:19" s="12" customFormat="1" ht="16.5" customHeight="1">
      <c r="B111" s="231" t="s">
        <v>239</v>
      </c>
      <c r="C111" s="235"/>
      <c r="D111" s="233"/>
      <c r="E111" s="233"/>
      <c r="F111" s="233"/>
      <c r="G111" s="233"/>
      <c r="H111" s="233"/>
      <c r="I111" s="233"/>
      <c r="J111" s="233"/>
      <c r="K111" s="233"/>
      <c r="L111" s="233"/>
      <c r="M111" s="233"/>
      <c r="N111" s="234"/>
      <c r="O111" s="117"/>
      <c r="P111" s="117"/>
      <c r="Q111" s="117"/>
      <c r="R111" s="117"/>
      <c r="S111" s="117"/>
    </row>
    <row r="112" spans="2:19" s="12" customFormat="1" ht="16.5" customHeight="1">
      <c r="B112" s="464" t="s">
        <v>240</v>
      </c>
      <c r="C112" s="226"/>
      <c r="D112" s="113"/>
      <c r="E112" s="113"/>
      <c r="F112" s="113"/>
      <c r="G112" s="113"/>
      <c r="H112" s="113"/>
      <c r="I112" s="233"/>
      <c r="J112" s="233"/>
      <c r="K112" s="233"/>
      <c r="L112" s="233"/>
      <c r="M112" s="233"/>
      <c r="N112" s="234"/>
      <c r="O112" s="117"/>
      <c r="P112" s="117"/>
      <c r="Q112" s="117"/>
      <c r="R112" s="117"/>
      <c r="S112" s="117"/>
    </row>
    <row r="113" spans="2:19" s="12" customFormat="1" ht="16.5" customHeight="1">
      <c r="B113" s="139" t="s">
        <v>241</v>
      </c>
      <c r="C113" s="236"/>
      <c r="D113" s="233"/>
      <c r="E113" s="233"/>
      <c r="F113" s="233"/>
      <c r="G113" s="233"/>
      <c r="H113" s="233"/>
      <c r="I113" s="233"/>
      <c r="J113" s="233"/>
      <c r="K113" s="233"/>
      <c r="L113" s="233"/>
      <c r="M113" s="233"/>
      <c r="N113" s="234"/>
      <c r="O113" s="117"/>
      <c r="P113" s="117"/>
      <c r="Q113" s="117"/>
      <c r="R113" s="117"/>
      <c r="S113" s="117"/>
    </row>
    <row r="114" spans="2:19" s="12" customFormat="1" ht="16.5" customHeight="1">
      <c r="B114" s="139" t="s">
        <v>242</v>
      </c>
      <c r="C114" s="236"/>
      <c r="D114" s="233"/>
      <c r="E114" s="233"/>
      <c r="F114" s="233"/>
      <c r="G114" s="233"/>
      <c r="H114" s="233"/>
      <c r="I114" s="233"/>
      <c r="J114" s="233"/>
      <c r="K114" s="233"/>
      <c r="L114" s="233"/>
      <c r="M114" s="233"/>
      <c r="N114" s="234"/>
      <c r="O114" s="117"/>
      <c r="P114" s="117"/>
      <c r="Q114" s="117"/>
      <c r="R114" s="117"/>
      <c r="S114" s="117"/>
    </row>
    <row r="115" spans="2:19" s="12" customFormat="1" ht="16.5" customHeight="1">
      <c r="B115" s="237" t="s">
        <v>243</v>
      </c>
      <c r="C115" s="127" t="s">
        <v>244</v>
      </c>
      <c r="D115" s="233"/>
      <c r="E115" s="233"/>
      <c r="F115" s="233"/>
      <c r="G115" s="233"/>
      <c r="H115" s="233"/>
      <c r="I115" s="233"/>
      <c r="J115" s="233"/>
      <c r="K115" s="233"/>
      <c r="L115" s="233"/>
      <c r="M115" s="233"/>
      <c r="N115" s="234"/>
      <c r="O115" s="117"/>
      <c r="P115" s="117"/>
      <c r="Q115" s="117"/>
      <c r="R115" s="117"/>
      <c r="S115" s="117"/>
    </row>
    <row r="116" spans="2:19" s="12" customFormat="1" ht="16.5" customHeight="1">
      <c r="B116" s="238" t="s">
        <v>245</v>
      </c>
      <c r="C116" s="127" t="s">
        <v>246</v>
      </c>
      <c r="D116" s="233"/>
      <c r="E116" s="233"/>
      <c r="F116" s="233"/>
      <c r="G116" s="233"/>
      <c r="H116" s="233"/>
      <c r="I116" s="233"/>
      <c r="J116" s="233"/>
      <c r="K116" s="233"/>
      <c r="L116" s="233"/>
      <c r="M116" s="233"/>
      <c r="N116" s="234"/>
      <c r="O116" s="117"/>
      <c r="P116" s="117"/>
      <c r="Q116" s="117"/>
      <c r="R116" s="117"/>
      <c r="S116" s="117"/>
    </row>
    <row r="117" spans="2:19" s="12" customFormat="1" ht="16.5" customHeight="1">
      <c r="B117" s="238" t="s">
        <v>247</v>
      </c>
      <c r="C117" s="127" t="s">
        <v>248</v>
      </c>
      <c r="D117" s="233"/>
      <c r="E117" s="233"/>
      <c r="F117" s="233"/>
      <c r="G117" s="233"/>
      <c r="H117" s="233"/>
      <c r="I117" s="233"/>
      <c r="J117" s="233"/>
      <c r="K117" s="233"/>
      <c r="L117" s="233"/>
      <c r="M117" s="233"/>
      <c r="N117" s="234"/>
      <c r="O117" s="117"/>
      <c r="P117" s="117"/>
      <c r="Q117" s="117"/>
      <c r="R117" s="117"/>
      <c r="S117" s="117"/>
    </row>
    <row r="118" spans="2:19" s="12" customFormat="1" ht="16.5" customHeight="1" thickBot="1">
      <c r="B118" s="239" t="s">
        <v>249</v>
      </c>
      <c r="C118" s="240" t="s">
        <v>250</v>
      </c>
      <c r="D118" s="241"/>
      <c r="E118" s="241"/>
      <c r="F118" s="241"/>
      <c r="G118" s="241"/>
      <c r="H118" s="241"/>
      <c r="I118" s="241"/>
      <c r="J118" s="241"/>
      <c r="K118" s="241"/>
      <c r="L118" s="241"/>
      <c r="M118" s="241"/>
      <c r="N118" s="242"/>
      <c r="O118" s="117"/>
      <c r="P118" s="117"/>
      <c r="Q118" s="117"/>
      <c r="R118" s="117"/>
      <c r="S118" s="117"/>
    </row>
    <row r="119" spans="2:19" s="12" customFormat="1" ht="16.5" customHeight="1">
      <c r="B119" s="127"/>
      <c r="C119" s="127"/>
      <c r="D119" s="233"/>
      <c r="E119" s="233"/>
      <c r="F119" s="233"/>
      <c r="G119" s="233"/>
      <c r="H119" s="233"/>
      <c r="I119" s="233"/>
      <c r="J119" s="233"/>
      <c r="K119" s="233"/>
      <c r="L119" s="233"/>
      <c r="M119" s="233"/>
      <c r="N119" s="233"/>
      <c r="O119" s="117"/>
      <c r="P119" s="117"/>
      <c r="Q119" s="117"/>
      <c r="R119" s="117"/>
      <c r="S119" s="117"/>
    </row>
    <row r="120" spans="2:19" s="12" customFormat="1" ht="16.5" customHeight="1">
      <c r="B120" s="145" t="s">
        <v>251</v>
      </c>
      <c r="C120" s="126"/>
      <c r="D120" s="117"/>
      <c r="E120" s="117"/>
      <c r="F120" s="117"/>
      <c r="G120" s="117"/>
      <c r="H120" s="117"/>
      <c r="I120" s="117"/>
      <c r="J120" s="117"/>
      <c r="K120" s="117"/>
      <c r="L120" s="117"/>
      <c r="M120" s="117"/>
      <c r="N120" s="117"/>
      <c r="O120" s="117"/>
      <c r="P120" s="117"/>
      <c r="Q120" s="117"/>
      <c r="R120" s="117"/>
      <c r="S120" s="117"/>
    </row>
    <row r="121" spans="2:19" s="12" customFormat="1" ht="16.5" customHeight="1">
      <c r="B121" s="145"/>
      <c r="C121" s="146" t="s">
        <v>252</v>
      </c>
      <c r="D121" s="117"/>
      <c r="E121" s="117"/>
      <c r="F121" s="117"/>
      <c r="G121" s="117"/>
      <c r="H121" s="117"/>
      <c r="I121" s="117"/>
      <c r="J121" s="117"/>
      <c r="K121" s="117"/>
      <c r="L121" s="117"/>
      <c r="M121" s="117"/>
      <c r="N121" s="117"/>
      <c r="O121" s="117"/>
      <c r="P121" s="117"/>
      <c r="Q121" s="117"/>
      <c r="R121" s="117"/>
      <c r="S121" s="117"/>
    </row>
    <row r="122" spans="2:19" s="12" customFormat="1" ht="16.5" customHeight="1">
      <c r="B122" s="243"/>
      <c r="C122" s="243"/>
      <c r="D122" s="117"/>
      <c r="E122" s="117"/>
      <c r="F122" s="117"/>
      <c r="G122" s="117"/>
      <c r="H122" s="117"/>
      <c r="I122" s="117"/>
      <c r="J122" s="117"/>
      <c r="K122" s="117"/>
      <c r="L122" s="117"/>
      <c r="M122" s="117"/>
      <c r="N122" s="117"/>
      <c r="O122" s="117"/>
      <c r="P122" s="117"/>
      <c r="Q122" s="117"/>
      <c r="R122" s="117"/>
      <c r="S122" s="117"/>
    </row>
    <row r="123" spans="2:19" s="12" customFormat="1" ht="16.5" customHeight="1">
      <c r="B123" s="126" t="s">
        <v>253</v>
      </c>
      <c r="C123" s="127" t="s">
        <v>254</v>
      </c>
      <c r="D123" s="117"/>
      <c r="E123" s="117"/>
      <c r="F123" s="117"/>
      <c r="G123" s="117"/>
      <c r="H123" s="117"/>
      <c r="I123" s="117"/>
      <c r="J123" s="117"/>
      <c r="K123" s="117"/>
      <c r="L123" s="117"/>
      <c r="M123" s="117"/>
      <c r="N123" s="117"/>
      <c r="O123" s="117"/>
      <c r="P123" s="117"/>
      <c r="Q123" s="117"/>
      <c r="R123" s="117"/>
      <c r="S123" s="117"/>
    </row>
    <row r="124" spans="2:19" s="12" customFormat="1" ht="16.5" customHeight="1">
      <c r="B124" s="126"/>
      <c r="C124" s="127" t="s">
        <v>255</v>
      </c>
      <c r="D124" s="117"/>
      <c r="E124" s="117"/>
      <c r="F124" s="117"/>
      <c r="G124" s="117"/>
      <c r="H124" s="117"/>
      <c r="I124" s="117"/>
      <c r="J124" s="117"/>
      <c r="K124" s="117"/>
      <c r="L124" s="117"/>
      <c r="M124" s="117"/>
      <c r="N124" s="117"/>
      <c r="O124" s="117"/>
      <c r="P124" s="117"/>
      <c r="Q124" s="117"/>
      <c r="R124" s="117"/>
      <c r="S124" s="117"/>
    </row>
    <row r="125" spans="2:19" s="12" customFormat="1" ht="16.5" customHeight="1">
      <c r="B125" s="126"/>
      <c r="C125" s="128" t="s">
        <v>256</v>
      </c>
      <c r="D125" s="117"/>
      <c r="E125" s="117"/>
      <c r="F125" s="117"/>
      <c r="G125" s="117"/>
      <c r="H125" s="117"/>
      <c r="I125" s="117"/>
      <c r="J125" s="117"/>
      <c r="K125" s="117"/>
      <c r="L125" s="117"/>
      <c r="M125" s="117"/>
      <c r="N125" s="117"/>
      <c r="O125" s="117"/>
      <c r="P125" s="117"/>
      <c r="Q125" s="117"/>
      <c r="R125" s="117"/>
      <c r="S125" s="117"/>
    </row>
    <row r="126" spans="2:19" s="12" customFormat="1" ht="16.5" customHeight="1">
      <c r="B126" s="126"/>
      <c r="C126" s="128" t="s">
        <v>257</v>
      </c>
      <c r="D126" s="117"/>
      <c r="E126" s="117"/>
      <c r="F126" s="117"/>
      <c r="G126" s="117"/>
      <c r="H126" s="117"/>
      <c r="I126" s="117"/>
      <c r="J126" s="117"/>
      <c r="K126" s="117"/>
      <c r="L126" s="117"/>
      <c r="M126" s="117"/>
      <c r="N126" s="117"/>
      <c r="O126" s="117"/>
      <c r="P126" s="117"/>
      <c r="Q126" s="117"/>
      <c r="R126" s="117"/>
      <c r="S126" s="117"/>
    </row>
    <row r="127" spans="2:19" s="12" customFormat="1" ht="16.5" customHeight="1">
      <c r="B127" s="126"/>
      <c r="C127" s="127"/>
      <c r="D127" s="117"/>
      <c r="E127" s="117"/>
      <c r="F127" s="117"/>
      <c r="G127" s="117"/>
      <c r="H127" s="117"/>
      <c r="I127" s="117"/>
      <c r="J127" s="117"/>
      <c r="K127" s="117"/>
      <c r="L127" s="117"/>
      <c r="M127" s="117"/>
      <c r="N127" s="117"/>
      <c r="O127" s="117"/>
      <c r="P127" s="117"/>
      <c r="Q127" s="117"/>
      <c r="R127" s="117"/>
      <c r="S127" s="117"/>
    </row>
    <row r="128" spans="2:19" s="12" customFormat="1" ht="16.5" customHeight="1">
      <c r="B128" s="126"/>
      <c r="C128" s="129" t="s">
        <v>258</v>
      </c>
      <c r="D128" s="117"/>
      <c r="E128" s="117"/>
      <c r="F128" s="117"/>
      <c r="G128" s="117"/>
      <c r="H128" s="117"/>
      <c r="I128" s="117"/>
      <c r="J128" s="117"/>
      <c r="K128" s="117"/>
      <c r="L128" s="117"/>
      <c r="M128" s="117"/>
      <c r="N128" s="117"/>
      <c r="O128" s="117"/>
      <c r="P128" s="117"/>
      <c r="Q128" s="117"/>
      <c r="R128" s="117"/>
      <c r="S128" s="117"/>
    </row>
    <row r="129" spans="2:32" s="12" customFormat="1" ht="16.5" customHeight="1">
      <c r="B129" s="126"/>
      <c r="C129" s="130" t="s">
        <v>259</v>
      </c>
      <c r="D129" s="117"/>
      <c r="E129" s="117"/>
      <c r="F129" s="117"/>
      <c r="G129" s="117"/>
      <c r="H129" s="117"/>
      <c r="I129" s="117"/>
      <c r="J129" s="117"/>
      <c r="K129" s="117"/>
      <c r="L129" s="117"/>
      <c r="M129" s="117"/>
      <c r="N129" s="117"/>
      <c r="O129" s="117"/>
      <c r="P129" s="117"/>
      <c r="Q129" s="117"/>
      <c r="R129" s="117"/>
      <c r="S129" s="117"/>
    </row>
    <row r="130" spans="2:32" s="12" customFormat="1" ht="16.5" customHeight="1">
      <c r="B130" s="126"/>
      <c r="C130" s="131" t="s">
        <v>260</v>
      </c>
      <c r="D130" s="117"/>
      <c r="E130" s="117"/>
      <c r="F130" s="117"/>
      <c r="G130" s="117"/>
      <c r="H130" s="117"/>
      <c r="I130" s="117"/>
      <c r="J130" s="117"/>
      <c r="K130" s="117"/>
      <c r="L130" s="117"/>
      <c r="M130" s="117"/>
      <c r="N130" s="117"/>
      <c r="O130" s="117"/>
      <c r="P130" s="117"/>
      <c r="Q130" s="117"/>
      <c r="R130" s="117"/>
      <c r="S130" s="117"/>
    </row>
    <row r="131" spans="2:32" s="12" customFormat="1" ht="16.5" customHeight="1">
      <c r="B131" s="126"/>
      <c r="C131" s="131"/>
      <c r="D131" s="117"/>
      <c r="E131" s="117"/>
      <c r="F131" s="117"/>
      <c r="G131" s="117"/>
      <c r="H131" s="117"/>
      <c r="I131" s="117"/>
      <c r="J131" s="117"/>
      <c r="K131" s="117"/>
      <c r="L131" s="117"/>
      <c r="M131" s="117"/>
      <c r="N131" s="117"/>
      <c r="O131" s="117"/>
      <c r="P131" s="117"/>
      <c r="Q131" s="117"/>
      <c r="R131" s="117"/>
      <c r="S131" s="117"/>
    </row>
    <row r="132" spans="2:32" s="12" customFormat="1" ht="16.5" customHeight="1">
      <c r="B132" s="126"/>
      <c r="C132" s="131" t="s">
        <v>261</v>
      </c>
      <c r="D132" s="117"/>
      <c r="E132" s="117"/>
      <c r="F132" s="117"/>
      <c r="G132" s="117"/>
      <c r="H132" s="117"/>
      <c r="I132" s="117"/>
      <c r="J132" s="117"/>
      <c r="K132" s="117"/>
      <c r="L132" s="117"/>
      <c r="M132" s="117"/>
      <c r="N132" s="117"/>
      <c r="O132" s="117"/>
      <c r="P132" s="117"/>
      <c r="Q132" s="117"/>
      <c r="R132" s="117"/>
      <c r="S132" s="117"/>
    </row>
    <row r="133" spans="2:32" s="12" customFormat="1" ht="16.5" customHeight="1">
      <c r="B133" s="126"/>
      <c r="C133" s="131" t="s">
        <v>262</v>
      </c>
      <c r="D133" s="126"/>
      <c r="E133" s="126"/>
      <c r="F133" s="117"/>
      <c r="G133" s="117"/>
      <c r="H133" s="117"/>
      <c r="I133" s="117"/>
      <c r="J133" s="117"/>
      <c r="K133" s="117"/>
      <c r="L133" s="117"/>
      <c r="M133" s="117"/>
      <c r="N133" s="117"/>
      <c r="O133" s="117"/>
      <c r="P133" s="117"/>
      <c r="Q133" s="117"/>
      <c r="R133" s="117"/>
      <c r="S133" s="117"/>
    </row>
    <row r="134" spans="2:32" s="12" customFormat="1" ht="16.5" customHeight="1">
      <c r="B134" s="126"/>
      <c r="C134" s="131" t="s">
        <v>263</v>
      </c>
      <c r="D134" s="117"/>
      <c r="E134" s="117"/>
      <c r="F134" s="117"/>
      <c r="G134" s="117"/>
      <c r="H134" s="117"/>
      <c r="I134" s="117"/>
      <c r="J134" s="117"/>
      <c r="K134" s="117"/>
      <c r="L134" s="117"/>
      <c r="M134" s="117"/>
      <c r="N134" s="117"/>
      <c r="O134" s="117"/>
      <c r="P134" s="117"/>
      <c r="Q134" s="117"/>
      <c r="R134" s="117"/>
      <c r="S134" s="117"/>
    </row>
    <row r="135" spans="2:32" s="12" customFormat="1" ht="16.5" customHeight="1">
      <c r="B135" s="243"/>
      <c r="C135" s="243"/>
      <c r="D135" s="117"/>
      <c r="E135" s="117"/>
      <c r="F135" s="117"/>
      <c r="G135" s="117"/>
      <c r="H135" s="117"/>
      <c r="I135" s="117"/>
      <c r="J135" s="117"/>
      <c r="K135" s="117"/>
      <c r="L135" s="117"/>
      <c r="M135" s="117"/>
      <c r="N135" s="117"/>
      <c r="O135" s="117"/>
      <c r="P135" s="117"/>
      <c r="Q135" s="117"/>
      <c r="R135" s="117"/>
      <c r="S135" s="117"/>
    </row>
    <row r="136" spans="2:32" s="12" customFormat="1" ht="16.5" customHeight="1">
      <c r="B136" s="126" t="s">
        <v>264</v>
      </c>
      <c r="C136" s="244" t="s">
        <v>265</v>
      </c>
      <c r="D136" s="117"/>
      <c r="E136" s="117"/>
      <c r="F136" s="117"/>
      <c r="G136" s="117"/>
      <c r="H136" s="117"/>
      <c r="I136" s="117"/>
      <c r="J136" s="117"/>
      <c r="K136" s="117"/>
      <c r="L136" s="117"/>
      <c r="M136" s="117"/>
      <c r="N136" s="117"/>
      <c r="O136" s="117"/>
      <c r="P136" s="117"/>
      <c r="Q136" s="117"/>
      <c r="R136" s="117"/>
      <c r="S136" s="117"/>
    </row>
    <row r="137" spans="2:32" s="12" customFormat="1" ht="16.5" customHeight="1">
      <c r="B137" s="126"/>
      <c r="C137" s="244" t="s">
        <v>266</v>
      </c>
      <c r="D137" s="117"/>
      <c r="E137" s="117"/>
      <c r="F137" s="117"/>
      <c r="G137" s="117"/>
      <c r="H137" s="117"/>
      <c r="I137" s="117"/>
      <c r="J137" s="117"/>
      <c r="K137" s="117"/>
      <c r="L137" s="117"/>
      <c r="M137" s="117"/>
      <c r="N137" s="117"/>
      <c r="O137" s="117"/>
      <c r="P137" s="117"/>
      <c r="Q137" s="117"/>
      <c r="R137" s="117"/>
      <c r="S137" s="117"/>
    </row>
    <row r="138" spans="2:32" s="12" customFormat="1" ht="16.5" customHeight="1">
      <c r="B138" s="126"/>
      <c r="C138" s="244" t="s">
        <v>267</v>
      </c>
      <c r="D138" s="117"/>
      <c r="E138" s="117"/>
      <c r="F138" s="117"/>
      <c r="G138" s="117"/>
      <c r="H138" s="117"/>
      <c r="I138" s="117"/>
      <c r="J138" s="117"/>
      <c r="K138" s="117"/>
      <c r="L138" s="117"/>
      <c r="M138" s="117"/>
      <c r="N138" s="117"/>
      <c r="O138" s="117"/>
      <c r="P138" s="117"/>
      <c r="Q138" s="117"/>
      <c r="R138" s="117"/>
      <c r="S138" s="117"/>
      <c r="Y138" s="205"/>
      <c r="Z138" s="205"/>
      <c r="AA138" s="205"/>
      <c r="AB138" s="205"/>
      <c r="AC138" s="205"/>
      <c r="AD138" s="205"/>
      <c r="AE138" s="205"/>
      <c r="AF138" s="205"/>
    </row>
    <row r="139" spans="2:32" s="12" customFormat="1" ht="16.5" customHeight="1">
      <c r="B139" s="126" t="s">
        <v>268</v>
      </c>
      <c r="C139" s="131" t="s">
        <v>269</v>
      </c>
      <c r="D139" s="117"/>
      <c r="E139" s="117"/>
      <c r="F139" s="117"/>
      <c r="G139" s="117"/>
      <c r="H139" s="117"/>
      <c r="I139" s="117"/>
      <c r="J139" s="117"/>
      <c r="K139" s="117"/>
      <c r="L139" s="117"/>
      <c r="M139" s="117"/>
      <c r="N139" s="117"/>
      <c r="O139" s="117"/>
      <c r="P139" s="117"/>
      <c r="Q139" s="117"/>
      <c r="R139" s="117"/>
      <c r="S139" s="117"/>
      <c r="Y139" s="205"/>
      <c r="Z139" s="205"/>
      <c r="AA139" s="205"/>
      <c r="AB139" s="205"/>
      <c r="AC139" s="205"/>
      <c r="AD139" s="205"/>
      <c r="AE139" s="205"/>
      <c r="AF139" s="205"/>
    </row>
    <row r="140" spans="2:32" s="205" customFormat="1" ht="16.5" customHeight="1">
      <c r="B140" s="126" t="s">
        <v>270</v>
      </c>
      <c r="C140" s="131" t="s">
        <v>271</v>
      </c>
      <c r="D140" s="233"/>
      <c r="E140" s="233"/>
      <c r="F140" s="233"/>
      <c r="G140" s="233"/>
      <c r="H140" s="233"/>
      <c r="I140" s="233"/>
      <c r="J140" s="233"/>
      <c r="K140" s="233"/>
      <c r="L140" s="233"/>
      <c r="M140" s="233"/>
      <c r="N140" s="233"/>
      <c r="O140" s="233"/>
      <c r="P140" s="233"/>
      <c r="Q140" s="233"/>
      <c r="R140" s="233"/>
      <c r="S140" s="233"/>
    </row>
    <row r="141" spans="2:32" s="205" customFormat="1" ht="16.5" customHeight="1">
      <c r="B141" s="245"/>
      <c r="C141" s="245"/>
      <c r="D141" s="233"/>
      <c r="E141" s="233"/>
      <c r="F141" s="233"/>
      <c r="G141" s="233"/>
      <c r="H141" s="233"/>
      <c r="I141" s="233"/>
      <c r="J141" s="233"/>
      <c r="K141" s="233"/>
      <c r="L141" s="233"/>
      <c r="M141" s="233"/>
      <c r="N141" s="233"/>
      <c r="O141" s="233"/>
      <c r="P141" s="233"/>
      <c r="Q141" s="233"/>
      <c r="R141" s="233"/>
      <c r="S141" s="233"/>
    </row>
    <row r="142" spans="2:32" s="205" customFormat="1" ht="16.5" customHeight="1">
      <c r="B142" s="150" t="s">
        <v>272</v>
      </c>
      <c r="C142" s="246"/>
      <c r="D142" s="233"/>
      <c r="E142" s="233"/>
      <c r="F142" s="233"/>
      <c r="G142" s="233"/>
      <c r="H142" s="233"/>
      <c r="I142" s="233"/>
      <c r="J142" s="233"/>
      <c r="K142" s="233"/>
      <c r="L142" s="233"/>
      <c r="M142" s="233"/>
      <c r="N142" s="233"/>
      <c r="O142" s="233"/>
      <c r="P142" s="233"/>
      <c r="Q142" s="233"/>
      <c r="R142" s="233"/>
      <c r="S142" s="233"/>
    </row>
    <row r="143" spans="2:32" s="205" customFormat="1" ht="16.5" customHeight="1">
      <c r="B143" s="247" t="s">
        <v>273</v>
      </c>
      <c r="C143" s="248"/>
      <c r="D143" s="233"/>
      <c r="E143" s="233"/>
      <c r="F143" s="233"/>
      <c r="G143" s="233"/>
      <c r="H143" s="233"/>
      <c r="I143" s="233"/>
      <c r="J143" s="233"/>
      <c r="K143" s="233"/>
      <c r="L143" s="233"/>
      <c r="M143" s="233"/>
      <c r="N143" s="233"/>
      <c r="O143" s="233"/>
      <c r="P143" s="233"/>
      <c r="Q143" s="233"/>
      <c r="R143" s="233"/>
      <c r="S143" s="233"/>
    </row>
    <row r="144" spans="2:32" s="205" customFormat="1" ht="16.5" customHeight="1">
      <c r="B144" s="249" t="s">
        <v>274</v>
      </c>
      <c r="C144" s="250"/>
      <c r="D144" s="233"/>
      <c r="E144" s="233"/>
      <c r="F144" s="233"/>
      <c r="G144" s="233"/>
      <c r="H144" s="233"/>
      <c r="I144" s="233"/>
      <c r="J144" s="233"/>
      <c r="K144" s="233"/>
      <c r="L144" s="233"/>
      <c r="M144" s="233"/>
      <c r="N144" s="233"/>
      <c r="O144" s="233"/>
      <c r="P144" s="233"/>
      <c r="Q144" s="233"/>
      <c r="R144" s="233"/>
      <c r="S144" s="233"/>
    </row>
    <row r="145" spans="2:19" s="205" customFormat="1" ht="16.5" customHeight="1">
      <c r="B145" s="251" t="s">
        <v>275</v>
      </c>
      <c r="C145" s="250"/>
      <c r="D145" s="233"/>
      <c r="E145" s="233"/>
      <c r="F145" s="233"/>
      <c r="G145" s="233"/>
      <c r="H145" s="233"/>
      <c r="I145" s="233"/>
      <c r="J145" s="233"/>
      <c r="K145" s="233"/>
      <c r="L145" s="233"/>
      <c r="M145" s="233"/>
      <c r="N145" s="233"/>
      <c r="O145" s="233"/>
      <c r="P145" s="233"/>
      <c r="Q145" s="233"/>
      <c r="R145" s="233"/>
      <c r="S145" s="233"/>
    </row>
    <row r="146" spans="2:19" s="205" customFormat="1" ht="16.5" customHeight="1">
      <c r="B146" s="247" t="s">
        <v>276</v>
      </c>
      <c r="C146" s="250"/>
      <c r="D146" s="233"/>
      <c r="E146" s="233"/>
      <c r="F146" s="233"/>
      <c r="G146" s="233"/>
      <c r="H146" s="233"/>
      <c r="I146" s="233"/>
      <c r="J146" s="233"/>
      <c r="K146" s="233"/>
      <c r="L146" s="233"/>
      <c r="M146" s="233"/>
      <c r="N146" s="233"/>
      <c r="O146" s="233"/>
      <c r="P146" s="233"/>
      <c r="Q146" s="233"/>
      <c r="R146" s="233"/>
      <c r="S146" s="233"/>
    </row>
    <row r="147" spans="2:19" s="205" customFormat="1" ht="16.5" customHeight="1">
      <c r="B147" s="247" t="s">
        <v>277</v>
      </c>
      <c r="C147" s="250"/>
      <c r="D147" s="233"/>
      <c r="E147" s="233"/>
      <c r="F147" s="233"/>
      <c r="G147" s="233"/>
      <c r="H147" s="233"/>
      <c r="I147" s="233"/>
      <c r="J147" s="233"/>
      <c r="K147" s="233"/>
      <c r="L147" s="233"/>
      <c r="M147" s="233"/>
      <c r="N147" s="233"/>
      <c r="O147" s="233"/>
      <c r="P147" s="233"/>
      <c r="Q147" s="233"/>
      <c r="R147" s="233"/>
      <c r="S147" s="233"/>
    </row>
    <row r="148" spans="2:19" s="205" customFormat="1" ht="16.5" customHeight="1">
      <c r="B148" s="252" t="s">
        <v>278</v>
      </c>
      <c r="C148" s="249"/>
      <c r="D148" s="233"/>
      <c r="E148" s="233"/>
      <c r="F148" s="233"/>
      <c r="G148" s="233"/>
      <c r="H148" s="233"/>
      <c r="I148" s="233"/>
      <c r="J148" s="233"/>
      <c r="K148" s="233"/>
      <c r="L148" s="233"/>
      <c r="M148" s="233"/>
      <c r="N148" s="233"/>
      <c r="O148" s="233"/>
      <c r="P148" s="233"/>
      <c r="Q148" s="233"/>
      <c r="R148" s="233"/>
      <c r="S148" s="233"/>
    </row>
    <row r="149" spans="2:19" s="205" customFormat="1" ht="16.5" customHeight="1">
      <c r="B149" s="253" t="s">
        <v>228</v>
      </c>
      <c r="C149" s="233"/>
      <c r="D149" s="233"/>
      <c r="E149" s="233"/>
      <c r="F149" s="233"/>
      <c r="G149" s="233"/>
      <c r="H149" s="233"/>
      <c r="I149" s="233"/>
      <c r="J149" s="233"/>
      <c r="K149" s="233"/>
      <c r="L149" s="233"/>
      <c r="M149" s="233"/>
      <c r="N149" s="233"/>
      <c r="O149" s="233"/>
      <c r="P149" s="233"/>
      <c r="Q149" s="233"/>
      <c r="R149" s="233"/>
      <c r="S149" s="233"/>
    </row>
    <row r="150" spans="2:19" s="205" customFormat="1" ht="16.5" customHeight="1">
      <c r="B150" s="156" t="s">
        <v>279</v>
      </c>
      <c r="C150" s="233"/>
      <c r="D150" s="233"/>
      <c r="E150" s="233"/>
      <c r="F150" s="233"/>
      <c r="G150" s="233"/>
      <c r="H150" s="233"/>
      <c r="I150" s="233"/>
      <c r="J150" s="233"/>
      <c r="K150" s="233"/>
      <c r="L150" s="233"/>
      <c r="M150" s="233"/>
      <c r="N150" s="233"/>
      <c r="O150" s="233"/>
      <c r="P150" s="233"/>
      <c r="Q150" s="233"/>
      <c r="R150" s="233"/>
      <c r="S150" s="233"/>
    </row>
    <row r="151" spans="2:19" s="205" customFormat="1" ht="16.5" customHeight="1">
      <c r="B151" s="247" t="s">
        <v>280</v>
      </c>
      <c r="C151" s="233"/>
      <c r="D151" s="233"/>
      <c r="E151" s="233"/>
      <c r="F151" s="233"/>
      <c r="G151" s="233"/>
      <c r="H151" s="233"/>
      <c r="I151" s="233"/>
      <c r="J151" s="233"/>
      <c r="K151" s="233"/>
      <c r="L151" s="233"/>
      <c r="M151" s="233"/>
      <c r="N151" s="233"/>
      <c r="O151" s="233"/>
      <c r="P151" s="233"/>
      <c r="Q151" s="233"/>
      <c r="R151" s="233"/>
      <c r="S151" s="233"/>
    </row>
    <row r="152" spans="2:19" s="205" customFormat="1" ht="16.5" customHeight="1">
      <c r="B152" s="247" t="s">
        <v>281</v>
      </c>
      <c r="C152" s="233"/>
      <c r="D152" s="233"/>
      <c r="E152" s="233"/>
      <c r="F152" s="233"/>
      <c r="G152" s="233"/>
      <c r="H152" s="233"/>
      <c r="I152" s="233"/>
      <c r="J152" s="233"/>
      <c r="K152" s="233"/>
      <c r="L152" s="233"/>
      <c r="M152" s="233"/>
      <c r="N152" s="233"/>
      <c r="O152" s="233"/>
      <c r="P152" s="233"/>
      <c r="Q152" s="233"/>
      <c r="R152" s="233"/>
      <c r="S152" s="233"/>
    </row>
    <row r="153" spans="2:19" s="205" customFormat="1" ht="16.5" customHeight="1">
      <c r="B153" s="157" t="s">
        <v>282</v>
      </c>
      <c r="C153" s="233"/>
      <c r="D153" s="233"/>
      <c r="E153" s="233"/>
      <c r="F153" s="233"/>
      <c r="G153" s="233"/>
      <c r="H153" s="233"/>
      <c r="I153" s="233"/>
      <c r="J153" s="233"/>
      <c r="K153" s="233"/>
      <c r="L153" s="233"/>
      <c r="M153" s="233"/>
      <c r="N153" s="233"/>
      <c r="O153" s="233"/>
      <c r="P153" s="233"/>
      <c r="Q153" s="233"/>
      <c r="R153" s="233"/>
      <c r="S153" s="233"/>
    </row>
    <row r="154" spans="2:19" s="205" customFormat="1" ht="16.5" customHeight="1">
      <c r="B154" s="157" t="s">
        <v>283</v>
      </c>
      <c r="C154" s="233"/>
      <c r="D154" s="233"/>
      <c r="E154" s="233"/>
      <c r="F154" s="233"/>
      <c r="G154" s="233"/>
      <c r="H154" s="233"/>
      <c r="I154" s="233"/>
      <c r="J154" s="233"/>
      <c r="K154" s="233"/>
      <c r="L154" s="233"/>
      <c r="M154" s="233"/>
      <c r="N154" s="233"/>
      <c r="O154" s="233"/>
      <c r="P154" s="233"/>
      <c r="Q154" s="233"/>
      <c r="R154" s="233"/>
      <c r="S154" s="233"/>
    </row>
    <row r="155" spans="2:19" s="205" customFormat="1" ht="16.5" customHeight="1">
      <c r="B155" s="157" t="s">
        <v>284</v>
      </c>
      <c r="C155" s="233"/>
      <c r="D155" s="233"/>
      <c r="E155" s="233"/>
      <c r="F155" s="233"/>
      <c r="G155" s="233"/>
      <c r="H155" s="233"/>
      <c r="I155" s="233"/>
      <c r="J155" s="233"/>
      <c r="K155" s="233"/>
      <c r="L155" s="233"/>
      <c r="M155" s="233"/>
      <c r="N155" s="233"/>
      <c r="O155" s="233"/>
      <c r="P155" s="233"/>
      <c r="Q155" s="233"/>
      <c r="R155" s="233"/>
      <c r="S155" s="233"/>
    </row>
    <row r="156" spans="2:19" s="205" customFormat="1" ht="16.5" customHeight="1">
      <c r="B156" s="157" t="s">
        <v>285</v>
      </c>
      <c r="C156" s="233"/>
      <c r="D156" s="233"/>
      <c r="E156" s="233"/>
      <c r="F156" s="233"/>
      <c r="G156" s="233"/>
      <c r="H156" s="233"/>
      <c r="I156" s="233"/>
      <c r="J156" s="233"/>
      <c r="K156" s="233"/>
      <c r="L156" s="233"/>
      <c r="M156" s="233"/>
      <c r="N156" s="233"/>
      <c r="O156" s="233"/>
      <c r="P156" s="233"/>
      <c r="Q156" s="233"/>
      <c r="R156" s="233"/>
      <c r="S156" s="233"/>
    </row>
    <row r="157" spans="2:19" s="205" customFormat="1" ht="16.5" customHeight="1">
      <c r="B157" s="251" t="s">
        <v>286</v>
      </c>
      <c r="C157" s="233"/>
      <c r="D157" s="233"/>
      <c r="E157" s="233"/>
      <c r="F157" s="233"/>
      <c r="G157" s="233"/>
      <c r="H157" s="233"/>
      <c r="I157" s="233"/>
      <c r="J157" s="233"/>
      <c r="K157" s="233"/>
      <c r="L157" s="233"/>
      <c r="M157" s="233"/>
      <c r="N157" s="233"/>
      <c r="O157" s="233"/>
      <c r="P157" s="233"/>
      <c r="Q157" s="233"/>
      <c r="R157" s="233"/>
      <c r="S157" s="233"/>
    </row>
    <row r="158" spans="2:19" s="205" customFormat="1" ht="16.5" customHeight="1">
      <c r="B158" s="247" t="s">
        <v>287</v>
      </c>
      <c r="C158" s="233"/>
      <c r="D158" s="233"/>
      <c r="E158" s="233"/>
      <c r="F158" s="233"/>
      <c r="G158" s="233"/>
      <c r="H158" s="233"/>
      <c r="I158" s="233"/>
      <c r="J158" s="233"/>
      <c r="K158" s="233"/>
      <c r="L158" s="233"/>
      <c r="M158" s="233"/>
      <c r="N158" s="233"/>
      <c r="O158" s="233"/>
      <c r="P158" s="233"/>
      <c r="Q158" s="233"/>
      <c r="R158" s="233"/>
      <c r="S158" s="233"/>
    </row>
    <row r="159" spans="2:19" s="205" customFormat="1" ht="16.5" customHeight="1">
      <c r="B159" s="254" t="s">
        <v>288</v>
      </c>
      <c r="C159" s="233"/>
      <c r="D159" s="233"/>
      <c r="E159" s="233"/>
      <c r="F159" s="233"/>
      <c r="G159" s="233"/>
      <c r="H159" s="233"/>
      <c r="I159" s="233"/>
      <c r="J159" s="233"/>
      <c r="K159" s="233"/>
      <c r="L159" s="233"/>
      <c r="M159" s="233"/>
      <c r="N159" s="233"/>
      <c r="O159" s="233"/>
      <c r="P159" s="233"/>
      <c r="Q159" s="233"/>
      <c r="R159" s="233"/>
      <c r="S159" s="233"/>
    </row>
    <row r="160" spans="2:19" s="205" customFormat="1" ht="16.5" customHeight="1">
      <c r="B160" s="255" t="s">
        <v>289</v>
      </c>
      <c r="C160" s="233"/>
      <c r="D160" s="233"/>
      <c r="E160" s="233"/>
      <c r="F160" s="233"/>
      <c r="G160" s="233"/>
      <c r="H160" s="233"/>
      <c r="I160" s="233"/>
      <c r="J160" s="233"/>
      <c r="K160" s="233"/>
      <c r="L160" s="233"/>
      <c r="M160" s="233"/>
      <c r="N160" s="233"/>
      <c r="O160" s="233"/>
      <c r="P160" s="233"/>
      <c r="Q160" s="233"/>
      <c r="R160" s="233"/>
      <c r="S160" s="233"/>
    </row>
    <row r="161" spans="2:32" s="205" customFormat="1" ht="16.5" customHeight="1">
      <c r="B161" s="256" t="s">
        <v>290</v>
      </c>
      <c r="C161" s="233"/>
      <c r="D161" s="233"/>
      <c r="E161" s="233"/>
      <c r="F161" s="233"/>
      <c r="G161" s="233"/>
      <c r="H161" s="233"/>
      <c r="I161" s="233"/>
      <c r="J161" s="233"/>
      <c r="K161" s="233"/>
      <c r="L161" s="233"/>
      <c r="M161" s="233"/>
      <c r="N161" s="233"/>
      <c r="O161" s="233"/>
      <c r="P161" s="233"/>
      <c r="Q161" s="233"/>
      <c r="R161" s="233"/>
      <c r="S161" s="233"/>
      <c r="Y161" s="10"/>
      <c r="Z161" s="3"/>
      <c r="AA161" s="3"/>
      <c r="AB161" s="3"/>
      <c r="AC161" s="3"/>
      <c r="AD161" s="3"/>
      <c r="AE161" s="10"/>
      <c r="AF161" s="3"/>
    </row>
    <row r="162" spans="2:32" s="205" customFormat="1" ht="16.5" customHeight="1">
      <c r="B162" s="257" t="s">
        <v>291</v>
      </c>
      <c r="C162" s="233"/>
      <c r="D162" s="233"/>
      <c r="E162" s="233"/>
      <c r="F162" s="233"/>
      <c r="G162" s="233"/>
      <c r="H162" s="233"/>
      <c r="I162" s="233"/>
      <c r="J162" s="233"/>
      <c r="K162" s="233"/>
      <c r="L162" s="233"/>
      <c r="M162" s="233"/>
      <c r="N162" s="233"/>
      <c r="O162" s="233"/>
      <c r="P162" s="233"/>
      <c r="Q162" s="233"/>
      <c r="R162" s="233"/>
      <c r="S162" s="233"/>
      <c r="Y162" s="10"/>
      <c r="Z162" s="3"/>
      <c r="AA162" s="3"/>
      <c r="AB162" s="3"/>
      <c r="AC162" s="3"/>
      <c r="AD162" s="3"/>
      <c r="AE162" s="10"/>
      <c r="AF162" s="3"/>
    </row>
    <row r="163" spans="2:32" ht="16.5" customHeight="1">
      <c r="B163" s="102"/>
      <c r="C163" s="102"/>
      <c r="D163" s="102"/>
      <c r="E163" s="102"/>
      <c r="F163" s="102"/>
      <c r="G163" s="102"/>
      <c r="H163" s="102"/>
      <c r="I163" s="102"/>
      <c r="J163" s="102"/>
      <c r="K163" s="102"/>
      <c r="L163" s="166"/>
      <c r="M163" s="102"/>
      <c r="N163" s="102"/>
      <c r="O163" s="102"/>
      <c r="P163" s="102"/>
      <c r="Q163" s="102"/>
      <c r="R163" s="166"/>
      <c r="S163" s="102"/>
      <c r="Y163" s="12"/>
      <c r="Z163" s="12"/>
      <c r="AA163" s="12"/>
      <c r="AB163" s="12"/>
      <c r="AC163" s="12"/>
      <c r="AD163" s="12"/>
      <c r="AE163" s="12"/>
      <c r="AF163" s="12"/>
    </row>
    <row r="164" spans="2:32" ht="16.5" customHeight="1">
      <c r="B164" s="102"/>
      <c r="C164" s="102"/>
      <c r="D164" s="102"/>
      <c r="E164" s="102"/>
      <c r="F164" s="102"/>
      <c r="G164" s="102"/>
      <c r="H164" s="102"/>
      <c r="I164" s="102"/>
      <c r="J164" s="102"/>
      <c r="K164" s="102"/>
      <c r="L164" s="166"/>
      <c r="M164" s="102"/>
      <c r="N164" s="102"/>
      <c r="O164" s="102"/>
      <c r="P164" s="102"/>
      <c r="Q164" s="102"/>
      <c r="R164" s="166"/>
      <c r="S164" s="102"/>
    </row>
    <row r="165" spans="2:32" s="12" customFormat="1" ht="16.5" customHeight="1">
      <c r="B165" s="506" t="s">
        <v>292</v>
      </c>
      <c r="C165" s="506"/>
      <c r="D165" s="506"/>
      <c r="E165" s="506"/>
      <c r="F165" s="506"/>
      <c r="G165" s="506"/>
      <c r="H165" s="506"/>
      <c r="I165" s="506"/>
      <c r="J165" s="506"/>
      <c r="K165" s="506"/>
      <c r="L165" s="506"/>
      <c r="M165" s="506"/>
      <c r="N165" s="506"/>
      <c r="O165" s="117"/>
      <c r="P165" s="117"/>
      <c r="Q165" s="117"/>
      <c r="R165" s="117"/>
      <c r="S165" s="117"/>
      <c r="Y165" s="10"/>
      <c r="Z165" s="3"/>
      <c r="AA165" s="3"/>
      <c r="AB165" s="3"/>
      <c r="AC165" s="3"/>
      <c r="AD165" s="3"/>
      <c r="AE165" s="10"/>
      <c r="AF165" s="3"/>
    </row>
    <row r="166" spans="2:32" ht="16.5" customHeight="1">
      <c r="B166" s="2"/>
      <c r="C166" s="2"/>
      <c r="D166" s="2"/>
      <c r="E166" s="2"/>
      <c r="F166" s="2"/>
      <c r="G166" s="2"/>
      <c r="H166" s="2"/>
      <c r="I166" s="2"/>
      <c r="J166" s="2"/>
      <c r="K166" s="2"/>
    </row>
    <row r="167" spans="2:32" ht="16.5" customHeight="1">
      <c r="B167" s="2"/>
      <c r="C167" s="2"/>
      <c r="D167" s="2"/>
      <c r="E167" s="2"/>
      <c r="F167" s="2"/>
      <c r="G167" s="2"/>
      <c r="H167" s="2"/>
      <c r="I167" s="2"/>
      <c r="J167" s="2"/>
      <c r="K167" s="2"/>
    </row>
    <row r="168" spans="2:32" ht="16.5" customHeight="1">
      <c r="B168" s="258" t="s">
        <v>293</v>
      </c>
      <c r="C168" s="259"/>
      <c r="D168" s="2"/>
      <c r="E168" s="2"/>
      <c r="F168" s="2"/>
      <c r="G168" s="2"/>
      <c r="H168" s="2"/>
      <c r="I168" s="2"/>
      <c r="J168" s="2"/>
      <c r="K168" s="2"/>
    </row>
    <row r="169" spans="2:32" ht="16.5" customHeight="1"/>
    <row r="170" spans="2:32" ht="16.5" customHeight="1"/>
  </sheetData>
  <autoFilter ref="A17:CF81" xr:uid="{CBB66AE2-26B5-4657-B282-44B83D613C77}"/>
  <mergeCells count="12">
    <mergeCell ref="M16:Q16"/>
    <mergeCell ref="S16:W16"/>
    <mergeCell ref="B165:N165"/>
    <mergeCell ref="Y16:AC16"/>
    <mergeCell ref="B3:K3"/>
    <mergeCell ref="D4:K4"/>
    <mergeCell ref="D5:K5"/>
    <mergeCell ref="B16:B17"/>
    <mergeCell ref="C16:C17"/>
    <mergeCell ref="D16:D17"/>
    <mergeCell ref="E16:E17"/>
    <mergeCell ref="G16:K16"/>
  </mergeCells>
  <conditionalFormatting sqref="B18:B81">
    <cfRule type="duplicateValues" dxfId="0" priority="1"/>
  </conditionalFormatting>
  <hyperlinks>
    <hyperlink ref="B149" r:id="rId1" xr:uid="{772B2D0F-D977-4194-BD05-3D2DCD0A8D28}"/>
    <hyperlink ref="B150:D150" r:id="rId2" display="Local charges/conditions listed on our homepage coscoshipping.es LINK" xr:uid="{B3D6AC10-7952-4F19-AD1E-282D317362DB}"/>
    <hyperlink ref="B156" r:id="rId3" xr:uid="{ECC1F02E-3853-49F8-BD1F-A1FFF998E093}"/>
    <hyperlink ref="B155" r:id="rId4" xr:uid="{7D6D08D7-DA43-4DF3-9FBD-9B4EB7077116}"/>
    <hyperlink ref="B154" r:id="rId5" xr:uid="{DF19F922-4EC9-4292-B06C-AFE4ACBD6019}"/>
    <hyperlink ref="B151:D151" r:id="rId6" display="Local charges/conditions listed on our homepage coscoshipping.es LINK" xr:uid="{7DD0FC5C-F62B-443D-9B6A-4583A3967F33}"/>
    <hyperlink ref="B148" r:id="rId7" display="   Demurrage/detention does not include storage at terminal, please click here to check our standard free time at destinations LINK" xr:uid="{84E41198-D6C9-4EF6-9374-287686F853DB}"/>
    <hyperlink ref="B160" r:id="rId8" xr:uid="{E62D1A2C-7C26-4522-AA88-061E1324131C}"/>
    <hyperlink ref="B162" r:id="rId9" xr:uid="{787B3DF9-100F-45C7-A5BF-AA5DD1CA6267}"/>
    <hyperlink ref="C129" r:id="rId10" display="https://apc01.safelinks.protection.outlook.com/?url=http%3A%2F%2Fpkapp.pka.gov.my%2Fdg%2Funno.php%3Funno%3D3462%26Search%3DSearch&amp;data=05%7C01%7Candreas.betzold%40coscoshipping.de%7C354962dd5b0546dcdcc808da546321e5%7Cff308fd09421454ab8b34d36252ab3a3%7C0%7C0%7C637915082001854931%7CUnknown%7CTWFpbGZsb3d8eyJWIjoiMC4wLjAwMDAiLCJQIjoiV2luMzIiLCJBTiI6Ik1haWwiLCJXVCI6Mn0%3D%7C3000%7C%7C%7C&amp;sdata=WAkuVEoe4TB6lA4kKiJ7ga2M1HAePb22ISdBIXuNsKU%3D&amp;reserved=0" xr:uid="{F177AAF4-D8C6-4AF9-8031-3300C3E316D4}"/>
    <hyperlink ref="C121" r:id="rId11" xr:uid="{518A4080-6213-4D49-8E3A-F4EF265E743A}"/>
    <hyperlink ref="B98:G98" r:id="rId12" display="8. Please click here to check our standard free time tariff at destinations." xr:uid="{1024CD67-C588-4424-BBC4-8F9190214BA7}"/>
    <hyperlink ref="N11" r:id="rId13" xr:uid="{82292EE7-7A57-4846-990A-59B90C0E1778}"/>
    <hyperlink ref="N9" r:id="rId14" xr:uid="{64F31599-53F1-4CE0-8030-65D66977F9AD}"/>
    <hyperlink ref="B168" location="'Far East '!A1" display="BACK TO TOP" xr:uid="{BA3C1676-38ED-489C-B314-C743A7552F65}"/>
  </hyperlinks>
  <pageMargins left="0.7" right="0.7" top="0.75" bottom="0.75" header="0.3" footer="0.3"/>
  <pageSetup paperSize="9" orientation="portrait" verticalDpi="300" r:id="rId15"/>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B631-6748-4F90-BF87-FEE1EFB277E0}">
  <sheetPr>
    <tabColor theme="8" tint="0.59999389629810485"/>
  </sheetPr>
  <dimension ref="A2:CL116"/>
  <sheetViews>
    <sheetView showGridLines="0" zoomScaleNormal="100" workbookViewId="0">
      <selection activeCell="B63" sqref="B63:J63"/>
    </sheetView>
  </sheetViews>
  <sheetFormatPr baseColWidth="10" defaultColWidth="11.42578125" defaultRowHeight="11.25"/>
  <cols>
    <col min="1" max="1" width="4.7109375" style="2" customWidth="1"/>
    <col min="2" max="2" width="27.7109375" style="10" customWidth="1"/>
    <col min="3" max="3" width="7.5703125" style="10" customWidth="1"/>
    <col min="4" max="4" width="18.5703125" style="10" bestFit="1" customWidth="1"/>
    <col min="5" max="5" width="14.5703125" style="10" customWidth="1"/>
    <col min="6" max="6" width="0.42578125" style="10" customWidth="1"/>
    <col min="7" max="7" width="8.28515625" style="10" bestFit="1" customWidth="1"/>
    <col min="8" max="8" width="8.5703125" style="10" bestFit="1" customWidth="1"/>
    <col min="9" max="9" width="9.42578125" style="10" bestFit="1" customWidth="1"/>
    <col min="10" max="11" width="8.28515625" style="10" bestFit="1" customWidth="1"/>
    <col min="12" max="12" width="0.42578125" style="10" customWidth="1"/>
    <col min="13" max="13" width="8.28515625" style="10" bestFit="1" customWidth="1"/>
    <col min="14" max="14" width="13.28515625" style="10" customWidth="1"/>
    <col min="15" max="15" width="9.42578125" style="10" bestFit="1" customWidth="1"/>
    <col min="16" max="17" width="8.28515625" style="10" bestFit="1" customWidth="1"/>
    <col min="18" max="18" width="0.42578125" style="10" customWidth="1"/>
    <col min="19" max="19" width="8.28515625" style="10" bestFit="1" customWidth="1"/>
    <col min="20" max="20" width="8.5703125" style="10" bestFit="1" customWidth="1"/>
    <col min="21" max="23" width="8.28515625" style="10" bestFit="1" customWidth="1"/>
    <col min="24" max="24" width="0.42578125" style="10" customWidth="1"/>
    <col min="25" max="25" width="9.5703125" style="10" bestFit="1" customWidth="1"/>
    <col min="26" max="26" width="12.5703125" style="3" bestFit="1" customWidth="1"/>
    <col min="27" max="27" width="9.42578125" style="3" bestFit="1" customWidth="1"/>
    <col min="28" max="29" width="8.28515625" style="3" bestFit="1" customWidth="1"/>
    <col min="30" max="30" width="0.5703125" style="3" customWidth="1"/>
    <col min="31" max="31" width="28.85546875" style="10" customWidth="1"/>
    <col min="32" max="32" width="24.85546875" style="3" customWidth="1"/>
    <col min="33" max="90" width="11.42578125" style="3"/>
    <col min="91" max="16384" width="11.42578125" style="19"/>
  </cols>
  <sheetData>
    <row r="2" spans="2:32">
      <c r="M2" s="93"/>
      <c r="Y2" s="12"/>
      <c r="Z2" s="12"/>
      <c r="AA2" s="12"/>
      <c r="AB2" s="12"/>
      <c r="AC2" s="12"/>
      <c r="AD2" s="12"/>
    </row>
    <row r="3" spans="2:32" s="12" customFormat="1" ht="16.5" customHeight="1">
      <c r="B3" s="507" t="s">
        <v>294</v>
      </c>
      <c r="C3" s="508"/>
      <c r="D3" s="508"/>
      <c r="E3" s="508"/>
      <c r="F3" s="508"/>
      <c r="G3" s="508"/>
      <c r="H3" s="508"/>
      <c r="I3" s="508"/>
      <c r="J3" s="508"/>
      <c r="K3" s="509"/>
      <c r="L3" s="260"/>
      <c r="M3" s="85"/>
      <c r="N3" s="261"/>
    </row>
    <row r="4" spans="2:32" s="12" customFormat="1" ht="16.5" customHeight="1">
      <c r="B4" s="262" t="s">
        <v>40</v>
      </c>
      <c r="C4" s="512" t="s">
        <v>41</v>
      </c>
      <c r="D4" s="512"/>
      <c r="E4" s="512"/>
      <c r="F4" s="512"/>
      <c r="G4" s="512"/>
      <c r="H4" s="512"/>
      <c r="I4" s="512"/>
      <c r="J4" s="512"/>
      <c r="K4" s="513"/>
      <c r="L4" s="263"/>
      <c r="M4" s="13"/>
      <c r="N4" s="25"/>
    </row>
    <row r="5" spans="2:32" s="12" customFormat="1" ht="25.15" customHeight="1">
      <c r="B5" s="264" t="s">
        <v>42</v>
      </c>
      <c r="C5" s="510" t="s">
        <v>43</v>
      </c>
      <c r="D5" s="510"/>
      <c r="E5" s="510"/>
      <c r="F5" s="510"/>
      <c r="G5" s="510"/>
      <c r="H5" s="510"/>
      <c r="I5" s="510"/>
      <c r="J5" s="510"/>
      <c r="K5" s="511"/>
      <c r="L5" s="265"/>
      <c r="M5" s="13"/>
      <c r="N5" s="25"/>
    </row>
    <row r="6" spans="2:32" s="12" customFormat="1" ht="16.5" customHeight="1">
      <c r="B6" s="23" t="s">
        <v>44</v>
      </c>
      <c r="C6" s="23"/>
      <c r="D6" s="14"/>
      <c r="E6" s="14"/>
      <c r="F6" s="14"/>
      <c r="G6" s="15"/>
      <c r="H6" s="15"/>
      <c r="I6" s="15"/>
      <c r="J6" s="13"/>
      <c r="K6" s="13"/>
      <c r="L6" s="13"/>
      <c r="M6" s="13"/>
      <c r="N6" s="13"/>
    </row>
    <row r="7" spans="2:32" s="12" customFormat="1" ht="16.5" customHeight="1">
      <c r="B7" s="31"/>
      <c r="C7" s="31"/>
      <c r="D7" s="31"/>
      <c r="E7" s="31"/>
      <c r="F7" s="31"/>
      <c r="G7" s="33"/>
      <c r="H7" s="33"/>
      <c r="I7" s="33"/>
      <c r="J7" s="15"/>
      <c r="K7" s="21"/>
      <c r="L7" s="21"/>
      <c r="M7" s="13"/>
      <c r="N7" s="31" t="s">
        <v>45</v>
      </c>
      <c r="O7" s="89"/>
      <c r="P7" s="89"/>
      <c r="Q7" s="89"/>
      <c r="R7" s="89"/>
      <c r="S7" s="89"/>
      <c r="T7" s="89"/>
      <c r="U7" s="89"/>
      <c r="V7" s="89"/>
    </row>
    <row r="8" spans="2:32" s="12" customFormat="1" ht="16.5" customHeight="1">
      <c r="B8" s="34"/>
      <c r="C8" s="34"/>
      <c r="D8" s="35"/>
      <c r="E8" s="35"/>
      <c r="F8" s="35"/>
      <c r="G8" s="35"/>
      <c r="H8" s="35"/>
      <c r="I8" s="35"/>
      <c r="J8" s="35"/>
      <c r="K8" s="21"/>
      <c r="L8" s="21"/>
      <c r="M8" s="13"/>
      <c r="N8" s="90"/>
      <c r="O8" s="89"/>
      <c r="P8" s="89"/>
      <c r="Q8" s="89"/>
      <c r="R8" s="89"/>
      <c r="S8" s="89"/>
      <c r="T8" s="89"/>
      <c r="U8" s="89"/>
      <c r="V8" s="89"/>
    </row>
    <row r="9" spans="2:32" s="12" customFormat="1" ht="16.5" customHeight="1">
      <c r="B9" s="30"/>
      <c r="C9" s="30"/>
      <c r="D9" s="36"/>
      <c r="E9" s="22"/>
      <c r="F9" s="22"/>
      <c r="G9" s="37"/>
      <c r="H9" s="37"/>
      <c r="I9" s="37"/>
      <c r="J9" s="38"/>
      <c r="K9" s="21"/>
      <c r="L9" s="21"/>
      <c r="M9" s="13"/>
      <c r="N9" s="91" t="s">
        <v>46</v>
      </c>
      <c r="O9" s="92"/>
      <c r="P9" s="92"/>
      <c r="Q9" s="92"/>
      <c r="R9" s="92"/>
      <c r="S9" s="92"/>
      <c r="T9" s="89"/>
      <c r="U9" s="89"/>
      <c r="V9" s="89"/>
    </row>
    <row r="10" spans="2:32" s="12" customFormat="1" ht="16.5" customHeight="1">
      <c r="B10" s="30"/>
      <c r="C10" s="30"/>
      <c r="D10" s="36"/>
      <c r="E10" s="22"/>
      <c r="F10" s="22"/>
      <c r="G10" s="37"/>
      <c r="H10" s="37"/>
      <c r="I10" s="37"/>
      <c r="J10" s="38"/>
      <c r="K10" s="21"/>
      <c r="L10" s="21"/>
      <c r="M10" s="13"/>
      <c r="N10" s="91"/>
      <c r="O10" s="92"/>
      <c r="P10" s="92"/>
      <c r="Q10" s="92"/>
      <c r="R10" s="92"/>
      <c r="S10" s="92"/>
      <c r="T10" s="89"/>
      <c r="U10" s="89"/>
      <c r="V10" s="89"/>
    </row>
    <row r="11" spans="2:32" s="12" customFormat="1" ht="16.5" customHeight="1">
      <c r="B11" s="30"/>
      <c r="C11" s="30"/>
      <c r="D11" s="36"/>
      <c r="E11" s="22"/>
      <c r="F11" s="22"/>
      <c r="G11" s="37"/>
      <c r="H11" s="37"/>
      <c r="I11" s="37"/>
      <c r="J11" s="38"/>
      <c r="K11" s="21"/>
      <c r="L11" s="21"/>
      <c r="M11" s="13"/>
      <c r="N11" s="91" t="s">
        <v>47</v>
      </c>
      <c r="O11" s="92"/>
      <c r="P11" s="92"/>
      <c r="Q11" s="92"/>
      <c r="R11" s="92"/>
      <c r="S11" s="92"/>
      <c r="T11" s="89"/>
      <c r="U11" s="89"/>
      <c r="V11" s="89"/>
    </row>
    <row r="16" spans="2:32" s="12" customFormat="1" ht="16.5" customHeight="1">
      <c r="B16" s="483" t="s">
        <v>48</v>
      </c>
      <c r="C16" s="483" t="s">
        <v>49</v>
      </c>
      <c r="D16" s="483" t="s">
        <v>50</v>
      </c>
      <c r="E16" s="483" t="s">
        <v>51</v>
      </c>
      <c r="F16" s="260"/>
      <c r="G16" s="483" t="s">
        <v>52</v>
      </c>
      <c r="H16" s="483"/>
      <c r="I16" s="483"/>
      <c r="J16" s="483"/>
      <c r="K16" s="483"/>
      <c r="L16" s="260"/>
      <c r="M16" s="483" t="s">
        <v>53</v>
      </c>
      <c r="N16" s="483"/>
      <c r="O16" s="483"/>
      <c r="P16" s="483"/>
      <c r="Q16" s="483"/>
      <c r="R16" s="260"/>
      <c r="S16" s="483" t="s">
        <v>54</v>
      </c>
      <c r="T16" s="483"/>
      <c r="U16" s="483"/>
      <c r="V16" s="483"/>
      <c r="W16" s="483"/>
      <c r="X16" s="260"/>
      <c r="Y16" s="483" t="s">
        <v>295</v>
      </c>
      <c r="Z16" s="483"/>
      <c r="AA16" s="483"/>
      <c r="AB16" s="483"/>
      <c r="AC16" s="483"/>
      <c r="AD16" s="25"/>
      <c r="AE16" s="477" t="s">
        <v>296</v>
      </c>
      <c r="AF16" s="477" t="s">
        <v>57</v>
      </c>
    </row>
    <row r="17" spans="2:32" s="95" customFormat="1" ht="12.75">
      <c r="B17" s="483"/>
      <c r="C17" s="483"/>
      <c r="D17" s="483"/>
      <c r="E17" s="483"/>
      <c r="F17" s="260"/>
      <c r="G17" s="94" t="s">
        <v>58</v>
      </c>
      <c r="H17" s="94" t="s">
        <v>59</v>
      </c>
      <c r="I17" s="94" t="s">
        <v>60</v>
      </c>
      <c r="J17" s="94" t="s">
        <v>61</v>
      </c>
      <c r="K17" s="94" t="s">
        <v>62</v>
      </c>
      <c r="L17" s="260"/>
      <c r="M17" s="94" t="s">
        <v>58</v>
      </c>
      <c r="N17" s="94" t="s">
        <v>59</v>
      </c>
      <c r="O17" s="94" t="s">
        <v>60</v>
      </c>
      <c r="P17" s="94" t="s">
        <v>61</v>
      </c>
      <c r="Q17" s="94" t="s">
        <v>62</v>
      </c>
      <c r="R17" s="260"/>
      <c r="S17" s="94" t="s">
        <v>58</v>
      </c>
      <c r="T17" s="94" t="s">
        <v>59</v>
      </c>
      <c r="U17" s="94" t="s">
        <v>60</v>
      </c>
      <c r="V17" s="94" t="s">
        <v>61</v>
      </c>
      <c r="W17" s="94" t="s">
        <v>62</v>
      </c>
      <c r="X17" s="260"/>
      <c r="Y17" s="94" t="s">
        <v>297</v>
      </c>
      <c r="Z17" s="94" t="s">
        <v>298</v>
      </c>
      <c r="AA17" s="94" t="s">
        <v>299</v>
      </c>
      <c r="AB17" s="94" t="s">
        <v>300</v>
      </c>
      <c r="AC17" s="94" t="s">
        <v>62</v>
      </c>
      <c r="AD17" s="25"/>
      <c r="AE17" s="477"/>
      <c r="AF17" s="477"/>
    </row>
    <row r="18" spans="2:32" s="12" customFormat="1" ht="16.5" customHeight="1">
      <c r="B18" s="266" t="s">
        <v>301</v>
      </c>
      <c r="C18" s="266" t="s">
        <v>302</v>
      </c>
      <c r="D18" s="267" t="s">
        <v>303</v>
      </c>
      <c r="E18" s="268" t="s">
        <v>66</v>
      </c>
      <c r="F18" s="269"/>
      <c r="G18" s="270">
        <v>750</v>
      </c>
      <c r="H18" s="270">
        <v>850</v>
      </c>
      <c r="I18" s="271" t="s">
        <v>304</v>
      </c>
      <c r="J18" s="270" t="s">
        <v>72</v>
      </c>
      <c r="K18" s="271">
        <v>55</v>
      </c>
      <c r="L18" s="272"/>
      <c r="M18" s="270">
        <v>750</v>
      </c>
      <c r="N18" s="270">
        <v>850</v>
      </c>
      <c r="O18" s="270" t="s">
        <v>305</v>
      </c>
      <c r="P18" s="270" t="s">
        <v>72</v>
      </c>
      <c r="Q18" s="271">
        <v>58</v>
      </c>
      <c r="R18" s="272"/>
      <c r="S18" s="270">
        <v>750</v>
      </c>
      <c r="T18" s="270">
        <v>850</v>
      </c>
      <c r="U18" s="271" t="s">
        <v>306</v>
      </c>
      <c r="V18" s="271" t="s">
        <v>307</v>
      </c>
      <c r="W18" s="271">
        <v>36</v>
      </c>
      <c r="X18" s="272"/>
      <c r="Y18" s="270">
        <v>1030</v>
      </c>
      <c r="Z18" s="270">
        <v>1130</v>
      </c>
      <c r="AA18" s="270" t="s">
        <v>305</v>
      </c>
      <c r="AB18" s="271" t="s">
        <v>72</v>
      </c>
      <c r="AC18" s="271">
        <v>61</v>
      </c>
      <c r="AD18" s="93"/>
      <c r="AE18" s="271" t="s">
        <v>308</v>
      </c>
      <c r="AF18" s="267"/>
    </row>
    <row r="19" spans="2:32" s="12" customFormat="1" ht="16.5" customHeight="1">
      <c r="B19" s="273" t="s">
        <v>309</v>
      </c>
      <c r="C19" s="273" t="s">
        <v>310</v>
      </c>
      <c r="D19" s="267" t="s">
        <v>311</v>
      </c>
      <c r="E19" s="268" t="s">
        <v>66</v>
      </c>
      <c r="F19" s="269"/>
      <c r="G19" s="270" t="s">
        <v>78</v>
      </c>
      <c r="H19" s="270" t="s">
        <v>78</v>
      </c>
      <c r="I19" s="270" t="s">
        <v>78</v>
      </c>
      <c r="J19" s="270" t="s">
        <v>78</v>
      </c>
      <c r="K19" s="271" t="s">
        <v>78</v>
      </c>
      <c r="L19" s="272"/>
      <c r="M19" s="270" t="s">
        <v>78</v>
      </c>
      <c r="N19" s="270" t="s">
        <v>78</v>
      </c>
      <c r="O19" s="270" t="s">
        <v>78</v>
      </c>
      <c r="P19" s="270" t="s">
        <v>78</v>
      </c>
      <c r="Q19" s="271" t="s">
        <v>78</v>
      </c>
      <c r="R19" s="272"/>
      <c r="S19" s="270" t="s">
        <v>78</v>
      </c>
      <c r="T19" s="270" t="s">
        <v>78</v>
      </c>
      <c r="U19" s="271" t="s">
        <v>78</v>
      </c>
      <c r="V19" s="271" t="s">
        <v>78</v>
      </c>
      <c r="W19" s="271" t="s">
        <v>78</v>
      </c>
      <c r="X19" s="272"/>
      <c r="Y19" s="270" t="s">
        <v>78</v>
      </c>
      <c r="Z19" s="270" t="s">
        <v>78</v>
      </c>
      <c r="AA19" s="270" t="s">
        <v>78</v>
      </c>
      <c r="AB19" s="271" t="s">
        <v>78</v>
      </c>
      <c r="AC19" s="271" t="s">
        <v>78</v>
      </c>
      <c r="AD19" s="93"/>
      <c r="AE19" s="271" t="s">
        <v>78</v>
      </c>
      <c r="AF19" s="267"/>
    </row>
    <row r="20" spans="2:32" s="12" customFormat="1" ht="16.5" customHeight="1">
      <c r="B20" s="267" t="s">
        <v>312</v>
      </c>
      <c r="C20" s="267" t="s">
        <v>313</v>
      </c>
      <c r="D20" s="267" t="s">
        <v>314</v>
      </c>
      <c r="E20" s="268" t="s">
        <v>66</v>
      </c>
      <c r="F20" s="269"/>
      <c r="G20" s="270">
        <v>950</v>
      </c>
      <c r="H20" s="270">
        <v>1150</v>
      </c>
      <c r="I20" s="271" t="s">
        <v>304</v>
      </c>
      <c r="J20" s="270" t="s">
        <v>72</v>
      </c>
      <c r="K20" s="271">
        <v>48</v>
      </c>
      <c r="L20" s="272"/>
      <c r="M20" s="270">
        <v>950</v>
      </c>
      <c r="N20" s="270">
        <v>1150</v>
      </c>
      <c r="O20" s="270" t="s">
        <v>305</v>
      </c>
      <c r="P20" s="270" t="s">
        <v>72</v>
      </c>
      <c r="Q20" s="271">
        <v>50</v>
      </c>
      <c r="R20" s="272"/>
      <c r="S20" s="270">
        <v>950</v>
      </c>
      <c r="T20" s="270">
        <v>1150</v>
      </c>
      <c r="U20" s="271" t="s">
        <v>306</v>
      </c>
      <c r="V20" s="271" t="s">
        <v>307</v>
      </c>
      <c r="W20" s="271">
        <v>37</v>
      </c>
      <c r="X20" s="272"/>
      <c r="Y20" s="270">
        <v>1230</v>
      </c>
      <c r="Z20" s="270">
        <v>1430</v>
      </c>
      <c r="AA20" s="270" t="s">
        <v>305</v>
      </c>
      <c r="AB20" s="271" t="s">
        <v>72</v>
      </c>
      <c r="AC20" s="271">
        <v>53</v>
      </c>
      <c r="AD20" s="93"/>
      <c r="AE20" s="271" t="s">
        <v>308</v>
      </c>
      <c r="AF20" s="267"/>
    </row>
    <row r="21" spans="2:32" s="12" customFormat="1" ht="16.5" customHeight="1">
      <c r="B21" s="267" t="s">
        <v>315</v>
      </c>
      <c r="C21" s="267" t="s">
        <v>316</v>
      </c>
      <c r="D21" s="267" t="s">
        <v>317</v>
      </c>
      <c r="E21" s="268" t="s">
        <v>66</v>
      </c>
      <c r="F21" s="269"/>
      <c r="G21" s="270">
        <v>900</v>
      </c>
      <c r="H21" s="270">
        <v>1350</v>
      </c>
      <c r="I21" s="271" t="s">
        <v>304</v>
      </c>
      <c r="J21" s="270" t="s">
        <v>72</v>
      </c>
      <c r="K21" s="271">
        <v>33</v>
      </c>
      <c r="L21" s="272"/>
      <c r="M21" s="270">
        <v>900</v>
      </c>
      <c r="N21" s="270">
        <v>1350</v>
      </c>
      <c r="O21" s="270" t="s">
        <v>305</v>
      </c>
      <c r="P21" s="270" t="s">
        <v>72</v>
      </c>
      <c r="Q21" s="271">
        <v>35</v>
      </c>
      <c r="R21" s="272"/>
      <c r="S21" s="270">
        <v>900</v>
      </c>
      <c r="T21" s="270">
        <v>1350</v>
      </c>
      <c r="U21" s="271" t="s">
        <v>306</v>
      </c>
      <c r="V21" s="271" t="s">
        <v>318</v>
      </c>
      <c r="W21" s="271">
        <v>48</v>
      </c>
      <c r="X21" s="272"/>
      <c r="Y21" s="270">
        <v>1180</v>
      </c>
      <c r="Z21" s="270">
        <v>1630</v>
      </c>
      <c r="AA21" s="270" t="s">
        <v>305</v>
      </c>
      <c r="AB21" s="271" t="s">
        <v>72</v>
      </c>
      <c r="AC21" s="271">
        <v>38</v>
      </c>
      <c r="AD21" s="93"/>
      <c r="AE21" s="271" t="s">
        <v>308</v>
      </c>
      <c r="AF21" s="267"/>
    </row>
    <row r="22" spans="2:32" s="205" customFormat="1" ht="16.5" customHeight="1">
      <c r="B22" s="267" t="s">
        <v>319</v>
      </c>
      <c r="C22" s="267" t="s">
        <v>320</v>
      </c>
      <c r="D22" s="267" t="s">
        <v>321</v>
      </c>
      <c r="E22" s="268" t="s">
        <v>66</v>
      </c>
      <c r="F22" s="269"/>
      <c r="G22" s="270">
        <v>700</v>
      </c>
      <c r="H22" s="270">
        <v>850</v>
      </c>
      <c r="I22" s="271" t="s">
        <v>304</v>
      </c>
      <c r="J22" s="270" t="s">
        <v>72</v>
      </c>
      <c r="K22" s="271">
        <v>59</v>
      </c>
      <c r="L22" s="272"/>
      <c r="M22" s="270">
        <v>700</v>
      </c>
      <c r="N22" s="270">
        <v>850</v>
      </c>
      <c r="O22" s="270" t="s">
        <v>305</v>
      </c>
      <c r="P22" s="270" t="s">
        <v>72</v>
      </c>
      <c r="Q22" s="271">
        <v>61</v>
      </c>
      <c r="R22" s="272"/>
      <c r="S22" s="270">
        <v>700</v>
      </c>
      <c r="T22" s="270">
        <v>850</v>
      </c>
      <c r="U22" s="271" t="s">
        <v>306</v>
      </c>
      <c r="V22" s="271" t="s">
        <v>307</v>
      </c>
      <c r="W22" s="271">
        <v>37</v>
      </c>
      <c r="X22" s="272"/>
      <c r="Y22" s="270">
        <v>980</v>
      </c>
      <c r="Z22" s="270">
        <v>1130</v>
      </c>
      <c r="AA22" s="270" t="s">
        <v>305</v>
      </c>
      <c r="AB22" s="271" t="s">
        <v>72</v>
      </c>
      <c r="AC22" s="271">
        <v>68</v>
      </c>
      <c r="AD22" s="93"/>
      <c r="AE22" s="271" t="s">
        <v>308</v>
      </c>
      <c r="AF22" s="267"/>
    </row>
    <row r="23" spans="2:32" s="12" customFormat="1" ht="16.5" customHeight="1">
      <c r="B23" s="273" t="s">
        <v>322</v>
      </c>
      <c r="C23" s="273" t="s">
        <v>323</v>
      </c>
      <c r="D23" s="267" t="s">
        <v>321</v>
      </c>
      <c r="E23" s="268" t="s">
        <v>66</v>
      </c>
      <c r="F23" s="269"/>
      <c r="G23" s="270">
        <v>700</v>
      </c>
      <c r="H23" s="270">
        <v>850</v>
      </c>
      <c r="I23" s="271" t="s">
        <v>304</v>
      </c>
      <c r="J23" s="270" t="s">
        <v>72</v>
      </c>
      <c r="K23" s="271">
        <v>59</v>
      </c>
      <c r="L23" s="272"/>
      <c r="M23" s="270">
        <v>700</v>
      </c>
      <c r="N23" s="270">
        <v>850</v>
      </c>
      <c r="O23" s="270" t="s">
        <v>305</v>
      </c>
      <c r="P23" s="270" t="s">
        <v>72</v>
      </c>
      <c r="Q23" s="271">
        <v>61</v>
      </c>
      <c r="R23" s="272"/>
      <c r="S23" s="270">
        <v>700</v>
      </c>
      <c r="T23" s="270">
        <v>850</v>
      </c>
      <c r="U23" s="271" t="s">
        <v>306</v>
      </c>
      <c r="V23" s="271" t="s">
        <v>307</v>
      </c>
      <c r="W23" s="271">
        <v>37</v>
      </c>
      <c r="X23" s="272"/>
      <c r="Y23" s="270">
        <v>980</v>
      </c>
      <c r="Z23" s="270">
        <v>1130</v>
      </c>
      <c r="AA23" s="270" t="s">
        <v>305</v>
      </c>
      <c r="AB23" s="271" t="s">
        <v>72</v>
      </c>
      <c r="AC23" s="271">
        <v>68</v>
      </c>
      <c r="AD23" s="93"/>
      <c r="AE23" s="271" t="s">
        <v>308</v>
      </c>
      <c r="AF23" s="267"/>
    </row>
    <row r="24" spans="2:32" s="12" customFormat="1" ht="16.5" customHeight="1">
      <c r="B24" s="267" t="s">
        <v>324</v>
      </c>
      <c r="C24" s="267" t="s">
        <v>325</v>
      </c>
      <c r="D24" s="267" t="s">
        <v>326</v>
      </c>
      <c r="E24" s="268" t="s">
        <v>66</v>
      </c>
      <c r="F24" s="269"/>
      <c r="G24" s="270">
        <v>700</v>
      </c>
      <c r="H24" s="270">
        <v>850</v>
      </c>
      <c r="I24" s="271" t="s">
        <v>304</v>
      </c>
      <c r="J24" s="270" t="s">
        <v>72</v>
      </c>
      <c r="K24" s="271">
        <v>48</v>
      </c>
      <c r="L24" s="272"/>
      <c r="M24" s="270">
        <v>700</v>
      </c>
      <c r="N24" s="270">
        <v>850</v>
      </c>
      <c r="O24" s="270" t="s">
        <v>305</v>
      </c>
      <c r="P24" s="270" t="s">
        <v>72</v>
      </c>
      <c r="Q24" s="271">
        <v>50</v>
      </c>
      <c r="R24" s="272"/>
      <c r="S24" s="270">
        <v>700</v>
      </c>
      <c r="T24" s="270">
        <v>850</v>
      </c>
      <c r="U24" s="271" t="s">
        <v>306</v>
      </c>
      <c r="V24" s="271" t="s">
        <v>307</v>
      </c>
      <c r="W24" s="271">
        <v>32</v>
      </c>
      <c r="X24" s="272"/>
      <c r="Y24" s="270">
        <v>980</v>
      </c>
      <c r="Z24" s="270">
        <v>1130</v>
      </c>
      <c r="AA24" s="270" t="s">
        <v>305</v>
      </c>
      <c r="AB24" s="271" t="s">
        <v>72</v>
      </c>
      <c r="AC24" s="271">
        <v>53</v>
      </c>
      <c r="AD24" s="93"/>
      <c r="AE24" s="271" t="s">
        <v>308</v>
      </c>
      <c r="AF24" s="267"/>
    </row>
    <row r="25" spans="2:32" s="12" customFormat="1" ht="16.5" customHeight="1">
      <c r="B25" s="266" t="s">
        <v>327</v>
      </c>
      <c r="C25" s="266" t="s">
        <v>328</v>
      </c>
      <c r="D25" s="267" t="s">
        <v>329</v>
      </c>
      <c r="E25" s="268" t="s">
        <v>66</v>
      </c>
      <c r="F25" s="269"/>
      <c r="G25" s="270">
        <v>550</v>
      </c>
      <c r="H25" s="270">
        <v>650</v>
      </c>
      <c r="I25" s="271" t="s">
        <v>304</v>
      </c>
      <c r="J25" s="270" t="s">
        <v>72</v>
      </c>
      <c r="K25" s="271">
        <v>57</v>
      </c>
      <c r="L25" s="272"/>
      <c r="M25" s="270">
        <v>550</v>
      </c>
      <c r="N25" s="270">
        <v>650</v>
      </c>
      <c r="O25" s="270" t="s">
        <v>305</v>
      </c>
      <c r="P25" s="270" t="s">
        <v>72</v>
      </c>
      <c r="Q25" s="271">
        <v>59</v>
      </c>
      <c r="R25" s="272"/>
      <c r="S25" s="270">
        <v>550</v>
      </c>
      <c r="T25" s="270">
        <v>650</v>
      </c>
      <c r="U25" s="271" t="s">
        <v>306</v>
      </c>
      <c r="V25" s="271" t="s">
        <v>307</v>
      </c>
      <c r="W25" s="271">
        <v>37</v>
      </c>
      <c r="X25" s="272"/>
      <c r="Y25" s="270">
        <v>830</v>
      </c>
      <c r="Z25" s="270">
        <v>930</v>
      </c>
      <c r="AA25" s="270" t="s">
        <v>305</v>
      </c>
      <c r="AB25" s="271" t="s">
        <v>72</v>
      </c>
      <c r="AC25" s="271">
        <v>62</v>
      </c>
      <c r="AD25" s="93"/>
      <c r="AE25" s="271" t="s">
        <v>308</v>
      </c>
      <c r="AF25" s="267"/>
    </row>
    <row r="26" spans="2:32" s="12" customFormat="1" ht="16.5" customHeight="1">
      <c r="B26" s="266" t="s">
        <v>330</v>
      </c>
      <c r="C26" s="266" t="s">
        <v>331</v>
      </c>
      <c r="D26" s="267" t="s">
        <v>332</v>
      </c>
      <c r="E26" s="268" t="s">
        <v>66</v>
      </c>
      <c r="F26" s="269"/>
      <c r="G26" s="270">
        <v>450</v>
      </c>
      <c r="H26" s="270">
        <v>450</v>
      </c>
      <c r="I26" s="271" t="s">
        <v>304</v>
      </c>
      <c r="J26" s="270" t="s">
        <v>72</v>
      </c>
      <c r="K26" s="271">
        <v>27</v>
      </c>
      <c r="L26" s="272"/>
      <c r="M26" s="270">
        <v>450</v>
      </c>
      <c r="N26" s="270">
        <v>450</v>
      </c>
      <c r="O26" s="270" t="s">
        <v>305</v>
      </c>
      <c r="P26" s="270" t="s">
        <v>72</v>
      </c>
      <c r="Q26" s="271">
        <v>29</v>
      </c>
      <c r="R26" s="272"/>
      <c r="S26" s="270">
        <v>450</v>
      </c>
      <c r="T26" s="270">
        <v>450</v>
      </c>
      <c r="U26" s="271" t="s">
        <v>304</v>
      </c>
      <c r="V26" s="271" t="s">
        <v>72</v>
      </c>
      <c r="W26" s="271">
        <v>35</v>
      </c>
      <c r="X26" s="272"/>
      <c r="Y26" s="270">
        <v>730</v>
      </c>
      <c r="Z26" s="270">
        <v>730</v>
      </c>
      <c r="AA26" s="270" t="s">
        <v>305</v>
      </c>
      <c r="AB26" s="271" t="s">
        <v>72</v>
      </c>
      <c r="AC26" s="271">
        <v>32</v>
      </c>
      <c r="AD26" s="93"/>
      <c r="AE26" s="271" t="s">
        <v>308</v>
      </c>
      <c r="AF26" s="267"/>
    </row>
    <row r="27" spans="2:32" s="12" customFormat="1" ht="16.5" customHeight="1">
      <c r="B27" s="267" t="s">
        <v>333</v>
      </c>
      <c r="C27" s="267" t="s">
        <v>334</v>
      </c>
      <c r="D27" s="267" t="s">
        <v>332</v>
      </c>
      <c r="E27" s="268" t="s">
        <v>66</v>
      </c>
      <c r="F27" s="269"/>
      <c r="G27" s="270">
        <v>600</v>
      </c>
      <c r="H27" s="270">
        <v>600</v>
      </c>
      <c r="I27" s="271" t="s">
        <v>304</v>
      </c>
      <c r="J27" s="270" t="s">
        <v>72</v>
      </c>
      <c r="K27" s="271">
        <v>50</v>
      </c>
      <c r="L27" s="272"/>
      <c r="M27" s="270">
        <v>600</v>
      </c>
      <c r="N27" s="270">
        <v>600</v>
      </c>
      <c r="O27" s="270" t="s">
        <v>305</v>
      </c>
      <c r="P27" s="270" t="s">
        <v>72</v>
      </c>
      <c r="Q27" s="271">
        <v>52</v>
      </c>
      <c r="R27" s="272"/>
      <c r="S27" s="270">
        <v>600</v>
      </c>
      <c r="T27" s="270">
        <v>600</v>
      </c>
      <c r="U27" s="271" t="s">
        <v>306</v>
      </c>
      <c r="V27" s="271" t="s">
        <v>307</v>
      </c>
      <c r="W27" s="271">
        <v>36</v>
      </c>
      <c r="X27" s="272"/>
      <c r="Y27" s="270">
        <v>880</v>
      </c>
      <c r="Z27" s="270">
        <v>880</v>
      </c>
      <c r="AA27" s="270" t="s">
        <v>305</v>
      </c>
      <c r="AB27" s="271" t="s">
        <v>72</v>
      </c>
      <c r="AC27" s="271">
        <v>55</v>
      </c>
      <c r="AD27" s="93"/>
      <c r="AE27" s="271" t="s">
        <v>308</v>
      </c>
      <c r="AF27" s="267"/>
    </row>
    <row r="28" spans="2:32" s="12" customFormat="1" ht="16.5" customHeight="1">
      <c r="B28" s="266" t="s">
        <v>335</v>
      </c>
      <c r="C28" s="266" t="s">
        <v>336</v>
      </c>
      <c r="D28" s="267" t="s">
        <v>332</v>
      </c>
      <c r="E28" s="268" t="s">
        <v>66</v>
      </c>
      <c r="F28" s="269"/>
      <c r="G28" s="270" t="s">
        <v>78</v>
      </c>
      <c r="H28" s="270" t="s">
        <v>78</v>
      </c>
      <c r="I28" s="270" t="s">
        <v>78</v>
      </c>
      <c r="J28" s="270" t="s">
        <v>78</v>
      </c>
      <c r="K28" s="271" t="s">
        <v>78</v>
      </c>
      <c r="L28" s="272"/>
      <c r="M28" s="270" t="s">
        <v>78</v>
      </c>
      <c r="N28" s="270" t="s">
        <v>78</v>
      </c>
      <c r="O28" s="270" t="s">
        <v>78</v>
      </c>
      <c r="P28" s="270" t="s">
        <v>78</v>
      </c>
      <c r="Q28" s="271" t="s">
        <v>78</v>
      </c>
      <c r="R28" s="272"/>
      <c r="S28" s="270" t="s">
        <v>78</v>
      </c>
      <c r="T28" s="270" t="s">
        <v>78</v>
      </c>
      <c r="U28" s="271" t="s">
        <v>78</v>
      </c>
      <c r="V28" s="271" t="s">
        <v>78</v>
      </c>
      <c r="W28" s="271" t="s">
        <v>78</v>
      </c>
      <c r="X28" s="272"/>
      <c r="Y28" s="270" t="s">
        <v>78</v>
      </c>
      <c r="Z28" s="270" t="s">
        <v>78</v>
      </c>
      <c r="AA28" s="270" t="s">
        <v>78</v>
      </c>
      <c r="AB28" s="271" t="s">
        <v>78</v>
      </c>
      <c r="AC28" s="271" t="s">
        <v>78</v>
      </c>
      <c r="AD28" s="93"/>
      <c r="AE28" s="271" t="s">
        <v>78</v>
      </c>
      <c r="AF28" s="267"/>
    </row>
    <row r="29" spans="2:32" s="12" customFormat="1" ht="16.5" customHeight="1">
      <c r="B29" s="273" t="s">
        <v>337</v>
      </c>
      <c r="C29" s="273" t="s">
        <v>338</v>
      </c>
      <c r="D29" s="267" t="s">
        <v>332</v>
      </c>
      <c r="E29" s="268" t="s">
        <v>66</v>
      </c>
      <c r="F29" s="269"/>
      <c r="G29" s="270">
        <v>825</v>
      </c>
      <c r="H29" s="270">
        <v>1050</v>
      </c>
      <c r="I29" s="271" t="s">
        <v>304</v>
      </c>
      <c r="J29" s="270" t="s">
        <v>334</v>
      </c>
      <c r="K29" s="271">
        <v>62</v>
      </c>
      <c r="L29" s="272"/>
      <c r="M29" s="270">
        <v>825</v>
      </c>
      <c r="N29" s="270">
        <v>1050</v>
      </c>
      <c r="O29" s="270" t="s">
        <v>305</v>
      </c>
      <c r="P29" s="270" t="s">
        <v>334</v>
      </c>
      <c r="Q29" s="271">
        <v>64</v>
      </c>
      <c r="R29" s="272"/>
      <c r="S29" s="270">
        <v>825</v>
      </c>
      <c r="T29" s="270">
        <v>1050</v>
      </c>
      <c r="U29" s="271" t="s">
        <v>306</v>
      </c>
      <c r="V29" s="271" t="s">
        <v>334</v>
      </c>
      <c r="W29" s="271">
        <v>48</v>
      </c>
      <c r="X29" s="272"/>
      <c r="Y29" s="270">
        <v>1105</v>
      </c>
      <c r="Z29" s="270">
        <v>1330</v>
      </c>
      <c r="AA29" s="270" t="s">
        <v>305</v>
      </c>
      <c r="AB29" s="271" t="s">
        <v>334</v>
      </c>
      <c r="AC29" s="271">
        <v>67</v>
      </c>
      <c r="AD29" s="93"/>
      <c r="AE29" s="271" t="s">
        <v>308</v>
      </c>
      <c r="AF29" s="267"/>
    </row>
    <row r="30" spans="2:32" s="12" customFormat="1" ht="16.5" customHeight="1">
      <c r="B30" s="266" t="s">
        <v>339</v>
      </c>
      <c r="C30" s="266" t="s">
        <v>318</v>
      </c>
      <c r="D30" s="267" t="s">
        <v>340</v>
      </c>
      <c r="E30" s="268" t="s">
        <v>66</v>
      </c>
      <c r="F30" s="269"/>
      <c r="G30" s="270">
        <v>450</v>
      </c>
      <c r="H30" s="270">
        <v>450</v>
      </c>
      <c r="I30" s="271" t="s">
        <v>304</v>
      </c>
      <c r="J30" s="270" t="s">
        <v>72</v>
      </c>
      <c r="K30" s="271">
        <v>39</v>
      </c>
      <c r="L30" s="272"/>
      <c r="M30" s="270">
        <v>450</v>
      </c>
      <c r="N30" s="270">
        <v>450</v>
      </c>
      <c r="O30" s="270" t="s">
        <v>305</v>
      </c>
      <c r="P30" s="270" t="s">
        <v>72</v>
      </c>
      <c r="Q30" s="271">
        <v>41</v>
      </c>
      <c r="R30" s="272"/>
      <c r="S30" s="270">
        <v>450</v>
      </c>
      <c r="T30" s="270">
        <v>450</v>
      </c>
      <c r="U30" s="271" t="s">
        <v>306</v>
      </c>
      <c r="V30" s="271" t="s">
        <v>95</v>
      </c>
      <c r="W30" s="271">
        <v>29</v>
      </c>
      <c r="X30" s="272"/>
      <c r="Y30" s="270">
        <v>730</v>
      </c>
      <c r="Z30" s="270">
        <v>730</v>
      </c>
      <c r="AA30" s="270" t="s">
        <v>305</v>
      </c>
      <c r="AB30" s="271" t="s">
        <v>72</v>
      </c>
      <c r="AC30" s="271">
        <v>44</v>
      </c>
      <c r="AD30" s="93"/>
      <c r="AE30" s="271" t="s">
        <v>308</v>
      </c>
      <c r="AF30" s="267"/>
    </row>
    <row r="31" spans="2:32" s="12" customFormat="1" ht="16.5" customHeight="1">
      <c r="B31" s="273" t="s">
        <v>341</v>
      </c>
      <c r="C31" s="273" t="s">
        <v>307</v>
      </c>
      <c r="D31" s="267" t="s">
        <v>340</v>
      </c>
      <c r="E31" s="268" t="s">
        <v>66</v>
      </c>
      <c r="F31" s="269"/>
      <c r="G31" s="270">
        <v>550</v>
      </c>
      <c r="H31" s="270">
        <v>550</v>
      </c>
      <c r="I31" s="271" t="s">
        <v>304</v>
      </c>
      <c r="J31" s="270" t="s">
        <v>72</v>
      </c>
      <c r="K31" s="271">
        <v>37</v>
      </c>
      <c r="L31" s="272"/>
      <c r="M31" s="270">
        <v>550</v>
      </c>
      <c r="N31" s="270">
        <v>550</v>
      </c>
      <c r="O31" s="270" t="s">
        <v>305</v>
      </c>
      <c r="P31" s="270" t="s">
        <v>72</v>
      </c>
      <c r="Q31" s="271">
        <v>39</v>
      </c>
      <c r="R31" s="272"/>
      <c r="S31" s="270">
        <v>450</v>
      </c>
      <c r="T31" s="270">
        <v>450</v>
      </c>
      <c r="U31" s="271" t="s">
        <v>306</v>
      </c>
      <c r="V31" s="271" t="s">
        <v>95</v>
      </c>
      <c r="W31" s="271">
        <v>28</v>
      </c>
      <c r="X31" s="272"/>
      <c r="Y31" s="270">
        <v>830</v>
      </c>
      <c r="Z31" s="270">
        <v>830</v>
      </c>
      <c r="AA31" s="270" t="s">
        <v>305</v>
      </c>
      <c r="AB31" s="271" t="s">
        <v>72</v>
      </c>
      <c r="AC31" s="271">
        <v>42</v>
      </c>
      <c r="AD31" s="93"/>
      <c r="AE31" s="271" t="s">
        <v>308</v>
      </c>
      <c r="AF31" s="267"/>
    </row>
    <row r="32" spans="2:32" s="12" customFormat="1" ht="16.5" customHeight="1">
      <c r="B32" s="273" t="s">
        <v>342</v>
      </c>
      <c r="C32" s="273" t="s">
        <v>343</v>
      </c>
      <c r="D32" s="267" t="s">
        <v>340</v>
      </c>
      <c r="E32" s="268" t="s">
        <v>66</v>
      </c>
      <c r="F32" s="269"/>
      <c r="G32" s="270">
        <v>650</v>
      </c>
      <c r="H32" s="270">
        <v>750</v>
      </c>
      <c r="I32" s="271" t="s">
        <v>304</v>
      </c>
      <c r="J32" s="270" t="s">
        <v>72</v>
      </c>
      <c r="K32" s="271">
        <v>53</v>
      </c>
      <c r="L32" s="272"/>
      <c r="M32" s="270">
        <v>650</v>
      </c>
      <c r="N32" s="270">
        <v>750</v>
      </c>
      <c r="O32" s="270" t="s">
        <v>305</v>
      </c>
      <c r="P32" s="270" t="s">
        <v>72</v>
      </c>
      <c r="Q32" s="271">
        <v>56</v>
      </c>
      <c r="R32" s="272"/>
      <c r="S32" s="270">
        <v>650</v>
      </c>
      <c r="T32" s="270">
        <v>750</v>
      </c>
      <c r="U32" s="271" t="s">
        <v>306</v>
      </c>
      <c r="V32" s="271" t="s">
        <v>307</v>
      </c>
      <c r="W32" s="271">
        <v>34</v>
      </c>
      <c r="X32" s="272"/>
      <c r="Y32" s="270">
        <v>930</v>
      </c>
      <c r="Z32" s="270">
        <v>1030</v>
      </c>
      <c r="AA32" s="270" t="s">
        <v>305</v>
      </c>
      <c r="AB32" s="271" t="s">
        <v>72</v>
      </c>
      <c r="AC32" s="271">
        <v>59</v>
      </c>
      <c r="AD32" s="93"/>
      <c r="AE32" s="271" t="s">
        <v>308</v>
      </c>
      <c r="AF32" s="267"/>
    </row>
    <row r="33" spans="2:32" s="12" customFormat="1" ht="16.5" customHeight="1">
      <c r="B33" s="266" t="s">
        <v>344</v>
      </c>
      <c r="C33" s="266" t="s">
        <v>345</v>
      </c>
      <c r="D33" s="267" t="s">
        <v>340</v>
      </c>
      <c r="E33" s="268" t="s">
        <v>66</v>
      </c>
      <c r="F33" s="269"/>
      <c r="G33" s="270">
        <v>650</v>
      </c>
      <c r="H33" s="270">
        <v>750</v>
      </c>
      <c r="I33" s="271" t="s">
        <v>304</v>
      </c>
      <c r="J33" s="270" t="s">
        <v>72</v>
      </c>
      <c r="K33" s="271">
        <v>48</v>
      </c>
      <c r="L33" s="272"/>
      <c r="M33" s="270">
        <v>650</v>
      </c>
      <c r="N33" s="270">
        <v>750</v>
      </c>
      <c r="O33" s="270" t="s">
        <v>305</v>
      </c>
      <c r="P33" s="270" t="s">
        <v>72</v>
      </c>
      <c r="Q33" s="271">
        <v>50</v>
      </c>
      <c r="R33" s="272"/>
      <c r="S33" s="270">
        <v>650</v>
      </c>
      <c r="T33" s="270">
        <v>750</v>
      </c>
      <c r="U33" s="271" t="s">
        <v>306</v>
      </c>
      <c r="V33" s="271" t="s">
        <v>307</v>
      </c>
      <c r="W33" s="271">
        <v>34</v>
      </c>
      <c r="X33" s="272"/>
      <c r="Y33" s="270">
        <v>930</v>
      </c>
      <c r="Z33" s="270">
        <v>1030</v>
      </c>
      <c r="AA33" s="270" t="s">
        <v>305</v>
      </c>
      <c r="AB33" s="271" t="s">
        <v>72</v>
      </c>
      <c r="AC33" s="271">
        <v>53</v>
      </c>
      <c r="AD33" s="93"/>
      <c r="AE33" s="271" t="s">
        <v>308</v>
      </c>
      <c r="AF33" s="267"/>
    </row>
    <row r="34" spans="2:32" s="12" customFormat="1" ht="16.5" customHeight="1">
      <c r="B34" s="266" t="s">
        <v>346</v>
      </c>
      <c r="C34" s="266" t="s">
        <v>347</v>
      </c>
      <c r="D34" s="267" t="s">
        <v>340</v>
      </c>
      <c r="E34" s="268" t="s">
        <v>66</v>
      </c>
      <c r="F34" s="269"/>
      <c r="G34" s="270">
        <v>700</v>
      </c>
      <c r="H34" s="270">
        <v>850</v>
      </c>
      <c r="I34" s="271" t="s">
        <v>304</v>
      </c>
      <c r="J34" s="270" t="s">
        <v>72</v>
      </c>
      <c r="K34" s="271">
        <v>48</v>
      </c>
      <c r="L34" s="272"/>
      <c r="M34" s="270">
        <v>700</v>
      </c>
      <c r="N34" s="270">
        <v>850</v>
      </c>
      <c r="O34" s="270" t="s">
        <v>305</v>
      </c>
      <c r="P34" s="270" t="s">
        <v>72</v>
      </c>
      <c r="Q34" s="271">
        <v>50</v>
      </c>
      <c r="R34" s="272"/>
      <c r="S34" s="270">
        <v>700</v>
      </c>
      <c r="T34" s="270">
        <v>850</v>
      </c>
      <c r="U34" s="271" t="s">
        <v>306</v>
      </c>
      <c r="V34" s="271" t="s">
        <v>318</v>
      </c>
      <c r="W34" s="271">
        <v>38</v>
      </c>
      <c r="X34" s="272"/>
      <c r="Y34" s="270">
        <v>980</v>
      </c>
      <c r="Z34" s="270">
        <v>1130</v>
      </c>
      <c r="AA34" s="270" t="s">
        <v>305</v>
      </c>
      <c r="AB34" s="271" t="s">
        <v>72</v>
      </c>
      <c r="AC34" s="271">
        <v>53</v>
      </c>
      <c r="AD34" s="93"/>
      <c r="AE34" s="271" t="s">
        <v>308</v>
      </c>
      <c r="AF34" s="267"/>
    </row>
    <row r="35" spans="2:32" s="12" customFormat="1" ht="16.5" customHeight="1">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74"/>
      <c r="Z35" s="274"/>
      <c r="AA35" s="274"/>
      <c r="AB35" s="274"/>
      <c r="AC35" s="274"/>
      <c r="AD35" s="274"/>
      <c r="AE35" s="274"/>
    </row>
    <row r="36" spans="2:32" s="12" customFormat="1" ht="13.5" customHeight="1">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24"/>
      <c r="AE36" s="10"/>
    </row>
    <row r="37" spans="2:32" s="12" customFormat="1" ht="16.5" customHeight="1" thickBot="1">
      <c r="B37" s="103" t="s">
        <v>221</v>
      </c>
      <c r="C37" s="103"/>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6"/>
      <c r="AE37" s="107"/>
      <c r="AF37" s="275"/>
    </row>
    <row r="38" spans="2:32" s="12" customFormat="1" ht="16.5" customHeight="1">
      <c r="B38" s="108"/>
      <c r="C38" s="108"/>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24"/>
      <c r="AE38" s="2"/>
    </row>
    <row r="39" spans="2:32" s="12" customFormat="1" ht="16.5" customHeight="1">
      <c r="B39" s="276" t="s">
        <v>222</v>
      </c>
      <c r="C39" s="276"/>
      <c r="D39" s="277"/>
      <c r="E39" s="277"/>
      <c r="F39" s="277"/>
      <c r="G39" s="277"/>
      <c r="H39" s="277"/>
      <c r="I39" s="277"/>
      <c r="J39" s="277"/>
      <c r="K39" s="10"/>
      <c r="L39" s="10"/>
      <c r="M39" s="10"/>
      <c r="N39" s="10"/>
      <c r="O39" s="278"/>
      <c r="P39" s="278"/>
      <c r="Q39" s="10"/>
      <c r="R39" s="10"/>
      <c r="S39" s="10"/>
      <c r="T39" s="10"/>
      <c r="U39" s="278"/>
      <c r="V39" s="278"/>
      <c r="W39" s="10"/>
      <c r="X39" s="10"/>
      <c r="Y39" s="10"/>
      <c r="Z39" s="10"/>
      <c r="AA39" s="278"/>
      <c r="AB39" s="278"/>
      <c r="AC39" s="10"/>
      <c r="AD39" s="24"/>
      <c r="AE39" s="2"/>
    </row>
    <row r="40" spans="2:32" s="12" customFormat="1" ht="16.5" customHeight="1">
      <c r="B40" s="276"/>
      <c r="C40" s="276"/>
      <c r="D40" s="277"/>
      <c r="E40" s="277"/>
      <c r="F40" s="277"/>
      <c r="G40" s="277"/>
      <c r="H40" s="277"/>
      <c r="I40" s="277"/>
      <c r="J40" s="277"/>
      <c r="K40" s="10"/>
      <c r="L40" s="10"/>
      <c r="M40" s="10"/>
      <c r="N40" s="10"/>
      <c r="O40" s="278"/>
      <c r="P40" s="278"/>
      <c r="Q40" s="10"/>
      <c r="R40" s="10"/>
      <c r="S40" s="10"/>
      <c r="T40" s="10"/>
      <c r="U40" s="278"/>
      <c r="V40" s="278"/>
      <c r="W40" s="10"/>
      <c r="X40" s="10"/>
      <c r="Y40" s="10"/>
      <c r="Z40" s="10"/>
      <c r="AA40" s="278"/>
      <c r="AB40" s="278"/>
      <c r="AC40" s="10"/>
      <c r="AD40" s="24"/>
      <c r="AE40" s="2"/>
    </row>
    <row r="41" spans="2:32" s="12" customFormat="1" ht="16.5" customHeight="1" thickBot="1">
      <c r="B41" s="279" t="s">
        <v>223</v>
      </c>
      <c r="C41" s="279"/>
      <c r="D41" s="280"/>
      <c r="E41" s="280"/>
      <c r="F41" s="280"/>
      <c r="G41" s="280"/>
      <c r="H41" s="280"/>
      <c r="I41" s="280"/>
      <c r="J41" s="280"/>
      <c r="K41" s="217"/>
      <c r="L41" s="217"/>
      <c r="M41" s="217"/>
      <c r="N41" s="217"/>
      <c r="O41" s="217"/>
      <c r="P41" s="217"/>
      <c r="Q41" s="217"/>
      <c r="R41" s="217"/>
      <c r="S41" s="217"/>
      <c r="T41" s="217"/>
      <c r="U41" s="217"/>
      <c r="V41" s="217"/>
      <c r="W41" s="217"/>
      <c r="X41" s="217"/>
      <c r="Y41" s="217"/>
      <c r="Z41" s="217"/>
      <c r="AA41" s="217"/>
      <c r="AB41" s="217"/>
      <c r="AC41" s="217"/>
      <c r="AD41" s="215"/>
      <c r="AE41" s="217"/>
      <c r="AF41" s="275"/>
    </row>
    <row r="42" spans="2:32" s="12" customFormat="1" ht="16.5" customHeight="1">
      <c r="B42" s="220"/>
      <c r="C42" s="220"/>
      <c r="D42" s="102"/>
      <c r="E42" s="102"/>
      <c r="F42" s="102"/>
      <c r="G42" s="102"/>
      <c r="H42" s="102"/>
      <c r="I42" s="102"/>
      <c r="J42" s="102"/>
      <c r="K42" s="10"/>
      <c r="L42" s="10"/>
      <c r="M42" s="10"/>
      <c r="N42" s="10"/>
      <c r="O42" s="10"/>
      <c r="P42" s="10"/>
      <c r="Q42" s="10"/>
      <c r="R42" s="10"/>
      <c r="S42" s="10"/>
      <c r="T42" s="10"/>
      <c r="U42" s="10"/>
      <c r="V42" s="10"/>
      <c r="W42" s="10"/>
      <c r="X42" s="10"/>
      <c r="Y42" s="10"/>
      <c r="AE42" s="10"/>
    </row>
    <row r="43" spans="2:32" s="12" customFormat="1" ht="16.5" customHeight="1">
      <c r="B43" s="220" t="s">
        <v>225</v>
      </c>
      <c r="C43" s="220"/>
      <c r="D43" s="102"/>
      <c r="E43" s="102"/>
      <c r="F43" s="102"/>
      <c r="G43" s="102"/>
      <c r="H43" s="102"/>
      <c r="I43" s="102"/>
      <c r="J43" s="102"/>
      <c r="K43" s="10"/>
      <c r="L43" s="10"/>
      <c r="M43" s="10"/>
      <c r="N43" s="10"/>
      <c r="O43" s="10"/>
      <c r="P43" s="10"/>
      <c r="Q43" s="10"/>
      <c r="R43" s="10"/>
      <c r="S43" s="10"/>
      <c r="T43" s="10"/>
      <c r="U43" s="10"/>
      <c r="V43" s="10"/>
      <c r="W43" s="10"/>
      <c r="X43" s="10"/>
      <c r="Y43" s="10"/>
      <c r="AE43" s="10"/>
    </row>
    <row r="44" spans="2:32" s="12" customFormat="1" ht="16.5" customHeight="1">
      <c r="B44" s="26"/>
      <c r="C44" s="26"/>
      <c r="D44" s="10"/>
      <c r="E44" s="10"/>
      <c r="F44" s="10"/>
      <c r="G44" s="10"/>
      <c r="H44" s="10"/>
      <c r="I44" s="10"/>
      <c r="J44" s="10"/>
      <c r="K44" s="93"/>
      <c r="L44" s="93"/>
      <c r="M44" s="10"/>
      <c r="N44" s="10"/>
      <c r="O44" s="10"/>
      <c r="P44" s="10"/>
      <c r="Q44" s="10"/>
      <c r="R44" s="10"/>
      <c r="S44" s="10"/>
      <c r="T44" s="10"/>
      <c r="U44" s="10"/>
      <c r="V44" s="10"/>
      <c r="W44" s="10"/>
      <c r="X44" s="10"/>
      <c r="Y44" s="10"/>
      <c r="AE44" s="10"/>
    </row>
    <row r="45" spans="2:32" s="12" customFormat="1" ht="16.5" customHeight="1">
      <c r="B45" s="111" t="s">
        <v>348</v>
      </c>
      <c r="C45" s="111"/>
      <c r="D45" s="111"/>
      <c r="E45" s="111"/>
      <c r="F45" s="111"/>
      <c r="G45" s="111"/>
      <c r="H45" s="111"/>
      <c r="I45" s="112"/>
      <c r="J45" s="112"/>
      <c r="K45" s="112"/>
      <c r="L45" s="112"/>
      <c r="M45" s="10"/>
      <c r="N45" s="281"/>
      <c r="O45" s="281"/>
      <c r="P45" s="281"/>
      <c r="Q45" s="281"/>
      <c r="R45" s="281"/>
      <c r="S45" s="281"/>
      <c r="T45" s="281"/>
      <c r="U45" s="281"/>
      <c r="V45" s="281"/>
      <c r="W45" s="10"/>
      <c r="X45" s="10"/>
      <c r="Y45" s="2"/>
      <c r="AE45" s="2"/>
    </row>
    <row r="46" spans="2:32" ht="16.5" customHeight="1">
      <c r="Y46" s="2"/>
      <c r="Z46" s="12"/>
      <c r="AA46" s="12"/>
      <c r="AB46" s="12"/>
      <c r="AC46" s="12"/>
      <c r="AD46" s="12"/>
    </row>
    <row r="47" spans="2:32" s="12" customFormat="1" ht="16.5" customHeight="1">
      <c r="B47" s="113" t="s">
        <v>227</v>
      </c>
      <c r="C47" s="113"/>
      <c r="D47" s="221"/>
      <c r="Y47" s="10"/>
      <c r="Z47" s="3"/>
      <c r="AA47" s="3"/>
      <c r="AB47" s="3"/>
      <c r="AC47" s="3"/>
      <c r="AD47" s="3"/>
    </row>
    <row r="48" spans="2:32" s="12" customFormat="1" ht="16.5" customHeight="1">
      <c r="B48" s="282"/>
      <c r="C48" s="282"/>
      <c r="D48" s="283"/>
    </row>
    <row r="49" spans="2:15" s="12" customFormat="1" ht="16.5" customHeight="1">
      <c r="B49" s="115" t="s">
        <v>228</v>
      </c>
      <c r="C49" s="115"/>
      <c r="D49" s="116"/>
      <c r="E49" s="116"/>
      <c r="F49" s="117"/>
      <c r="G49" s="117"/>
    </row>
    <row r="50" spans="2:15" s="12" customFormat="1" ht="16.5" customHeight="1">
      <c r="B50" s="282"/>
      <c r="C50" s="282"/>
      <c r="D50" s="283"/>
    </row>
    <row r="51" spans="2:15" s="12" customFormat="1" ht="16.5" customHeight="1">
      <c r="B51" s="119" t="s">
        <v>229</v>
      </c>
      <c r="C51" s="119"/>
      <c r="D51" s="102"/>
      <c r="E51" s="117"/>
      <c r="F51" s="117"/>
      <c r="G51" s="117"/>
      <c r="H51" s="117"/>
      <c r="I51" s="117"/>
      <c r="J51" s="117"/>
      <c r="K51" s="117"/>
      <c r="L51" s="117"/>
      <c r="M51" s="117"/>
      <c r="N51" s="117"/>
      <c r="O51" s="117"/>
    </row>
    <row r="52" spans="2:15" s="12" customFormat="1" ht="16.5" customHeight="1">
      <c r="B52" s="119" t="s">
        <v>230</v>
      </c>
      <c r="C52" s="119"/>
      <c r="D52" s="102"/>
      <c r="E52" s="117"/>
      <c r="F52" s="117"/>
      <c r="G52" s="117"/>
      <c r="H52" s="117"/>
      <c r="I52" s="117"/>
      <c r="J52" s="117"/>
      <c r="K52" s="117"/>
      <c r="L52" s="117"/>
      <c r="M52" s="117"/>
      <c r="N52" s="117"/>
      <c r="O52" s="117"/>
    </row>
    <row r="53" spans="2:15" s="12" customFormat="1" ht="16.5" customHeight="1">
      <c r="B53" s="119" t="s">
        <v>231</v>
      </c>
      <c r="C53" s="119"/>
      <c r="D53" s="102"/>
      <c r="E53" s="117"/>
      <c r="F53" s="117"/>
      <c r="G53" s="117"/>
      <c r="H53" s="117"/>
      <c r="I53" s="117"/>
      <c r="J53" s="117"/>
      <c r="K53" s="117"/>
      <c r="L53" s="117"/>
      <c r="M53" s="117"/>
      <c r="N53" s="117"/>
      <c r="O53" s="117"/>
    </row>
    <row r="54" spans="2:15" s="12" customFormat="1" ht="16.5" customHeight="1">
      <c r="B54" s="119" t="s">
        <v>232</v>
      </c>
      <c r="C54" s="119"/>
      <c r="D54" s="102"/>
      <c r="E54" s="117"/>
      <c r="F54" s="117"/>
      <c r="G54" s="117"/>
      <c r="H54" s="117"/>
      <c r="I54" s="117"/>
      <c r="J54" s="117"/>
      <c r="K54" s="117"/>
      <c r="L54" s="117"/>
      <c r="M54" s="117"/>
      <c r="N54" s="117"/>
      <c r="O54" s="117"/>
    </row>
    <row r="55" spans="2:15" s="12" customFormat="1" ht="16.5" customHeight="1">
      <c r="B55" s="119" t="s">
        <v>233</v>
      </c>
      <c r="C55" s="119"/>
      <c r="D55" s="102"/>
      <c r="E55" s="117"/>
      <c r="F55" s="117"/>
      <c r="G55" s="117"/>
      <c r="H55" s="117"/>
      <c r="I55" s="117"/>
      <c r="J55" s="117"/>
      <c r="K55" s="117"/>
      <c r="L55" s="117"/>
      <c r="M55" s="117"/>
      <c r="N55" s="117"/>
      <c r="O55" s="117"/>
    </row>
    <row r="56" spans="2:15" s="12" customFormat="1" ht="16.5" customHeight="1">
      <c r="B56" s="226" t="s">
        <v>234</v>
      </c>
      <c r="C56" s="119"/>
      <c r="D56" s="102"/>
      <c r="E56" s="117"/>
      <c r="F56" s="117"/>
      <c r="G56" s="117"/>
      <c r="H56" s="117"/>
      <c r="I56" s="117"/>
      <c r="J56" s="117"/>
      <c r="K56" s="117"/>
      <c r="L56" s="117"/>
      <c r="M56" s="117"/>
      <c r="N56" s="117"/>
      <c r="O56" s="117"/>
    </row>
    <row r="57" spans="2:15" s="12" customFormat="1" ht="16.5" customHeight="1">
      <c r="B57" s="119" t="s">
        <v>235</v>
      </c>
      <c r="C57" s="119"/>
      <c r="D57" s="102"/>
      <c r="E57" s="117"/>
      <c r="F57" s="117"/>
      <c r="G57" s="117"/>
      <c r="H57" s="117"/>
      <c r="I57" s="117"/>
      <c r="J57" s="117"/>
      <c r="K57" s="117"/>
      <c r="L57" s="117"/>
      <c r="M57" s="117"/>
      <c r="N57" s="117"/>
      <c r="O57" s="117"/>
    </row>
    <row r="58" spans="2:15" s="12" customFormat="1" ht="16.5" customHeight="1" thickBot="1">
      <c r="B58" s="119"/>
      <c r="C58" s="119"/>
      <c r="D58" s="102"/>
      <c r="E58" s="117"/>
      <c r="F58" s="117"/>
      <c r="G58" s="117"/>
      <c r="H58" s="117"/>
      <c r="I58" s="117"/>
      <c r="J58" s="117"/>
      <c r="K58" s="117"/>
      <c r="L58" s="117"/>
      <c r="M58" s="117"/>
      <c r="N58" s="117"/>
      <c r="O58" s="117"/>
    </row>
    <row r="59" spans="2:15" s="12" customFormat="1" ht="16.5" customHeight="1">
      <c r="B59" s="227" t="s">
        <v>236</v>
      </c>
      <c r="C59" s="228"/>
      <c r="D59" s="284"/>
      <c r="E59" s="229"/>
      <c r="F59" s="229"/>
      <c r="G59" s="229"/>
      <c r="H59" s="229"/>
      <c r="I59" s="229"/>
      <c r="J59" s="229"/>
      <c r="K59" s="229"/>
      <c r="L59" s="229"/>
      <c r="M59" s="230"/>
      <c r="N59" s="117"/>
      <c r="O59" s="117"/>
    </row>
    <row r="60" spans="2:15" s="12" customFormat="1" ht="16.5" customHeight="1">
      <c r="B60" s="231" t="s">
        <v>237</v>
      </c>
      <c r="C60" s="232"/>
      <c r="D60" s="285"/>
      <c r="E60" s="233"/>
      <c r="F60" s="233"/>
      <c r="G60" s="233"/>
      <c r="H60" s="233"/>
      <c r="I60" s="233"/>
      <c r="J60" s="233"/>
      <c r="K60" s="233"/>
      <c r="L60" s="233"/>
      <c r="M60" s="234"/>
      <c r="N60" s="117"/>
      <c r="O60" s="117"/>
    </row>
    <row r="61" spans="2:15" s="12" customFormat="1" ht="16.5" customHeight="1">
      <c r="B61" s="231" t="s">
        <v>349</v>
      </c>
      <c r="C61" s="235"/>
      <c r="D61" s="235"/>
      <c r="E61" s="233"/>
      <c r="F61" s="233"/>
      <c r="G61" s="233"/>
      <c r="H61" s="233"/>
      <c r="I61" s="233"/>
      <c r="J61" s="233"/>
      <c r="K61" s="233"/>
      <c r="L61" s="233"/>
      <c r="M61" s="234"/>
      <c r="N61" s="117"/>
      <c r="O61" s="117"/>
    </row>
    <row r="62" spans="2:15" s="12" customFormat="1" ht="16.5" customHeight="1">
      <c r="B62" s="231" t="s">
        <v>239</v>
      </c>
      <c r="C62" s="235"/>
      <c r="D62" s="235"/>
      <c r="E62" s="233"/>
      <c r="F62" s="233"/>
      <c r="G62" s="233"/>
      <c r="H62" s="233"/>
      <c r="I62" s="233"/>
      <c r="J62" s="233"/>
      <c r="K62" s="233"/>
      <c r="L62" s="233"/>
      <c r="M62" s="234"/>
      <c r="N62" s="117"/>
      <c r="O62" s="117"/>
    </row>
    <row r="63" spans="2:15" s="12" customFormat="1" ht="16.5" customHeight="1">
      <c r="B63" s="464" t="s">
        <v>240</v>
      </c>
      <c r="C63" s="226"/>
      <c r="D63" s="113"/>
      <c r="E63" s="113"/>
      <c r="F63" s="113"/>
      <c r="G63" s="113"/>
      <c r="H63" s="113"/>
      <c r="I63" s="233"/>
      <c r="J63" s="233"/>
      <c r="K63" s="233"/>
      <c r="L63" s="233"/>
      <c r="M63" s="234"/>
      <c r="N63" s="117"/>
      <c r="O63" s="117"/>
    </row>
    <row r="64" spans="2:15" s="12" customFormat="1" ht="16.5" customHeight="1">
      <c r="B64" s="139" t="s">
        <v>350</v>
      </c>
      <c r="C64" s="236"/>
      <c r="D64" s="138"/>
      <c r="E64" s="233"/>
      <c r="F64" s="233"/>
      <c r="G64" s="233"/>
      <c r="H64" s="233"/>
      <c r="I64" s="233"/>
      <c r="J64" s="233"/>
      <c r="K64" s="233"/>
      <c r="L64" s="233"/>
      <c r="M64" s="234"/>
      <c r="N64" s="117"/>
      <c r="O64" s="117"/>
    </row>
    <row r="65" spans="2:19" s="12" customFormat="1" ht="16.5" customHeight="1">
      <c r="B65" s="139" t="s">
        <v>351</v>
      </c>
      <c r="C65" s="236"/>
      <c r="D65" s="233"/>
      <c r="E65" s="233"/>
      <c r="F65" s="233"/>
      <c r="G65" s="233"/>
      <c r="H65" s="233"/>
      <c r="I65" s="233"/>
      <c r="J65" s="233"/>
      <c r="K65" s="233"/>
      <c r="L65" s="233"/>
      <c r="M65" s="234"/>
      <c r="N65" s="117"/>
      <c r="O65" s="117"/>
    </row>
    <row r="66" spans="2:19" s="12" customFormat="1" ht="16.5" customHeight="1">
      <c r="B66" s="237" t="s">
        <v>243</v>
      </c>
      <c r="C66" s="127" t="s">
        <v>244</v>
      </c>
      <c r="D66" s="233"/>
      <c r="E66" s="233"/>
      <c r="F66" s="233"/>
      <c r="G66" s="233"/>
      <c r="H66" s="233"/>
      <c r="I66" s="233"/>
      <c r="J66" s="233"/>
      <c r="K66" s="233"/>
      <c r="L66" s="233"/>
      <c r="M66" s="234"/>
      <c r="N66" s="117"/>
      <c r="O66" s="117"/>
    </row>
    <row r="67" spans="2:19" s="12" customFormat="1" ht="16.5" customHeight="1" thickBot="1">
      <c r="B67" s="239" t="s">
        <v>249</v>
      </c>
      <c r="C67" s="240" t="s">
        <v>250</v>
      </c>
      <c r="D67" s="241"/>
      <c r="E67" s="241"/>
      <c r="F67" s="241"/>
      <c r="G67" s="241"/>
      <c r="H67" s="241"/>
      <c r="I67" s="241"/>
      <c r="J67" s="241"/>
      <c r="K67" s="241"/>
      <c r="L67" s="241"/>
      <c r="M67" s="242"/>
      <c r="N67" s="117"/>
      <c r="O67" s="117"/>
    </row>
    <row r="68" spans="2:19" s="12" customFormat="1" ht="16.5" customHeight="1">
      <c r="B68" s="128"/>
      <c r="C68" s="128"/>
      <c r="D68" s="117"/>
      <c r="E68" s="117"/>
      <c r="F68" s="117"/>
      <c r="G68" s="117"/>
      <c r="H68" s="117"/>
      <c r="I68" s="117"/>
      <c r="J68" s="117"/>
      <c r="K68" s="117"/>
      <c r="L68" s="117"/>
      <c r="M68" s="117"/>
      <c r="N68" s="117"/>
      <c r="O68" s="117"/>
    </row>
    <row r="69" spans="2:19" s="12" customFormat="1" ht="16.5" customHeight="1">
      <c r="B69" s="145" t="s">
        <v>251</v>
      </c>
      <c r="C69" s="126"/>
      <c r="D69" s="117"/>
      <c r="E69" s="117"/>
      <c r="F69" s="117"/>
      <c r="G69" s="117"/>
      <c r="H69" s="117"/>
      <c r="I69" s="117"/>
      <c r="J69" s="117"/>
      <c r="K69" s="117"/>
      <c r="L69" s="117"/>
      <c r="M69" s="117"/>
      <c r="N69" s="117"/>
      <c r="O69" s="117"/>
      <c r="P69" s="117"/>
      <c r="Q69" s="117"/>
      <c r="R69" s="117"/>
      <c r="S69" s="117"/>
    </row>
    <row r="70" spans="2:19" s="12" customFormat="1" ht="16.5" customHeight="1">
      <c r="B70" s="145"/>
      <c r="C70" s="286" t="s">
        <v>252</v>
      </c>
      <c r="D70" s="117"/>
      <c r="E70" s="117"/>
      <c r="F70" s="117"/>
      <c r="G70" s="117"/>
      <c r="H70" s="117"/>
      <c r="I70" s="117"/>
      <c r="J70" s="117"/>
      <c r="K70" s="117"/>
      <c r="L70" s="117"/>
      <c r="M70" s="117"/>
      <c r="N70" s="117"/>
      <c r="O70" s="117"/>
      <c r="P70" s="117"/>
      <c r="Q70" s="117"/>
      <c r="R70" s="117"/>
      <c r="S70" s="117"/>
    </row>
    <row r="71" spans="2:19" s="12" customFormat="1" ht="16.5" customHeight="1">
      <c r="B71" s="243"/>
      <c r="C71" s="243"/>
      <c r="D71" s="117"/>
      <c r="E71" s="117"/>
      <c r="F71" s="117"/>
      <c r="G71" s="117"/>
      <c r="H71" s="117"/>
      <c r="I71" s="117"/>
      <c r="J71" s="117"/>
      <c r="K71" s="117"/>
      <c r="L71" s="117"/>
      <c r="M71" s="117"/>
      <c r="N71" s="117"/>
      <c r="O71" s="117"/>
      <c r="P71" s="117"/>
      <c r="Q71" s="117"/>
      <c r="R71" s="117"/>
      <c r="S71" s="117"/>
    </row>
    <row r="72" spans="2:19" s="12" customFormat="1" ht="16.5" customHeight="1">
      <c r="B72" s="126" t="s">
        <v>253</v>
      </c>
      <c r="C72" s="127" t="s">
        <v>254</v>
      </c>
      <c r="D72" s="117"/>
      <c r="E72" s="117"/>
      <c r="F72" s="117"/>
      <c r="G72" s="117"/>
      <c r="H72" s="117"/>
      <c r="I72" s="117"/>
      <c r="J72" s="117"/>
      <c r="K72" s="117"/>
      <c r="L72" s="117"/>
      <c r="M72" s="117"/>
      <c r="N72" s="117"/>
      <c r="O72" s="117"/>
      <c r="P72" s="117"/>
      <c r="Q72" s="117"/>
      <c r="R72" s="117"/>
      <c r="S72" s="117"/>
    </row>
    <row r="73" spans="2:19" s="12" customFormat="1" ht="16.5" customHeight="1">
      <c r="B73" s="126"/>
      <c r="C73" s="127" t="s">
        <v>255</v>
      </c>
      <c r="D73" s="117"/>
      <c r="E73" s="117"/>
      <c r="F73" s="117"/>
      <c r="G73" s="117"/>
      <c r="H73" s="117"/>
      <c r="I73" s="117"/>
      <c r="J73" s="117"/>
      <c r="K73" s="117"/>
      <c r="L73" s="117"/>
      <c r="M73" s="117"/>
      <c r="N73" s="117"/>
      <c r="O73" s="117"/>
      <c r="P73" s="117"/>
      <c r="Q73" s="117"/>
      <c r="R73" s="117"/>
      <c r="S73" s="117"/>
    </row>
    <row r="74" spans="2:19" s="12" customFormat="1" ht="16.5" customHeight="1">
      <c r="B74" s="126"/>
      <c r="C74" s="128" t="s">
        <v>256</v>
      </c>
      <c r="D74" s="117"/>
      <c r="E74" s="117"/>
      <c r="F74" s="117"/>
      <c r="G74" s="117"/>
      <c r="H74" s="117"/>
      <c r="I74" s="117"/>
      <c r="J74" s="117"/>
      <c r="K74" s="117"/>
      <c r="L74" s="117"/>
      <c r="M74" s="117"/>
      <c r="N74" s="117"/>
      <c r="O74" s="117"/>
      <c r="P74" s="117"/>
      <c r="Q74" s="117"/>
      <c r="R74" s="117"/>
      <c r="S74" s="117"/>
    </row>
    <row r="75" spans="2:19" s="12" customFormat="1" ht="16.5" customHeight="1">
      <c r="B75" s="126"/>
      <c r="C75" s="128" t="s">
        <v>257</v>
      </c>
      <c r="D75" s="117"/>
      <c r="E75" s="117"/>
      <c r="F75" s="117"/>
      <c r="G75" s="117"/>
      <c r="H75" s="117"/>
      <c r="I75" s="117"/>
      <c r="J75" s="117"/>
      <c r="K75" s="117"/>
      <c r="L75" s="117"/>
      <c r="M75" s="117"/>
      <c r="N75" s="117"/>
      <c r="O75" s="117"/>
      <c r="P75" s="117"/>
      <c r="Q75" s="117"/>
      <c r="R75" s="117"/>
      <c r="S75" s="117"/>
    </row>
    <row r="76" spans="2:19" s="12" customFormat="1" ht="16.5" customHeight="1">
      <c r="B76" s="126"/>
      <c r="C76" s="127"/>
      <c r="D76" s="117"/>
      <c r="E76" s="117"/>
      <c r="F76" s="117"/>
      <c r="G76" s="117"/>
      <c r="H76" s="117"/>
      <c r="I76" s="117"/>
      <c r="J76" s="117"/>
      <c r="K76" s="117"/>
      <c r="L76" s="117"/>
      <c r="M76" s="117"/>
      <c r="N76" s="117"/>
      <c r="O76" s="117"/>
      <c r="P76" s="117"/>
      <c r="Q76" s="117"/>
      <c r="R76" s="117"/>
      <c r="S76" s="117"/>
    </row>
    <row r="77" spans="2:19" s="12" customFormat="1" ht="16.5" customHeight="1">
      <c r="B77" s="126"/>
      <c r="C77" s="129" t="s">
        <v>258</v>
      </c>
      <c r="D77" s="117"/>
      <c r="E77" s="117"/>
      <c r="F77" s="117"/>
      <c r="G77" s="117"/>
      <c r="H77" s="117"/>
      <c r="I77" s="117"/>
      <c r="J77" s="117"/>
      <c r="K77" s="117"/>
      <c r="L77" s="117"/>
      <c r="M77" s="117"/>
      <c r="N77" s="117"/>
      <c r="O77" s="117"/>
      <c r="P77" s="117"/>
      <c r="Q77" s="117"/>
      <c r="R77" s="117"/>
      <c r="S77" s="117"/>
    </row>
    <row r="78" spans="2:19" s="12" customFormat="1" ht="16.5" customHeight="1">
      <c r="B78" s="126"/>
      <c r="C78" s="287" t="s">
        <v>259</v>
      </c>
      <c r="D78" s="117"/>
      <c r="E78" s="117"/>
      <c r="F78" s="117"/>
      <c r="G78" s="117"/>
      <c r="H78" s="117"/>
      <c r="I78" s="117"/>
      <c r="J78" s="117"/>
      <c r="K78" s="117"/>
      <c r="L78" s="117"/>
      <c r="M78" s="117"/>
      <c r="N78" s="117"/>
      <c r="O78" s="117"/>
      <c r="P78" s="117"/>
      <c r="Q78" s="117"/>
      <c r="R78" s="117"/>
      <c r="S78" s="117"/>
    </row>
    <row r="79" spans="2:19" s="12" customFormat="1" ht="16.5" customHeight="1">
      <c r="B79" s="126"/>
      <c r="C79" s="131" t="s">
        <v>260</v>
      </c>
      <c r="D79" s="117"/>
      <c r="E79" s="117"/>
      <c r="F79" s="117"/>
      <c r="G79" s="117"/>
      <c r="H79" s="117"/>
      <c r="I79" s="117"/>
      <c r="J79" s="117"/>
      <c r="K79" s="117"/>
      <c r="L79" s="117"/>
      <c r="M79" s="117"/>
      <c r="N79" s="117"/>
      <c r="O79" s="117"/>
      <c r="P79" s="117"/>
      <c r="Q79" s="117"/>
      <c r="R79" s="117"/>
      <c r="S79" s="117"/>
    </row>
    <row r="80" spans="2:19" s="12" customFormat="1" ht="16.5" customHeight="1">
      <c r="B80" s="126"/>
      <c r="C80" s="131"/>
      <c r="D80" s="117"/>
      <c r="E80" s="117"/>
      <c r="F80" s="117"/>
      <c r="G80" s="117"/>
      <c r="H80" s="117"/>
      <c r="I80" s="117"/>
      <c r="J80" s="117"/>
      <c r="K80" s="117"/>
      <c r="L80" s="117"/>
      <c r="M80" s="117"/>
      <c r="N80" s="117"/>
      <c r="O80" s="117"/>
      <c r="P80" s="117"/>
      <c r="Q80" s="117"/>
      <c r="R80" s="117"/>
      <c r="S80" s="117"/>
    </row>
    <row r="81" spans="2:19" s="12" customFormat="1" ht="16.5" customHeight="1">
      <c r="B81" s="126"/>
      <c r="C81" s="131" t="s">
        <v>261</v>
      </c>
      <c r="D81" s="117"/>
      <c r="E81" s="117"/>
      <c r="F81" s="117"/>
      <c r="G81" s="117"/>
      <c r="H81" s="117"/>
      <c r="I81" s="117"/>
      <c r="J81" s="117"/>
      <c r="K81" s="117"/>
      <c r="L81" s="117"/>
      <c r="M81" s="117"/>
      <c r="N81" s="117"/>
      <c r="O81" s="117"/>
      <c r="P81" s="117"/>
      <c r="Q81" s="117"/>
      <c r="R81" s="117"/>
      <c r="S81" s="117"/>
    </row>
    <row r="82" spans="2:19" s="12" customFormat="1" ht="16.5" customHeight="1">
      <c r="B82" s="126"/>
      <c r="C82" s="131" t="s">
        <v>262</v>
      </c>
      <c r="D82" s="126"/>
      <c r="E82" s="126"/>
      <c r="F82" s="117"/>
      <c r="G82" s="117"/>
      <c r="H82" s="117"/>
      <c r="I82" s="117"/>
      <c r="J82" s="117"/>
      <c r="K82" s="117"/>
      <c r="L82" s="117"/>
      <c r="M82" s="117"/>
      <c r="N82" s="117"/>
      <c r="O82" s="117"/>
      <c r="P82" s="117"/>
      <c r="Q82" s="117"/>
      <c r="R82" s="117"/>
      <c r="S82" s="117"/>
    </row>
    <row r="83" spans="2:19" s="12" customFormat="1" ht="16.5" customHeight="1">
      <c r="B83" s="126"/>
      <c r="C83" s="131" t="s">
        <v>263</v>
      </c>
      <c r="D83" s="117"/>
      <c r="E83" s="117"/>
      <c r="F83" s="117"/>
      <c r="G83" s="117"/>
      <c r="H83" s="117"/>
      <c r="I83" s="117"/>
      <c r="J83" s="117"/>
      <c r="K83" s="117"/>
      <c r="L83" s="117"/>
      <c r="M83" s="117"/>
      <c r="N83" s="117"/>
      <c r="O83" s="117"/>
      <c r="P83" s="117"/>
      <c r="Q83" s="117"/>
      <c r="R83" s="117"/>
      <c r="S83" s="117"/>
    </row>
    <row r="84" spans="2:19" s="12" customFormat="1" ht="16.5" customHeight="1">
      <c r="B84" s="243"/>
      <c r="C84" s="243"/>
      <c r="D84" s="117"/>
      <c r="E84" s="117"/>
      <c r="F84" s="117"/>
      <c r="G84" s="117"/>
      <c r="H84" s="117"/>
      <c r="I84" s="117"/>
      <c r="J84" s="117"/>
      <c r="K84" s="117"/>
      <c r="L84" s="117"/>
      <c r="M84" s="117"/>
      <c r="N84" s="117"/>
      <c r="O84" s="117"/>
      <c r="P84" s="117"/>
      <c r="Q84" s="117"/>
      <c r="R84" s="117"/>
      <c r="S84" s="117"/>
    </row>
    <row r="85" spans="2:19" s="12" customFormat="1" ht="16.5" customHeight="1">
      <c r="B85" s="126" t="s">
        <v>352</v>
      </c>
      <c r="C85" s="131" t="s">
        <v>353</v>
      </c>
      <c r="D85" s="128"/>
      <c r="E85" s="128"/>
      <c r="F85" s="128"/>
      <c r="G85" s="128"/>
      <c r="H85" s="125"/>
      <c r="I85" s="117"/>
      <c r="J85" s="117"/>
      <c r="K85" s="117"/>
      <c r="L85" s="117"/>
      <c r="M85" s="117"/>
      <c r="N85" s="117"/>
      <c r="O85" s="117"/>
      <c r="P85" s="117"/>
      <c r="Q85" s="117"/>
      <c r="R85" s="117"/>
      <c r="S85" s="117"/>
    </row>
    <row r="86" spans="2:19" s="12" customFormat="1" ht="16.5" customHeight="1">
      <c r="B86" s="126"/>
      <c r="C86" s="131" t="s">
        <v>354</v>
      </c>
      <c r="D86" s="128"/>
      <c r="E86" s="128"/>
      <c r="F86" s="128"/>
      <c r="G86" s="128"/>
      <c r="H86" s="125"/>
      <c r="I86" s="117"/>
      <c r="J86" s="117"/>
      <c r="K86" s="117"/>
      <c r="L86" s="117"/>
      <c r="M86" s="117"/>
      <c r="N86" s="117"/>
      <c r="O86" s="117"/>
      <c r="P86" s="117"/>
      <c r="Q86" s="117"/>
      <c r="R86" s="117"/>
      <c r="S86" s="117"/>
    </row>
    <row r="87" spans="2:19" s="12" customFormat="1" ht="16.5" customHeight="1">
      <c r="B87" s="126" t="s">
        <v>355</v>
      </c>
      <c r="C87" s="131" t="s">
        <v>356</v>
      </c>
      <c r="D87" s="128"/>
      <c r="E87" s="128"/>
      <c r="F87" s="128"/>
      <c r="G87" s="128"/>
      <c r="H87" s="125"/>
      <c r="I87" s="117"/>
      <c r="J87" s="117"/>
      <c r="K87" s="117"/>
      <c r="L87" s="117"/>
      <c r="M87" s="117"/>
      <c r="N87" s="117"/>
      <c r="O87" s="117"/>
      <c r="P87" s="117"/>
      <c r="Q87" s="117"/>
      <c r="R87" s="117"/>
      <c r="S87" s="117"/>
    </row>
    <row r="88" spans="2:19" s="12" customFormat="1" ht="16.5" customHeight="1">
      <c r="B88" s="126"/>
      <c r="C88" s="131"/>
      <c r="D88" s="117"/>
      <c r="E88" s="117"/>
      <c r="F88" s="117"/>
      <c r="G88" s="117"/>
      <c r="H88" s="117"/>
      <c r="I88" s="117"/>
      <c r="J88" s="117"/>
      <c r="K88" s="117"/>
      <c r="L88" s="117"/>
      <c r="M88" s="117"/>
      <c r="N88" s="117"/>
      <c r="O88" s="117"/>
    </row>
    <row r="89" spans="2:19" s="12" customFormat="1" ht="16.5" customHeight="1">
      <c r="B89" s="150" t="s">
        <v>272</v>
      </c>
      <c r="C89" s="246"/>
      <c r="D89" s="117"/>
      <c r="E89" s="117"/>
      <c r="F89" s="117"/>
      <c r="G89" s="117"/>
      <c r="H89" s="117"/>
      <c r="I89" s="117"/>
      <c r="J89" s="117"/>
      <c r="K89" s="117"/>
      <c r="L89" s="117"/>
      <c r="M89" s="117"/>
      <c r="N89" s="117"/>
      <c r="O89" s="117"/>
    </row>
    <row r="90" spans="2:19" s="12" customFormat="1" ht="16.5" customHeight="1">
      <c r="B90" s="247" t="s">
        <v>273</v>
      </c>
      <c r="C90" s="248"/>
      <c r="D90" s="117"/>
      <c r="E90" s="117"/>
      <c r="F90" s="117"/>
      <c r="G90" s="117"/>
      <c r="H90" s="117"/>
      <c r="I90" s="117"/>
      <c r="J90" s="117"/>
      <c r="K90" s="117"/>
      <c r="L90" s="117"/>
      <c r="M90" s="117"/>
      <c r="N90" s="117"/>
      <c r="O90" s="117"/>
    </row>
    <row r="91" spans="2:19" s="12" customFormat="1" ht="16.5" customHeight="1">
      <c r="B91" s="249" t="s">
        <v>274</v>
      </c>
      <c r="C91" s="250"/>
      <c r="D91" s="117"/>
      <c r="E91" s="117"/>
      <c r="F91" s="117"/>
      <c r="G91" s="117"/>
      <c r="H91" s="117"/>
      <c r="I91" s="117"/>
      <c r="J91" s="117"/>
      <c r="K91" s="117"/>
      <c r="L91" s="117"/>
      <c r="M91" s="117"/>
      <c r="N91" s="117"/>
      <c r="O91" s="117"/>
    </row>
    <row r="92" spans="2:19" s="12" customFormat="1" ht="16.5" customHeight="1">
      <c r="B92" s="251" t="s">
        <v>275</v>
      </c>
      <c r="C92" s="250"/>
      <c r="D92" s="117"/>
      <c r="E92" s="117"/>
      <c r="F92" s="117"/>
      <c r="G92" s="117"/>
      <c r="H92" s="117"/>
      <c r="I92" s="117"/>
      <c r="J92" s="117"/>
      <c r="K92" s="117"/>
      <c r="L92" s="117"/>
      <c r="M92" s="117"/>
      <c r="N92" s="117"/>
      <c r="O92" s="117"/>
    </row>
    <row r="93" spans="2:19" s="12" customFormat="1" ht="16.5" customHeight="1">
      <c r="B93" s="247" t="s">
        <v>276</v>
      </c>
      <c r="C93" s="250"/>
      <c r="D93" s="117"/>
      <c r="E93" s="117"/>
      <c r="F93" s="117"/>
      <c r="G93" s="117"/>
      <c r="H93" s="117"/>
      <c r="I93" s="117"/>
      <c r="J93" s="117"/>
      <c r="K93" s="117"/>
      <c r="L93" s="117"/>
      <c r="M93" s="117"/>
      <c r="N93" s="117"/>
      <c r="O93" s="117"/>
    </row>
    <row r="94" spans="2:19" s="12" customFormat="1" ht="16.5" customHeight="1">
      <c r="B94" s="247" t="s">
        <v>277</v>
      </c>
      <c r="C94" s="250"/>
      <c r="D94" s="117"/>
      <c r="E94" s="117"/>
      <c r="F94" s="117"/>
      <c r="G94" s="117"/>
      <c r="H94" s="117"/>
      <c r="I94" s="117"/>
      <c r="J94" s="117"/>
      <c r="K94" s="117"/>
      <c r="L94" s="117"/>
      <c r="M94" s="117"/>
      <c r="N94" s="117"/>
      <c r="O94" s="117"/>
    </row>
    <row r="95" spans="2:19" s="12" customFormat="1" ht="16.5" customHeight="1">
      <c r="B95" s="288" t="s">
        <v>278</v>
      </c>
      <c r="C95" s="249"/>
      <c r="D95" s="117"/>
      <c r="E95" s="117"/>
      <c r="F95" s="117"/>
      <c r="G95" s="117"/>
      <c r="H95" s="117"/>
      <c r="I95" s="117"/>
      <c r="J95" s="117"/>
      <c r="K95" s="117"/>
      <c r="L95" s="117"/>
      <c r="M95" s="117"/>
      <c r="N95" s="117"/>
      <c r="O95" s="117"/>
    </row>
    <row r="96" spans="2:19" s="12" customFormat="1" ht="16.5" customHeight="1">
      <c r="B96" s="286" t="s">
        <v>228</v>
      </c>
      <c r="C96" s="117"/>
      <c r="D96" s="117"/>
      <c r="E96" s="117"/>
      <c r="F96" s="117"/>
      <c r="G96" s="117"/>
      <c r="H96" s="117"/>
      <c r="I96" s="117"/>
      <c r="J96" s="117"/>
      <c r="K96" s="117"/>
      <c r="L96" s="117"/>
      <c r="M96" s="117"/>
      <c r="N96" s="117"/>
      <c r="O96" s="117"/>
    </row>
    <row r="97" spans="2:30" s="12" customFormat="1" ht="16.5" customHeight="1">
      <c r="B97" s="156" t="s">
        <v>279</v>
      </c>
      <c r="C97" s="117"/>
      <c r="D97" s="117"/>
      <c r="E97" s="117"/>
      <c r="F97" s="117"/>
      <c r="G97" s="117"/>
      <c r="H97" s="117"/>
      <c r="I97" s="117"/>
      <c r="J97" s="117"/>
      <c r="K97" s="117"/>
      <c r="L97" s="117"/>
      <c r="M97" s="117"/>
      <c r="N97" s="117"/>
      <c r="O97" s="117"/>
    </row>
    <row r="98" spans="2:30" s="12" customFormat="1" ht="16.5" customHeight="1">
      <c r="B98" s="247" t="s">
        <v>280</v>
      </c>
      <c r="C98" s="117"/>
      <c r="D98" s="117"/>
      <c r="E98" s="117"/>
      <c r="F98" s="117"/>
      <c r="G98" s="117"/>
      <c r="H98" s="117"/>
      <c r="I98" s="117"/>
      <c r="J98" s="117"/>
      <c r="K98" s="117"/>
      <c r="L98" s="117"/>
      <c r="M98" s="117"/>
      <c r="N98" s="117"/>
      <c r="O98" s="117"/>
    </row>
    <row r="99" spans="2:30" s="12" customFormat="1" ht="16.5" customHeight="1">
      <c r="B99" s="247" t="s">
        <v>281</v>
      </c>
      <c r="C99" s="117"/>
      <c r="D99" s="117"/>
      <c r="E99" s="117"/>
      <c r="F99" s="117"/>
      <c r="G99" s="117"/>
      <c r="H99" s="117"/>
      <c r="I99" s="117"/>
      <c r="J99" s="117"/>
      <c r="K99" s="117"/>
      <c r="L99" s="117"/>
      <c r="M99" s="117"/>
      <c r="N99" s="117"/>
      <c r="O99" s="117"/>
    </row>
    <row r="100" spans="2:30" s="12" customFormat="1" ht="16.5" customHeight="1">
      <c r="B100" s="286" t="s">
        <v>282</v>
      </c>
      <c r="C100" s="117"/>
      <c r="D100" s="117"/>
      <c r="E100" s="117"/>
      <c r="F100" s="117"/>
      <c r="G100" s="117"/>
      <c r="H100" s="117"/>
      <c r="I100" s="117"/>
      <c r="J100" s="117"/>
      <c r="K100" s="117"/>
      <c r="L100" s="117"/>
      <c r="M100" s="117"/>
      <c r="N100" s="117"/>
      <c r="O100" s="117"/>
    </row>
    <row r="101" spans="2:30" s="12" customFormat="1" ht="16.5" customHeight="1">
      <c r="B101" s="286" t="s">
        <v>283</v>
      </c>
      <c r="C101" s="117"/>
      <c r="D101" s="117"/>
      <c r="E101" s="117"/>
      <c r="F101" s="117"/>
      <c r="G101" s="117"/>
      <c r="H101" s="117"/>
      <c r="I101" s="117"/>
      <c r="J101" s="117"/>
      <c r="K101" s="117"/>
      <c r="L101" s="117"/>
      <c r="M101" s="117"/>
      <c r="N101" s="117"/>
      <c r="O101" s="117"/>
    </row>
    <row r="102" spans="2:30" s="12" customFormat="1" ht="16.5" customHeight="1">
      <c r="B102" s="286" t="s">
        <v>284</v>
      </c>
      <c r="C102" s="117"/>
      <c r="D102" s="117"/>
      <c r="E102" s="117"/>
      <c r="F102" s="117"/>
      <c r="G102" s="117"/>
      <c r="H102" s="117"/>
      <c r="I102" s="117"/>
      <c r="J102" s="117"/>
      <c r="K102" s="117"/>
      <c r="L102" s="117"/>
      <c r="M102" s="117"/>
      <c r="N102" s="117"/>
      <c r="O102" s="117"/>
    </row>
    <row r="103" spans="2:30" s="12" customFormat="1" ht="16.5" customHeight="1">
      <c r="B103" s="286" t="s">
        <v>285</v>
      </c>
      <c r="C103" s="117"/>
      <c r="D103" s="117"/>
      <c r="E103" s="117"/>
      <c r="F103" s="117"/>
      <c r="G103" s="117"/>
      <c r="H103" s="117"/>
      <c r="I103" s="117"/>
      <c r="J103" s="117"/>
      <c r="K103" s="117"/>
      <c r="L103" s="117"/>
      <c r="M103" s="117"/>
      <c r="N103" s="117"/>
      <c r="O103" s="117"/>
    </row>
    <row r="104" spans="2:30" s="12" customFormat="1" ht="16.5" customHeight="1">
      <c r="B104" s="251" t="s">
        <v>286</v>
      </c>
      <c r="C104" s="117"/>
      <c r="D104" s="117"/>
      <c r="E104" s="117"/>
      <c r="F104" s="117"/>
      <c r="G104" s="117"/>
      <c r="H104" s="117"/>
      <c r="I104" s="117"/>
      <c r="J104" s="117"/>
      <c r="K104" s="117"/>
      <c r="L104" s="117"/>
      <c r="M104" s="117"/>
      <c r="N104" s="117"/>
      <c r="O104" s="117"/>
    </row>
    <row r="105" spans="2:30" s="12" customFormat="1" ht="16.5" customHeight="1">
      <c r="B105" s="247" t="s">
        <v>287</v>
      </c>
      <c r="C105" s="117"/>
      <c r="D105" s="117"/>
      <c r="E105" s="117"/>
      <c r="F105" s="117"/>
      <c r="G105" s="117"/>
      <c r="H105" s="117"/>
      <c r="I105" s="117"/>
      <c r="J105" s="117"/>
      <c r="K105" s="117"/>
      <c r="L105" s="117"/>
      <c r="M105" s="117"/>
      <c r="N105" s="117"/>
      <c r="O105" s="117"/>
    </row>
    <row r="106" spans="2:30" s="12" customFormat="1" ht="16.5" customHeight="1">
      <c r="B106" s="254" t="s">
        <v>288</v>
      </c>
      <c r="C106" s="117"/>
      <c r="D106" s="117"/>
      <c r="E106" s="117"/>
      <c r="F106" s="117"/>
      <c r="G106" s="117"/>
      <c r="H106" s="117"/>
      <c r="I106" s="117"/>
      <c r="J106" s="117"/>
      <c r="K106" s="117"/>
      <c r="L106" s="117"/>
      <c r="M106" s="117"/>
      <c r="N106" s="117"/>
      <c r="O106" s="117"/>
    </row>
    <row r="107" spans="2:30" s="12" customFormat="1" ht="16.5" customHeight="1">
      <c r="B107" s="289" t="s">
        <v>289</v>
      </c>
      <c r="C107" s="117"/>
      <c r="D107" s="117"/>
      <c r="E107" s="117"/>
      <c r="F107" s="117"/>
      <c r="G107" s="117"/>
      <c r="H107" s="117"/>
      <c r="I107" s="117"/>
      <c r="J107" s="117"/>
      <c r="K107" s="117"/>
      <c r="L107" s="117"/>
      <c r="M107" s="117"/>
      <c r="N107" s="117"/>
      <c r="O107" s="117"/>
    </row>
    <row r="108" spans="2:30" ht="16.5" customHeight="1">
      <c r="B108" s="256" t="s">
        <v>290</v>
      </c>
      <c r="C108" s="102"/>
      <c r="D108" s="102"/>
      <c r="E108" s="102"/>
      <c r="F108" s="102"/>
      <c r="G108" s="102"/>
      <c r="H108" s="102"/>
      <c r="I108" s="102"/>
      <c r="J108" s="102"/>
      <c r="K108" s="102"/>
      <c r="L108" s="102"/>
      <c r="M108" s="102"/>
      <c r="N108" s="102"/>
      <c r="O108" s="102"/>
      <c r="Y108" s="12"/>
      <c r="Z108" s="12"/>
      <c r="AA108" s="12"/>
      <c r="AB108" s="12"/>
      <c r="AC108" s="12"/>
      <c r="AD108" s="12"/>
    </row>
    <row r="109" spans="2:30" s="3" customFormat="1" ht="16.5" customHeight="1">
      <c r="B109" s="290" t="s">
        <v>291</v>
      </c>
      <c r="C109" s="163"/>
      <c r="D109" s="163"/>
      <c r="E109" s="163"/>
      <c r="F109" s="163"/>
      <c r="G109" s="163"/>
      <c r="H109" s="163"/>
      <c r="I109" s="163"/>
      <c r="J109" s="163"/>
      <c r="K109" s="163"/>
      <c r="L109" s="163"/>
      <c r="M109" s="163"/>
      <c r="N109" s="163"/>
      <c r="O109" s="163"/>
      <c r="Y109" s="10"/>
    </row>
    <row r="110" spans="2:30" ht="16.5" customHeight="1">
      <c r="B110" s="102"/>
      <c r="C110" s="102"/>
      <c r="D110" s="102"/>
      <c r="E110" s="102"/>
      <c r="F110" s="102"/>
      <c r="G110" s="102"/>
      <c r="H110" s="102"/>
      <c r="I110" s="102"/>
      <c r="J110" s="102"/>
      <c r="K110" s="102"/>
      <c r="L110" s="102"/>
      <c r="M110" s="102"/>
      <c r="N110" s="102"/>
      <c r="O110" s="102"/>
      <c r="Y110" s="3"/>
    </row>
    <row r="111" spans="2:30" ht="16.5" customHeight="1">
      <c r="B111" s="102"/>
      <c r="C111" s="102"/>
      <c r="D111" s="102"/>
      <c r="E111" s="102"/>
      <c r="F111" s="102"/>
      <c r="G111" s="102"/>
      <c r="H111" s="102"/>
      <c r="I111" s="102"/>
      <c r="J111" s="102"/>
      <c r="K111" s="102"/>
      <c r="L111" s="102"/>
      <c r="M111" s="102"/>
      <c r="N111" s="102"/>
      <c r="O111" s="102"/>
    </row>
    <row r="112" spans="2:30" s="3" customFormat="1" ht="16.5" customHeight="1">
      <c r="B112" s="506" t="s">
        <v>292</v>
      </c>
      <c r="C112" s="506"/>
      <c r="D112" s="506"/>
      <c r="E112" s="506"/>
      <c r="F112" s="506"/>
      <c r="G112" s="506"/>
      <c r="H112" s="506"/>
      <c r="I112" s="506"/>
      <c r="J112" s="506"/>
      <c r="K112" s="506"/>
      <c r="L112" s="506"/>
      <c r="M112" s="506"/>
      <c r="N112" s="506"/>
      <c r="O112" s="163"/>
      <c r="Y112" s="10"/>
    </row>
    <row r="113" spans="2:25" ht="16.5" customHeight="1">
      <c r="Y113" s="3"/>
    </row>
    <row r="114" spans="2:25" ht="16.5" customHeight="1"/>
    <row r="115" spans="2:25" ht="16.5" customHeight="1">
      <c r="B115" s="258" t="s">
        <v>293</v>
      </c>
    </row>
    <row r="116" spans="2:25" ht="16.5" customHeight="1"/>
  </sheetData>
  <autoFilter ref="A16:AC34" xr:uid="{B9FAB631-6748-4F90-BF87-FEE1EFB277E0}">
    <filterColumn colId="6" showButton="0"/>
    <filterColumn colId="7" showButton="0"/>
    <filterColumn colId="8" showButton="0"/>
    <filterColumn colId="9" showButton="0"/>
    <filterColumn colId="12" showButton="0"/>
    <filterColumn colId="13" showButton="0"/>
    <filterColumn colId="14" showButton="0"/>
    <filterColumn colId="15" showButton="0"/>
    <filterColumn colId="18" showButton="0"/>
    <filterColumn colId="19" showButton="0"/>
    <filterColumn colId="20" showButton="0"/>
    <filterColumn colId="21" showButton="0"/>
    <filterColumn colId="24" showButton="0"/>
    <filterColumn colId="25" showButton="0"/>
    <filterColumn colId="26" showButton="0"/>
    <filterColumn colId="27" showButton="0"/>
  </autoFilter>
  <mergeCells count="14">
    <mergeCell ref="B3:K3"/>
    <mergeCell ref="B16:B17"/>
    <mergeCell ref="C16:C17"/>
    <mergeCell ref="D16:D17"/>
    <mergeCell ref="E16:E17"/>
    <mergeCell ref="G16:K16"/>
    <mergeCell ref="C4:K4"/>
    <mergeCell ref="C5:K5"/>
    <mergeCell ref="S16:W16"/>
    <mergeCell ref="AE16:AE17"/>
    <mergeCell ref="AF16:AF17"/>
    <mergeCell ref="Y16:AC16"/>
    <mergeCell ref="B112:N112"/>
    <mergeCell ref="M16:Q16"/>
  </mergeCells>
  <hyperlinks>
    <hyperlink ref="N9" r:id="rId1" xr:uid="{3F0C326D-9B25-4877-A1E5-D613C9BD2AE4}"/>
    <hyperlink ref="N11" r:id="rId2" xr:uid="{0CB99BDC-4533-430E-9BA8-6330FC4254C9}"/>
    <hyperlink ref="B49:G49" r:id="rId3" display="8. Please click here to check our standard free time tariff at destinations." xr:uid="{417C7485-C702-47EA-A283-70E0070C5EBA}"/>
    <hyperlink ref="C70" r:id="rId4" xr:uid="{3CCDDBFF-FFB5-4792-B042-849298C90CE5}"/>
    <hyperlink ref="C78" r:id="rId5" display="https://apc01.safelinks.protection.outlook.com/?url=http%3A%2F%2Fpkapp.pka.gov.my%2Fdg%2Funno.php%3Funno%3D3462%26Search%3DSearch&amp;data=05%7C01%7Candreas.betzold%40coscoshipping.de%7C354962dd5b0546dcdcc808da546321e5%7Cff308fd09421454ab8b34d36252ab3a3%7C0%7C0%7C637915082001854931%7CUnknown%7CTWFpbGZsb3d8eyJWIjoiMC4wLjAwMDAiLCJQIjoiV2luMzIiLCJBTiI6Ik1haWwiLCJXVCI6Mn0%3D%7C3000%7C%7C%7C&amp;sdata=WAkuVEoe4TB6lA4kKiJ7ga2M1HAePb22ISdBIXuNsKU%3D&amp;reserved=0" xr:uid="{FE52F441-3FCE-4EAC-9F72-E2DD28232A69}"/>
    <hyperlink ref="B109" r:id="rId6" xr:uid="{E2FE3104-76F4-4FF6-82B8-3BB53648E44F}"/>
    <hyperlink ref="B107" r:id="rId7" xr:uid="{D22C7094-BB41-4921-9A4C-A26D42C6017E}"/>
    <hyperlink ref="B95" r:id="rId8" display="   Demurrage/detention does not include storage at terminal, please click here to check our standard free time at destinations LINK" xr:uid="{4A92E887-9CA7-4B11-A94F-AB9CB9A80F37}"/>
    <hyperlink ref="B98:D98" r:id="rId9" display="Local charges/conditions listed on our homepage coscoshipping.es LINK" xr:uid="{68B1C41F-FBDF-4C61-B784-EBA7E5E51898}"/>
    <hyperlink ref="B101" r:id="rId10" xr:uid="{2C6681DB-4D95-435E-8D1F-6FBED86D6EA3}"/>
    <hyperlink ref="B102" r:id="rId11" xr:uid="{4B7414CB-5ACA-4905-BC0C-236E0FB8C479}"/>
    <hyperlink ref="B103" r:id="rId12" xr:uid="{FD15C398-4EF2-457D-BCB9-A1C5877B0BCD}"/>
    <hyperlink ref="B97:D97" r:id="rId13" display="Local charges/conditions listed on our homepage coscoshipping.es LINK" xr:uid="{C297D7E3-3CD9-48B0-A714-F09CF5A9802F}"/>
    <hyperlink ref="B96" r:id="rId14" xr:uid="{AA089C09-9091-4649-A8C2-73F1047A9480}"/>
    <hyperlink ref="B115" location="'Far East '!A1" display="BACK TO TOP" xr:uid="{5A4C0C12-B7C9-450A-9C27-B9D43CC73AFF}"/>
  </hyperlinks>
  <pageMargins left="0.7" right="0.7" top="0.75" bottom="0.75" header="0.3" footer="0.3"/>
  <pageSetup paperSize="9" orientation="portrait" verticalDpi="300" r:id="rId15"/>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954FB-11F3-43A1-B580-9A93EEF39EFE}">
  <sheetPr>
    <tabColor theme="8" tint="0.59999389629810485"/>
  </sheetPr>
  <dimension ref="A2:CL101"/>
  <sheetViews>
    <sheetView showGridLines="0" zoomScaleNormal="100" workbookViewId="0">
      <selection activeCell="D56" sqref="D56"/>
    </sheetView>
  </sheetViews>
  <sheetFormatPr baseColWidth="10" defaultColWidth="11.42578125" defaultRowHeight="11.25"/>
  <cols>
    <col min="1" max="1" width="4.7109375" style="2" customWidth="1"/>
    <col min="2" max="2" width="19.28515625" style="10" customWidth="1"/>
    <col min="3" max="3" width="7.5703125" style="10" customWidth="1"/>
    <col min="4" max="4" width="18.5703125" style="10" bestFit="1" customWidth="1"/>
    <col min="5" max="5" width="14.5703125" style="10" customWidth="1"/>
    <col min="6" max="6" width="0.42578125" style="10" customWidth="1"/>
    <col min="7" max="7" width="9.5703125" style="10" bestFit="1" customWidth="1"/>
    <col min="8" max="8" width="12.5703125" style="10" bestFit="1" customWidth="1"/>
    <col min="9" max="11" width="8.28515625" style="10" bestFit="1" customWidth="1"/>
    <col min="12" max="12" width="0.42578125" style="10" customWidth="1"/>
    <col min="13" max="14" width="11.28515625" style="10" customWidth="1"/>
    <col min="15" max="17" width="8.28515625" style="10" bestFit="1" customWidth="1"/>
    <col min="18" max="18" width="0.42578125" style="10" customWidth="1"/>
    <col min="19" max="20" width="11.28515625" style="10" customWidth="1"/>
    <col min="21" max="21" width="8.85546875" style="10" customWidth="1"/>
    <col min="22" max="23" width="8.28515625" style="10" bestFit="1" customWidth="1"/>
    <col min="24" max="24" width="0.42578125" style="10" customWidth="1"/>
    <col min="25" max="25" width="9.5703125" style="10" bestFit="1" customWidth="1"/>
    <col min="26" max="26" width="12.5703125" style="3" bestFit="1" customWidth="1"/>
    <col min="27" max="27" width="5" style="3" bestFit="1" customWidth="1"/>
    <col min="28" max="28" width="4.85546875" style="3" bestFit="1" customWidth="1"/>
    <col min="29" max="29" width="2.7109375" style="3" bestFit="1" customWidth="1"/>
    <col min="30" max="30" width="0.42578125" style="3" customWidth="1"/>
    <col min="31" max="31" width="29.42578125" style="10" bestFit="1" customWidth="1"/>
    <col min="32" max="90" width="11.42578125" style="3"/>
    <col min="91" max="16384" width="11.42578125" style="19"/>
  </cols>
  <sheetData>
    <row r="2" spans="2:31">
      <c r="K2" s="93"/>
      <c r="L2" s="93"/>
      <c r="M2" s="93"/>
      <c r="Y2" s="12"/>
      <c r="Z2" s="12"/>
      <c r="AA2" s="12"/>
      <c r="AB2" s="12"/>
      <c r="AC2" s="12"/>
      <c r="AD2" s="12"/>
    </row>
    <row r="3" spans="2:31" s="12" customFormat="1" ht="16.5" customHeight="1">
      <c r="B3" s="507" t="s">
        <v>357</v>
      </c>
      <c r="C3" s="508"/>
      <c r="D3" s="508"/>
      <c r="E3" s="508"/>
      <c r="F3" s="508"/>
      <c r="G3" s="508"/>
      <c r="H3" s="508"/>
      <c r="I3" s="508"/>
      <c r="J3" s="508"/>
      <c r="K3" s="509"/>
      <c r="L3" s="260"/>
      <c r="M3" s="85"/>
      <c r="N3" s="13"/>
    </row>
    <row r="4" spans="2:31" s="12" customFormat="1" ht="16.5" customHeight="1">
      <c r="B4" s="262" t="s">
        <v>40</v>
      </c>
      <c r="C4" s="512" t="s">
        <v>41</v>
      </c>
      <c r="D4" s="512"/>
      <c r="E4" s="512"/>
      <c r="F4" s="512"/>
      <c r="G4" s="512"/>
      <c r="H4" s="512"/>
      <c r="I4" s="512"/>
      <c r="J4" s="512"/>
      <c r="K4" s="513"/>
      <c r="L4" s="169"/>
      <c r="M4" s="13"/>
      <c r="N4" s="13"/>
    </row>
    <row r="5" spans="2:31" s="12" customFormat="1" ht="25.15" customHeight="1">
      <c r="B5" s="264" t="s">
        <v>42</v>
      </c>
      <c r="C5" s="515" t="s">
        <v>43</v>
      </c>
      <c r="D5" s="515"/>
      <c r="E5" s="515"/>
      <c r="F5" s="515"/>
      <c r="G5" s="515"/>
      <c r="H5" s="515"/>
      <c r="I5" s="515"/>
      <c r="J5" s="515"/>
      <c r="K5" s="516"/>
      <c r="L5" s="83"/>
      <c r="M5" s="13"/>
      <c r="N5" s="13"/>
    </row>
    <row r="6" spans="2:31" s="12" customFormat="1" ht="16.5" customHeight="1">
      <c r="B6" s="23" t="s">
        <v>44</v>
      </c>
      <c r="C6" s="23"/>
      <c r="D6" s="14"/>
      <c r="E6" s="14"/>
      <c r="F6" s="14"/>
      <c r="G6" s="15"/>
      <c r="H6" s="13"/>
      <c r="I6" s="13"/>
      <c r="J6" s="13"/>
      <c r="K6" s="13"/>
      <c r="L6" s="13"/>
      <c r="M6" s="13"/>
      <c r="N6" s="13"/>
    </row>
    <row r="7" spans="2:31" s="12" customFormat="1" ht="16.5" customHeight="1">
      <c r="B7" s="31"/>
      <c r="C7" s="31"/>
      <c r="D7" s="31"/>
      <c r="E7" s="31"/>
      <c r="F7" s="31"/>
      <c r="G7" s="33"/>
      <c r="H7" s="15"/>
      <c r="I7" s="15"/>
      <c r="J7" s="15"/>
      <c r="K7" s="21"/>
      <c r="L7" s="21"/>
      <c r="M7" s="13"/>
      <c r="N7" s="31" t="s">
        <v>45</v>
      </c>
      <c r="O7" s="89"/>
      <c r="P7" s="89"/>
      <c r="Q7" s="89"/>
      <c r="R7" s="89"/>
      <c r="S7" s="89"/>
      <c r="T7" s="89"/>
      <c r="U7" s="89"/>
      <c r="V7" s="89"/>
      <c r="W7" s="31"/>
    </row>
    <row r="8" spans="2:31" s="12" customFormat="1" ht="16.5" customHeight="1">
      <c r="B8" s="34"/>
      <c r="C8" s="34"/>
      <c r="D8" s="35"/>
      <c r="E8" s="35"/>
      <c r="F8" s="35"/>
      <c r="G8" s="35"/>
      <c r="H8" s="35"/>
      <c r="I8" s="35"/>
      <c r="J8" s="35"/>
      <c r="K8" s="21"/>
      <c r="L8" s="21"/>
      <c r="M8" s="13"/>
      <c r="N8" s="90"/>
      <c r="O8" s="89"/>
      <c r="P8" s="89"/>
      <c r="Q8" s="89"/>
      <c r="R8" s="89"/>
      <c r="S8" s="89"/>
      <c r="T8" s="89"/>
      <c r="U8" s="89"/>
      <c r="V8" s="89"/>
      <c r="W8" s="90"/>
    </row>
    <row r="9" spans="2:31" s="12" customFormat="1" ht="16.5" customHeight="1">
      <c r="B9" s="30"/>
      <c r="C9" s="30"/>
      <c r="D9" s="36"/>
      <c r="E9" s="22"/>
      <c r="F9" s="22"/>
      <c r="G9" s="37"/>
      <c r="H9" s="38"/>
      <c r="I9" s="38"/>
      <c r="J9" s="38"/>
      <c r="K9" s="21"/>
      <c r="L9" s="21"/>
      <c r="M9" s="13"/>
      <c r="N9" s="91" t="s">
        <v>46</v>
      </c>
      <c r="O9" s="92"/>
      <c r="P9" s="92"/>
      <c r="Q9" s="92"/>
      <c r="R9" s="92"/>
      <c r="S9" s="92"/>
      <c r="T9" s="89"/>
      <c r="U9" s="89"/>
      <c r="V9" s="89"/>
      <c r="W9" s="91"/>
    </row>
    <row r="10" spans="2:31" s="12" customFormat="1" ht="16.5" customHeight="1">
      <c r="B10" s="30"/>
      <c r="C10" s="30"/>
      <c r="D10" s="36"/>
      <c r="E10" s="22"/>
      <c r="F10" s="22"/>
      <c r="G10" s="37"/>
      <c r="H10" s="38"/>
      <c r="I10" s="38"/>
      <c r="J10" s="38"/>
      <c r="K10" s="21"/>
      <c r="L10" s="21"/>
      <c r="M10" s="13"/>
      <c r="N10" s="91"/>
      <c r="O10" s="92"/>
      <c r="P10" s="92"/>
      <c r="Q10" s="92"/>
      <c r="R10" s="92"/>
      <c r="S10" s="92"/>
      <c r="T10" s="89"/>
      <c r="U10" s="89"/>
      <c r="V10" s="89"/>
      <c r="W10" s="91"/>
    </row>
    <row r="11" spans="2:31" s="12" customFormat="1" ht="16.5" customHeight="1">
      <c r="B11" s="30"/>
      <c r="C11" s="30"/>
      <c r="D11" s="36"/>
      <c r="E11" s="22"/>
      <c r="F11" s="22"/>
      <c r="G11" s="37"/>
      <c r="H11" s="38"/>
      <c r="I11" s="38"/>
      <c r="J11" s="38"/>
      <c r="K11" s="21"/>
      <c r="L11" s="21"/>
      <c r="M11" s="13"/>
      <c r="N11" s="91" t="s">
        <v>47</v>
      </c>
      <c r="O11" s="92"/>
      <c r="P11" s="92"/>
      <c r="Q11" s="92"/>
      <c r="R11" s="92"/>
      <c r="S11" s="92"/>
      <c r="T11" s="89"/>
      <c r="U11" s="89"/>
      <c r="V11" s="89"/>
      <c r="W11" s="91"/>
    </row>
    <row r="12" spans="2:31" ht="15">
      <c r="N12" s="31"/>
      <c r="O12" s="89"/>
      <c r="P12" s="89"/>
      <c r="Q12" s="89"/>
      <c r="R12" s="89"/>
      <c r="S12" s="89"/>
      <c r="T12" s="89"/>
      <c r="U12" s="89"/>
      <c r="V12" s="89"/>
      <c r="W12" s="31"/>
    </row>
    <row r="16" spans="2:31" s="12" customFormat="1" ht="16.5" customHeight="1">
      <c r="B16" s="483" t="s">
        <v>48</v>
      </c>
      <c r="C16" s="483" t="s">
        <v>49</v>
      </c>
      <c r="D16" s="483" t="s">
        <v>50</v>
      </c>
      <c r="E16" s="483" t="s">
        <v>51</v>
      </c>
      <c r="F16" s="260"/>
      <c r="G16" s="483" t="s">
        <v>52</v>
      </c>
      <c r="H16" s="483"/>
      <c r="I16" s="483"/>
      <c r="J16" s="483"/>
      <c r="K16" s="483"/>
      <c r="L16" s="260"/>
      <c r="M16" s="483" t="s">
        <v>53</v>
      </c>
      <c r="N16" s="483"/>
      <c r="O16" s="483"/>
      <c r="P16" s="483"/>
      <c r="Q16" s="483"/>
      <c r="R16" s="260"/>
      <c r="S16" s="483" t="s">
        <v>54</v>
      </c>
      <c r="T16" s="483"/>
      <c r="U16" s="483"/>
      <c r="V16" s="483"/>
      <c r="W16" s="483"/>
      <c r="X16" s="260"/>
      <c r="Y16" s="483" t="s">
        <v>295</v>
      </c>
      <c r="Z16" s="483"/>
      <c r="AA16" s="483"/>
      <c r="AB16" s="483"/>
      <c r="AC16" s="483"/>
      <c r="AD16" s="25"/>
      <c r="AE16" s="477" t="s">
        <v>358</v>
      </c>
    </row>
    <row r="17" spans="1:90" s="95" customFormat="1" ht="12.75">
      <c r="B17" s="483"/>
      <c r="C17" s="483"/>
      <c r="D17" s="483"/>
      <c r="E17" s="483"/>
      <c r="F17" s="260"/>
      <c r="G17" s="94" t="s">
        <v>58</v>
      </c>
      <c r="H17" s="94" t="s">
        <v>59</v>
      </c>
      <c r="I17" s="94" t="s">
        <v>60</v>
      </c>
      <c r="J17" s="94" t="s">
        <v>61</v>
      </c>
      <c r="K17" s="94" t="s">
        <v>62</v>
      </c>
      <c r="L17" s="260"/>
      <c r="M17" s="94" t="s">
        <v>58</v>
      </c>
      <c r="N17" s="94" t="s">
        <v>59</v>
      </c>
      <c r="O17" s="94" t="s">
        <v>60</v>
      </c>
      <c r="P17" s="94" t="s">
        <v>61</v>
      </c>
      <c r="Q17" s="94" t="s">
        <v>62</v>
      </c>
      <c r="R17" s="260"/>
      <c r="S17" s="94" t="s">
        <v>58</v>
      </c>
      <c r="T17" s="94" t="s">
        <v>59</v>
      </c>
      <c r="U17" s="94" t="s">
        <v>60</v>
      </c>
      <c r="V17" s="94" t="s">
        <v>61</v>
      </c>
      <c r="W17" s="94" t="s">
        <v>62</v>
      </c>
      <c r="X17" s="260"/>
      <c r="Y17" s="94" t="s">
        <v>297</v>
      </c>
      <c r="Z17" s="94" t="s">
        <v>298</v>
      </c>
      <c r="AA17" s="94" t="s">
        <v>299</v>
      </c>
      <c r="AB17" s="94" t="s">
        <v>300</v>
      </c>
      <c r="AC17" s="94" t="s">
        <v>62</v>
      </c>
      <c r="AD17" s="25"/>
      <c r="AE17" s="477"/>
    </row>
    <row r="18" spans="1:90" s="12" customFormat="1" ht="16.5" customHeight="1">
      <c r="B18" s="291" t="s">
        <v>359</v>
      </c>
      <c r="C18" s="291" t="s">
        <v>360</v>
      </c>
      <c r="D18" s="292" t="s">
        <v>361</v>
      </c>
      <c r="E18" s="268" t="s">
        <v>66</v>
      </c>
      <c r="F18" s="269"/>
      <c r="G18" s="270">
        <v>1635</v>
      </c>
      <c r="H18" s="270">
        <v>1635</v>
      </c>
      <c r="I18" s="270" t="s">
        <v>67</v>
      </c>
      <c r="J18" s="270" t="s">
        <v>68</v>
      </c>
      <c r="K18" s="271">
        <v>46</v>
      </c>
      <c r="L18" s="272"/>
      <c r="M18" s="270">
        <v>1635</v>
      </c>
      <c r="N18" s="270">
        <v>1635</v>
      </c>
      <c r="O18" s="270" t="s">
        <v>112</v>
      </c>
      <c r="P18" s="270" t="s">
        <v>68</v>
      </c>
      <c r="Q18" s="271">
        <v>49</v>
      </c>
      <c r="R18" s="272"/>
      <c r="S18" s="377" t="s">
        <v>362</v>
      </c>
      <c r="T18" s="377" t="s">
        <v>362</v>
      </c>
      <c r="U18" s="377" t="s">
        <v>363</v>
      </c>
      <c r="V18" s="377" t="s">
        <v>364</v>
      </c>
      <c r="W18" s="377">
        <v>50</v>
      </c>
      <c r="X18" s="272"/>
      <c r="Y18" s="270">
        <v>1915</v>
      </c>
      <c r="Z18" s="270">
        <v>1915</v>
      </c>
      <c r="AA18" s="270" t="s">
        <v>112</v>
      </c>
      <c r="AB18" s="270" t="s">
        <v>68</v>
      </c>
      <c r="AC18" s="271">
        <v>52</v>
      </c>
      <c r="AD18" s="93"/>
      <c r="AE18" s="271" t="s">
        <v>365</v>
      </c>
    </row>
    <row r="19" spans="1:90" s="12" customFormat="1" ht="16.5" customHeight="1">
      <c r="B19" s="291" t="s">
        <v>366</v>
      </c>
      <c r="C19" s="291" t="s">
        <v>367</v>
      </c>
      <c r="D19" s="292" t="s">
        <v>368</v>
      </c>
      <c r="E19" s="268" t="s">
        <v>66</v>
      </c>
      <c r="F19" s="269"/>
      <c r="G19" s="270">
        <v>450</v>
      </c>
      <c r="H19" s="270">
        <v>450</v>
      </c>
      <c r="I19" s="270" t="s">
        <v>67</v>
      </c>
      <c r="J19" s="270" t="s">
        <v>68</v>
      </c>
      <c r="K19" s="271">
        <v>51</v>
      </c>
      <c r="L19" s="272"/>
      <c r="M19" s="270">
        <v>450</v>
      </c>
      <c r="N19" s="270">
        <v>450</v>
      </c>
      <c r="O19" s="270" t="s">
        <v>69</v>
      </c>
      <c r="P19" s="270" t="s">
        <v>70</v>
      </c>
      <c r="Q19" s="271">
        <v>40</v>
      </c>
      <c r="R19" s="272"/>
      <c r="S19" s="377" t="s">
        <v>362</v>
      </c>
      <c r="T19" s="377" t="s">
        <v>362</v>
      </c>
      <c r="U19" s="377" t="s">
        <v>363</v>
      </c>
      <c r="V19" s="377" t="s">
        <v>364</v>
      </c>
      <c r="W19" s="377">
        <v>49</v>
      </c>
      <c r="X19" s="272"/>
      <c r="Y19" s="270">
        <v>730</v>
      </c>
      <c r="Z19" s="270">
        <v>730</v>
      </c>
      <c r="AA19" s="270" t="s">
        <v>69</v>
      </c>
      <c r="AB19" s="270" t="s">
        <v>70</v>
      </c>
      <c r="AC19" s="271">
        <v>43</v>
      </c>
      <c r="AD19" s="93"/>
      <c r="AE19" s="271" t="s">
        <v>369</v>
      </c>
    </row>
    <row r="20" spans="1:90" s="17" customFormat="1" ht="16.5" customHeight="1">
      <c r="B20" s="291" t="s">
        <v>370</v>
      </c>
      <c r="C20" s="291" t="s">
        <v>371</v>
      </c>
      <c r="D20" s="292" t="s">
        <v>368</v>
      </c>
      <c r="E20" s="268" t="s">
        <v>66</v>
      </c>
      <c r="F20" s="269"/>
      <c r="G20" s="270">
        <v>450</v>
      </c>
      <c r="H20" s="270">
        <v>450</v>
      </c>
      <c r="I20" s="270" t="s">
        <v>71</v>
      </c>
      <c r="J20" s="270" t="s">
        <v>72</v>
      </c>
      <c r="K20" s="271">
        <v>44</v>
      </c>
      <c r="L20" s="272"/>
      <c r="M20" s="270">
        <v>450</v>
      </c>
      <c r="N20" s="270">
        <v>450</v>
      </c>
      <c r="O20" s="270" t="s">
        <v>112</v>
      </c>
      <c r="P20" s="270" t="s">
        <v>72</v>
      </c>
      <c r="Q20" s="271">
        <v>47</v>
      </c>
      <c r="R20" s="272"/>
      <c r="S20" s="270">
        <v>450</v>
      </c>
      <c r="T20" s="270">
        <v>450</v>
      </c>
      <c r="U20" s="271" t="s">
        <v>306</v>
      </c>
      <c r="V20" s="271" t="s">
        <v>95</v>
      </c>
      <c r="W20" s="271">
        <v>40</v>
      </c>
      <c r="X20" s="272"/>
      <c r="Y20" s="270">
        <v>730</v>
      </c>
      <c r="Z20" s="270">
        <v>730</v>
      </c>
      <c r="AA20" s="270" t="s">
        <v>112</v>
      </c>
      <c r="AB20" s="270" t="s">
        <v>72</v>
      </c>
      <c r="AC20" s="271">
        <v>50</v>
      </c>
      <c r="AD20" s="93"/>
      <c r="AE20" s="271" t="s">
        <v>369</v>
      </c>
    </row>
    <row r="21" spans="1:90" s="17" customFormat="1" ht="16.5" customHeight="1">
      <c r="B21" s="291" t="s">
        <v>372</v>
      </c>
      <c r="C21" s="291" t="s">
        <v>373</v>
      </c>
      <c r="D21" s="292" t="s">
        <v>368</v>
      </c>
      <c r="E21" s="268" t="s">
        <v>66</v>
      </c>
      <c r="F21" s="269"/>
      <c r="G21" s="270">
        <v>450</v>
      </c>
      <c r="H21" s="270">
        <v>450</v>
      </c>
      <c r="I21" s="270" t="s">
        <v>71</v>
      </c>
      <c r="J21" s="270" t="s">
        <v>72</v>
      </c>
      <c r="K21" s="271">
        <v>46</v>
      </c>
      <c r="L21" s="272"/>
      <c r="M21" s="270">
        <v>450</v>
      </c>
      <c r="N21" s="270">
        <v>450</v>
      </c>
      <c r="O21" s="270" t="s">
        <v>112</v>
      </c>
      <c r="P21" s="270" t="s">
        <v>72</v>
      </c>
      <c r="Q21" s="271">
        <v>49</v>
      </c>
      <c r="R21" s="272"/>
      <c r="S21" s="270">
        <v>450</v>
      </c>
      <c r="T21" s="270">
        <v>450</v>
      </c>
      <c r="U21" s="271" t="s">
        <v>306</v>
      </c>
      <c r="V21" s="271" t="s">
        <v>95</v>
      </c>
      <c r="W21" s="271">
        <v>38</v>
      </c>
      <c r="X21" s="272"/>
      <c r="Y21" s="270">
        <v>730</v>
      </c>
      <c r="Z21" s="270">
        <v>730</v>
      </c>
      <c r="AA21" s="270" t="s">
        <v>112</v>
      </c>
      <c r="AB21" s="270" t="s">
        <v>72</v>
      </c>
      <c r="AC21" s="271">
        <v>52</v>
      </c>
      <c r="AD21" s="93"/>
      <c r="AE21" s="271" t="s">
        <v>369</v>
      </c>
    </row>
    <row r="22" spans="1:90" s="205" customFormat="1" ht="16.5" customHeight="1">
      <c r="B22" s="291" t="s">
        <v>374</v>
      </c>
      <c r="C22" s="291" t="s">
        <v>375</v>
      </c>
      <c r="D22" s="292" t="s">
        <v>376</v>
      </c>
      <c r="E22" s="268" t="s">
        <v>66</v>
      </c>
      <c r="F22" s="269"/>
      <c r="G22" s="270">
        <v>450</v>
      </c>
      <c r="H22" s="270">
        <v>450</v>
      </c>
      <c r="I22" s="377" t="s">
        <v>67</v>
      </c>
      <c r="J22" s="377" t="s">
        <v>68</v>
      </c>
      <c r="K22" s="377">
        <v>53</v>
      </c>
      <c r="L22" s="209"/>
      <c r="M22" s="270">
        <v>450</v>
      </c>
      <c r="N22" s="270">
        <v>450</v>
      </c>
      <c r="O22" s="377" t="s">
        <v>69</v>
      </c>
      <c r="P22" s="377" t="s">
        <v>70</v>
      </c>
      <c r="Q22" s="377">
        <v>50</v>
      </c>
      <c r="R22" s="272"/>
      <c r="S22" s="270">
        <v>450</v>
      </c>
      <c r="T22" s="270">
        <v>450</v>
      </c>
      <c r="U22" s="271" t="s">
        <v>306</v>
      </c>
      <c r="V22" s="271" t="s">
        <v>95</v>
      </c>
      <c r="W22" s="271">
        <v>34</v>
      </c>
      <c r="X22" s="272"/>
      <c r="Y22" s="270">
        <v>730</v>
      </c>
      <c r="Z22" s="270">
        <v>730</v>
      </c>
      <c r="AA22" s="270" t="s">
        <v>69</v>
      </c>
      <c r="AB22" s="270" t="s">
        <v>70</v>
      </c>
      <c r="AC22" s="271">
        <v>53</v>
      </c>
      <c r="AD22" s="93"/>
      <c r="AE22" s="271" t="s">
        <v>369</v>
      </c>
    </row>
    <row r="23" spans="1:90" s="12" customFormat="1" ht="16.5" customHeight="1">
      <c r="B23" s="291" t="s">
        <v>377</v>
      </c>
      <c r="C23" s="291" t="s">
        <v>378</v>
      </c>
      <c r="D23" s="292" t="s">
        <v>379</v>
      </c>
      <c r="E23" s="293" t="s">
        <v>66</v>
      </c>
      <c r="F23" s="210"/>
      <c r="G23" s="270">
        <v>450</v>
      </c>
      <c r="H23" s="270">
        <v>450</v>
      </c>
      <c r="I23" s="270" t="s">
        <v>71</v>
      </c>
      <c r="J23" s="270" t="s">
        <v>72</v>
      </c>
      <c r="K23" s="271">
        <v>51</v>
      </c>
      <c r="L23" s="272"/>
      <c r="M23" s="270">
        <v>450</v>
      </c>
      <c r="N23" s="270">
        <v>450</v>
      </c>
      <c r="O23" s="270" t="s">
        <v>112</v>
      </c>
      <c r="P23" s="270" t="s">
        <v>72</v>
      </c>
      <c r="Q23" s="271">
        <v>53</v>
      </c>
      <c r="R23" s="272"/>
      <c r="S23" s="270" t="s">
        <v>78</v>
      </c>
      <c r="T23" s="270" t="s">
        <v>78</v>
      </c>
      <c r="U23" s="271" t="s">
        <v>78</v>
      </c>
      <c r="V23" s="271" t="s">
        <v>78</v>
      </c>
      <c r="W23" s="271" t="s">
        <v>78</v>
      </c>
      <c r="X23" s="272"/>
      <c r="Y23" s="270">
        <v>730</v>
      </c>
      <c r="Z23" s="270">
        <v>730</v>
      </c>
      <c r="AA23" s="270" t="s">
        <v>112</v>
      </c>
      <c r="AB23" s="270" t="s">
        <v>72</v>
      </c>
      <c r="AC23" s="271">
        <v>56</v>
      </c>
      <c r="AD23" s="93"/>
      <c r="AE23" s="271" t="s">
        <v>369</v>
      </c>
    </row>
    <row r="24" spans="1:90" s="12" customFormat="1" ht="15" customHeight="1">
      <c r="B24" s="99"/>
      <c r="C24" s="99"/>
      <c r="D24" s="213"/>
      <c r="E24" s="269"/>
      <c r="F24" s="269"/>
      <c r="G24" s="212"/>
      <c r="H24" s="212"/>
      <c r="I24" s="212"/>
      <c r="J24" s="212"/>
      <c r="K24" s="269"/>
      <c r="L24" s="269"/>
      <c r="M24" s="212"/>
      <c r="N24" s="212"/>
      <c r="O24" s="212"/>
      <c r="P24" s="212"/>
      <c r="Q24" s="269"/>
      <c r="R24" s="269"/>
      <c r="S24" s="212"/>
      <c r="T24" s="212"/>
      <c r="U24" s="212"/>
      <c r="V24" s="212"/>
      <c r="W24" s="212"/>
      <c r="X24" s="212"/>
      <c r="Y24" s="274"/>
      <c r="Z24" s="274"/>
      <c r="AA24" s="274"/>
      <c r="AB24" s="274"/>
      <c r="AC24" s="274"/>
      <c r="AD24" s="274"/>
      <c r="AE24" s="294"/>
    </row>
    <row r="25" spans="1:90" s="12" customFormat="1" ht="16.5" customHeight="1">
      <c r="B25" s="274"/>
      <c r="C25" s="274"/>
      <c r="D25" s="274"/>
      <c r="E25" s="274"/>
      <c r="F25" s="274"/>
      <c r="G25" s="274"/>
      <c r="H25" s="274"/>
      <c r="I25" s="274"/>
      <c r="J25" s="274"/>
      <c r="K25" s="274"/>
      <c r="L25" s="274"/>
      <c r="M25" s="274"/>
      <c r="N25" s="274"/>
      <c r="O25" s="274"/>
      <c r="P25" s="274"/>
      <c r="Q25" s="274"/>
      <c r="R25" s="274"/>
      <c r="S25" s="274"/>
      <c r="T25" s="274"/>
      <c r="U25" s="274"/>
      <c r="V25" s="274"/>
      <c r="W25" s="274"/>
      <c r="X25" s="274"/>
      <c r="Y25" s="10"/>
      <c r="Z25" s="10"/>
      <c r="AA25" s="10"/>
      <c r="AB25" s="10"/>
      <c r="AC25" s="10"/>
      <c r="AD25" s="24"/>
      <c r="AE25" s="274"/>
    </row>
    <row r="26" spans="1:90" s="12" customFormat="1" ht="15" thickBot="1">
      <c r="B26" s="103" t="s">
        <v>221</v>
      </c>
      <c r="C26" s="103"/>
      <c r="D26" s="103"/>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6"/>
      <c r="AE26" s="107"/>
    </row>
    <row r="27" spans="1:90" s="12" customFormat="1" ht="14.25">
      <c r="B27" s="108"/>
      <c r="C27" s="108"/>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24"/>
      <c r="AE27" s="2"/>
    </row>
    <row r="28" spans="1:90" s="12" customFormat="1" ht="12.75">
      <c r="B28" s="109" t="s">
        <v>222</v>
      </c>
      <c r="C28" s="109"/>
      <c r="D28" s="102"/>
      <c r="E28" s="102"/>
      <c r="F28" s="102"/>
      <c r="G28" s="102"/>
      <c r="H28" s="102"/>
      <c r="I28" s="102"/>
      <c r="J28" s="102"/>
      <c r="K28" s="10"/>
      <c r="L28" s="10"/>
      <c r="M28" s="10"/>
      <c r="N28" s="10"/>
      <c r="O28" s="10"/>
      <c r="P28" s="10"/>
      <c r="Q28" s="10"/>
      <c r="R28" s="10"/>
      <c r="S28" s="10"/>
      <c r="T28" s="10"/>
      <c r="U28" s="10"/>
      <c r="V28" s="10"/>
      <c r="W28" s="10"/>
      <c r="X28" s="10"/>
      <c r="Y28" s="10"/>
      <c r="Z28" s="10"/>
      <c r="AA28" s="278"/>
      <c r="AB28" s="278"/>
      <c r="AC28" s="10"/>
      <c r="AD28" s="24"/>
      <c r="AE28" s="2"/>
    </row>
    <row r="29" spans="1:90" s="12" customFormat="1" ht="12">
      <c r="B29" s="110"/>
      <c r="C29" s="110"/>
      <c r="D29" s="10"/>
      <c r="E29" s="10"/>
      <c r="F29" s="10"/>
      <c r="G29" s="10"/>
      <c r="H29" s="10"/>
      <c r="I29" s="10"/>
      <c r="J29" s="10"/>
      <c r="K29" s="10"/>
      <c r="L29" s="10"/>
      <c r="M29" s="10"/>
      <c r="N29" s="10"/>
      <c r="O29" s="10"/>
      <c r="P29" s="10"/>
      <c r="Q29" s="10"/>
      <c r="R29" s="10"/>
      <c r="S29" s="10"/>
      <c r="T29" s="10"/>
      <c r="U29" s="10"/>
      <c r="V29" s="10"/>
      <c r="W29" s="10"/>
      <c r="X29" s="10"/>
      <c r="Y29" s="10"/>
      <c r="Z29" s="10"/>
      <c r="AA29" s="278"/>
      <c r="AB29" s="278"/>
      <c r="AC29" s="10"/>
      <c r="AD29" s="24"/>
      <c r="AE29" s="2"/>
    </row>
    <row r="30" spans="1:90" s="12" customFormat="1" ht="15.75" thickBot="1">
      <c r="B30" s="295" t="s">
        <v>223</v>
      </c>
      <c r="C30" s="295"/>
      <c r="D30" s="217"/>
      <c r="E30" s="217"/>
      <c r="F30" s="217"/>
      <c r="G30" s="217"/>
      <c r="H30" s="217"/>
      <c r="I30" s="217"/>
      <c r="J30" s="217"/>
      <c r="K30" s="217"/>
      <c r="L30" s="217"/>
      <c r="M30" s="217"/>
      <c r="N30" s="217"/>
      <c r="O30" s="217"/>
      <c r="P30" s="217"/>
      <c r="Q30" s="217"/>
      <c r="R30" s="217"/>
      <c r="S30" s="217"/>
      <c r="T30" s="217"/>
      <c r="U30" s="217"/>
      <c r="V30" s="217"/>
      <c r="W30" s="217"/>
      <c r="X30" s="217"/>
      <c r="Y30" s="217"/>
      <c r="Z30" s="217"/>
      <c r="AA30" s="217"/>
      <c r="AB30" s="217"/>
      <c r="AC30" s="217"/>
      <c r="AD30" s="215"/>
      <c r="AE30" s="217"/>
    </row>
    <row r="31" spans="1:90" s="10" customFormat="1" ht="16.5" customHeight="1">
      <c r="A31" s="2"/>
      <c r="Z31" s="3"/>
      <c r="AA31" s="3"/>
      <c r="AB31" s="3"/>
      <c r="AC31" s="3"/>
      <c r="AD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row>
    <row r="32" spans="1:90" s="12" customFormat="1" ht="16.5" customHeight="1">
      <c r="B32" s="220" t="s">
        <v>225</v>
      </c>
      <c r="C32" s="220"/>
      <c r="D32" s="102"/>
      <c r="E32" s="102"/>
      <c r="F32" s="102"/>
      <c r="G32" s="117"/>
      <c r="H32" s="117"/>
      <c r="I32" s="117"/>
      <c r="Y32" s="10"/>
      <c r="Z32" s="3"/>
      <c r="AA32" s="3"/>
      <c r="AB32" s="3"/>
      <c r="AC32" s="3"/>
      <c r="AD32" s="3"/>
    </row>
    <row r="33" spans="1:90" s="12" customFormat="1" ht="16.5" customHeight="1">
      <c r="B33" s="110"/>
      <c r="C33" s="110"/>
      <c r="D33" s="110"/>
      <c r="E33" s="10"/>
      <c r="F33" s="10"/>
      <c r="Y33" s="10"/>
      <c r="Z33" s="3"/>
      <c r="AA33" s="3"/>
      <c r="AB33" s="3"/>
      <c r="AC33" s="3"/>
      <c r="AD33" s="3"/>
    </row>
    <row r="34" spans="1:90" s="10" customFormat="1" ht="16.5" customHeight="1">
      <c r="A34" s="2"/>
      <c r="B34" s="111" t="s">
        <v>348</v>
      </c>
      <c r="C34" s="111"/>
      <c r="D34" s="111"/>
      <c r="E34" s="111"/>
      <c r="F34" s="111"/>
      <c r="G34" s="111"/>
      <c r="H34" s="111"/>
      <c r="I34" s="111"/>
      <c r="Z34" s="3"/>
      <c r="AA34" s="3"/>
      <c r="AB34" s="3"/>
      <c r="AC34" s="3"/>
      <c r="AD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row>
    <row r="35" spans="1:90" s="10" customFormat="1" ht="16.5" customHeight="1">
      <c r="A35" s="2"/>
      <c r="B35" s="112"/>
      <c r="C35" s="112"/>
      <c r="D35" s="112"/>
      <c r="E35" s="112"/>
      <c r="F35" s="112"/>
      <c r="Z35" s="3"/>
      <c r="AA35" s="3"/>
      <c r="AB35" s="3"/>
      <c r="AC35" s="3"/>
      <c r="AD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row>
    <row r="36" spans="1:90" s="10" customFormat="1" ht="16.5" customHeight="1">
      <c r="A36" s="2"/>
      <c r="B36" s="113" t="s">
        <v>227</v>
      </c>
      <c r="C36" s="113"/>
      <c r="D36" s="113"/>
      <c r="E36" s="114"/>
      <c r="F36" s="114"/>
      <c r="G36" s="93"/>
      <c r="H36" s="93"/>
      <c r="Z36" s="3"/>
      <c r="AA36" s="3"/>
      <c r="AB36" s="3"/>
      <c r="AC36" s="3"/>
      <c r="AD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row>
    <row r="37" spans="1:90" s="10" customFormat="1" ht="16.5" customHeight="1">
      <c r="A37" s="2"/>
      <c r="B37" s="282"/>
      <c r="C37" s="282"/>
      <c r="D37" s="282"/>
      <c r="E37" s="283"/>
      <c r="F37" s="283"/>
      <c r="H37" s="93"/>
      <c r="Z37" s="3"/>
      <c r="AA37" s="3"/>
      <c r="AB37" s="3"/>
      <c r="AC37" s="3"/>
      <c r="AD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row>
    <row r="38" spans="1:90" s="10" customFormat="1" ht="16.5" customHeight="1">
      <c r="A38" s="2"/>
      <c r="B38" s="115" t="s">
        <v>228</v>
      </c>
      <c r="C38" s="115"/>
      <c r="D38" s="116"/>
      <c r="E38" s="116"/>
      <c r="F38" s="115"/>
      <c r="G38" s="115"/>
      <c r="H38" s="117"/>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row>
    <row r="39" spans="1:90" s="10" customFormat="1" ht="16.5" customHeight="1">
      <c r="A39" s="2"/>
      <c r="B39" s="282"/>
      <c r="C39" s="282"/>
      <c r="D39" s="282"/>
      <c r="E39" s="283"/>
      <c r="F39" s="283"/>
      <c r="G39" s="9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row>
    <row r="40" spans="1:90" s="10" customFormat="1" ht="16.5" customHeight="1">
      <c r="A40" s="2"/>
      <c r="B40" s="119" t="s">
        <v>229</v>
      </c>
      <c r="C40" s="119"/>
      <c r="D40" s="119"/>
      <c r="E40" s="102"/>
      <c r="F40" s="102"/>
      <c r="G40" s="102"/>
      <c r="H40" s="102"/>
      <c r="I40" s="102"/>
      <c r="J40" s="102"/>
      <c r="K40" s="102"/>
      <c r="L40" s="102"/>
      <c r="M40" s="102"/>
      <c r="N40" s="102"/>
      <c r="O40" s="102"/>
      <c r="P40" s="102"/>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row>
    <row r="41" spans="1:90" s="10" customFormat="1" ht="16.5" customHeight="1">
      <c r="A41" s="2"/>
      <c r="B41" s="119" t="s">
        <v>230</v>
      </c>
      <c r="C41" s="119"/>
      <c r="D41" s="119"/>
      <c r="E41" s="102"/>
      <c r="F41" s="102"/>
      <c r="G41" s="102"/>
      <c r="H41" s="102"/>
      <c r="I41" s="102"/>
      <c r="J41" s="102"/>
      <c r="K41" s="102"/>
      <c r="L41" s="102"/>
      <c r="M41" s="102"/>
      <c r="N41" s="102"/>
      <c r="O41" s="102"/>
      <c r="P41" s="102"/>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row>
    <row r="42" spans="1:90" s="10" customFormat="1" ht="16.5" customHeight="1">
      <c r="A42" s="2"/>
      <c r="B42" s="119" t="s">
        <v>231</v>
      </c>
      <c r="C42" s="119"/>
      <c r="D42" s="119"/>
      <c r="E42" s="102"/>
      <c r="F42" s="102"/>
      <c r="G42" s="102"/>
      <c r="H42" s="102"/>
      <c r="I42" s="102"/>
      <c r="J42" s="102"/>
      <c r="K42" s="102"/>
      <c r="L42" s="102"/>
      <c r="M42" s="102"/>
      <c r="N42" s="102"/>
      <c r="O42" s="102"/>
      <c r="P42" s="102"/>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row>
    <row r="43" spans="1:90" s="10" customFormat="1" ht="16.5" customHeight="1">
      <c r="A43" s="2"/>
      <c r="B43" s="119" t="s">
        <v>232</v>
      </c>
      <c r="C43" s="119"/>
      <c r="D43" s="119"/>
      <c r="E43" s="102"/>
      <c r="F43" s="102"/>
      <c r="G43" s="102"/>
      <c r="H43" s="102"/>
      <c r="I43" s="102"/>
      <c r="J43" s="102"/>
      <c r="K43" s="102"/>
      <c r="L43" s="102"/>
      <c r="M43" s="102"/>
      <c r="N43" s="102"/>
      <c r="O43" s="102"/>
      <c r="P43" s="102"/>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row>
    <row r="44" spans="1:90" s="10" customFormat="1" ht="16.5" customHeight="1">
      <c r="A44" s="2"/>
      <c r="B44" s="119" t="s">
        <v>233</v>
      </c>
      <c r="C44" s="119"/>
      <c r="D44" s="119"/>
      <c r="E44" s="102"/>
      <c r="F44" s="102"/>
      <c r="G44" s="102"/>
      <c r="H44" s="102"/>
      <c r="I44" s="102"/>
      <c r="J44" s="102"/>
      <c r="K44" s="102"/>
      <c r="L44" s="102"/>
      <c r="M44" s="102"/>
      <c r="N44" s="102"/>
      <c r="O44" s="102"/>
      <c r="P44" s="102"/>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row>
    <row r="45" spans="1:90" s="10" customFormat="1" ht="16.5" customHeight="1">
      <c r="A45" s="2"/>
      <c r="B45" s="226" t="s">
        <v>234</v>
      </c>
      <c r="C45" s="226"/>
      <c r="D45" s="119"/>
      <c r="E45" s="102"/>
      <c r="F45" s="102"/>
      <c r="G45" s="102"/>
      <c r="H45" s="102"/>
      <c r="I45" s="102"/>
      <c r="J45" s="102"/>
      <c r="K45" s="102"/>
      <c r="L45" s="102"/>
      <c r="M45" s="102"/>
      <c r="N45" s="102"/>
      <c r="O45" s="102"/>
      <c r="P45" s="102"/>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row>
    <row r="46" spans="1:90" s="10" customFormat="1" ht="16.5" customHeight="1">
      <c r="A46" s="2"/>
      <c r="B46" s="119" t="s">
        <v>235</v>
      </c>
      <c r="C46" s="119"/>
      <c r="D46" s="119"/>
      <c r="E46" s="102"/>
      <c r="F46" s="102"/>
      <c r="G46" s="102"/>
      <c r="H46" s="102"/>
      <c r="I46" s="102"/>
      <c r="J46" s="102"/>
      <c r="K46" s="102"/>
      <c r="L46" s="102"/>
      <c r="M46" s="102"/>
      <c r="N46" s="102"/>
      <c r="O46" s="102"/>
      <c r="P46" s="102"/>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row>
    <row r="47" spans="1:90" s="10" customFormat="1" ht="16.5" customHeight="1" thickBot="1">
      <c r="A47" s="2"/>
      <c r="B47" s="119"/>
      <c r="C47" s="119"/>
      <c r="D47" s="119"/>
      <c r="E47" s="102"/>
      <c r="F47" s="102"/>
      <c r="G47" s="102"/>
      <c r="H47" s="102"/>
      <c r="I47" s="102"/>
      <c r="J47" s="102"/>
      <c r="K47" s="102"/>
      <c r="L47" s="102"/>
      <c r="M47" s="102"/>
      <c r="N47" s="102"/>
      <c r="O47" s="102"/>
      <c r="P47" s="102"/>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row>
    <row r="48" spans="1:90" s="10" customFormat="1" ht="16.5" customHeight="1">
      <c r="A48" s="2"/>
      <c r="B48" s="227" t="s">
        <v>236</v>
      </c>
      <c r="C48" s="228"/>
      <c r="D48" s="228"/>
      <c r="E48" s="284"/>
      <c r="F48" s="284"/>
      <c r="G48" s="284"/>
      <c r="H48" s="284"/>
      <c r="I48" s="284"/>
      <c r="J48" s="284"/>
      <c r="K48" s="284"/>
      <c r="L48" s="284"/>
      <c r="M48" s="284"/>
      <c r="N48" s="296"/>
      <c r="O48" s="102"/>
      <c r="P48" s="102"/>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row>
    <row r="49" spans="1:90" s="10" customFormat="1" ht="16.5" customHeight="1">
      <c r="A49" s="2"/>
      <c r="B49" s="231" t="s">
        <v>237</v>
      </c>
      <c r="C49" s="235"/>
      <c r="D49" s="232"/>
      <c r="E49" s="138"/>
      <c r="F49" s="138"/>
      <c r="G49" s="138"/>
      <c r="H49" s="138"/>
      <c r="I49" s="138"/>
      <c r="J49" s="138"/>
      <c r="K49" s="138"/>
      <c r="L49" s="138"/>
      <c r="M49" s="138"/>
      <c r="N49" s="297"/>
      <c r="O49" s="102"/>
      <c r="P49" s="102"/>
      <c r="Z49" s="3"/>
      <c r="AA49" s="3"/>
      <c r="AB49" s="3"/>
      <c r="AC49" s="3"/>
      <c r="AD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row>
    <row r="50" spans="1:90" s="10" customFormat="1" ht="16.5" customHeight="1">
      <c r="A50" s="2"/>
      <c r="B50" s="231" t="s">
        <v>380</v>
      </c>
      <c r="C50" s="235"/>
      <c r="D50" s="235"/>
      <c r="E50" s="138"/>
      <c r="F50" s="138"/>
      <c r="G50" s="138"/>
      <c r="H50" s="138"/>
      <c r="J50" s="138"/>
      <c r="K50" s="138"/>
      <c r="L50" s="138"/>
      <c r="M50" s="138"/>
      <c r="N50" s="297"/>
      <c r="O50" s="102"/>
      <c r="P50" s="102"/>
      <c r="Z50" s="3"/>
      <c r="AA50" s="3"/>
      <c r="AB50" s="3"/>
      <c r="AC50" s="3"/>
      <c r="AD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row>
    <row r="51" spans="1:90" s="10" customFormat="1" ht="16.5" customHeight="1">
      <c r="A51" s="2"/>
      <c r="B51" s="231" t="s">
        <v>239</v>
      </c>
      <c r="C51" s="235"/>
      <c r="D51" s="235"/>
      <c r="E51" s="138"/>
      <c r="F51" s="138"/>
      <c r="G51" s="138"/>
      <c r="H51" s="138"/>
      <c r="I51" s="138"/>
      <c r="J51" s="138"/>
      <c r="K51" s="138"/>
      <c r="L51" s="138"/>
      <c r="M51" s="138"/>
      <c r="N51" s="297"/>
      <c r="O51" s="102"/>
      <c r="P51" s="102"/>
      <c r="Z51" s="3"/>
      <c r="AA51" s="3"/>
      <c r="AB51" s="3"/>
      <c r="AC51" s="3"/>
      <c r="AD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row>
    <row r="52" spans="1:90" s="10" customFormat="1" ht="16.5" customHeight="1">
      <c r="A52" s="2"/>
      <c r="B52" s="464" t="s">
        <v>240</v>
      </c>
      <c r="C52" s="226"/>
      <c r="D52" s="113"/>
      <c r="E52" s="113"/>
      <c r="F52" s="113"/>
      <c r="G52" s="113"/>
      <c r="H52" s="113"/>
      <c r="I52" s="233"/>
      <c r="J52" s="233"/>
      <c r="K52" s="138"/>
      <c r="L52" s="138"/>
      <c r="M52" s="138"/>
      <c r="N52" s="297"/>
      <c r="O52" s="102"/>
      <c r="P52" s="102"/>
      <c r="Z52" s="3"/>
      <c r="AA52" s="3"/>
      <c r="AB52" s="3"/>
      <c r="AC52" s="3"/>
      <c r="AD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row>
    <row r="53" spans="1:90" s="10" customFormat="1" ht="16.5" customHeight="1">
      <c r="A53" s="2"/>
      <c r="B53" s="238" t="s">
        <v>381</v>
      </c>
      <c r="C53" s="127"/>
      <c r="D53" s="298"/>
      <c r="E53" s="138"/>
      <c r="F53" s="138"/>
      <c r="G53" s="138"/>
      <c r="H53" s="138"/>
      <c r="I53" s="138"/>
      <c r="J53" s="138"/>
      <c r="K53" s="138"/>
      <c r="L53" s="138"/>
      <c r="M53" s="138"/>
      <c r="N53" s="297"/>
      <c r="O53" s="102"/>
      <c r="P53" s="102"/>
      <c r="Z53" s="3"/>
      <c r="AA53" s="3"/>
      <c r="AB53" s="3"/>
      <c r="AC53" s="3"/>
      <c r="AD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row>
    <row r="54" spans="1:90" s="10" customFormat="1" ht="16.5" customHeight="1">
      <c r="A54" s="2"/>
      <c r="B54" s="139" t="s">
        <v>350</v>
      </c>
      <c r="C54" s="236"/>
      <c r="D54" s="236"/>
      <c r="E54" s="138"/>
      <c r="F54" s="138"/>
      <c r="G54" s="138"/>
      <c r="H54" s="138"/>
      <c r="I54" s="138"/>
      <c r="J54" s="138"/>
      <c r="K54" s="138"/>
      <c r="L54" s="138"/>
      <c r="M54" s="138"/>
      <c r="N54" s="297"/>
      <c r="O54" s="102"/>
      <c r="P54" s="102"/>
      <c r="Z54" s="3"/>
      <c r="AA54" s="3"/>
      <c r="AB54" s="3"/>
      <c r="AC54" s="3"/>
      <c r="AD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row>
    <row r="55" spans="1:90" s="10" customFormat="1" ht="16.5" customHeight="1">
      <c r="A55" s="2"/>
      <c r="B55" s="237" t="s">
        <v>243</v>
      </c>
      <c r="C55" s="299"/>
      <c r="D55" s="127" t="s">
        <v>244</v>
      </c>
      <c r="E55" s="138"/>
      <c r="F55" s="138"/>
      <c r="G55" s="138"/>
      <c r="H55" s="138"/>
      <c r="I55" s="138"/>
      <c r="J55" s="138"/>
      <c r="K55" s="138"/>
      <c r="L55" s="138"/>
      <c r="M55" s="138"/>
      <c r="N55" s="297"/>
      <c r="O55" s="102"/>
      <c r="P55" s="102"/>
      <c r="Z55" s="3"/>
      <c r="AA55" s="3"/>
      <c r="AB55" s="3"/>
      <c r="AC55" s="3"/>
      <c r="AD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row>
    <row r="56" spans="1:90" s="10" customFormat="1" ht="16.5" customHeight="1" thickBot="1">
      <c r="A56" s="2"/>
      <c r="B56" s="239" t="s">
        <v>249</v>
      </c>
      <c r="C56" s="240"/>
      <c r="D56" s="240" t="s">
        <v>250</v>
      </c>
      <c r="E56" s="142"/>
      <c r="F56" s="142"/>
      <c r="G56" s="142"/>
      <c r="H56" s="142"/>
      <c r="I56" s="142"/>
      <c r="J56" s="142"/>
      <c r="K56" s="142"/>
      <c r="L56" s="142"/>
      <c r="M56" s="142"/>
      <c r="N56" s="300"/>
      <c r="O56" s="102"/>
      <c r="P56" s="102"/>
      <c r="Z56" s="3"/>
      <c r="AA56" s="3"/>
      <c r="AB56" s="3"/>
      <c r="AC56" s="3"/>
      <c r="AD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row>
    <row r="57" spans="1:90" s="10" customFormat="1" ht="16.5" customHeight="1">
      <c r="A57" s="2"/>
      <c r="B57" s="128"/>
      <c r="C57" s="128"/>
      <c r="D57" s="128"/>
      <c r="E57" s="102"/>
      <c r="F57" s="102"/>
      <c r="G57" s="102"/>
      <c r="H57" s="102"/>
      <c r="I57" s="102"/>
      <c r="J57" s="102"/>
      <c r="K57" s="102"/>
      <c r="L57" s="102"/>
      <c r="M57" s="102"/>
      <c r="N57" s="102"/>
      <c r="O57" s="102"/>
      <c r="P57" s="102"/>
      <c r="Z57" s="3"/>
      <c r="AA57" s="3"/>
      <c r="AB57" s="3"/>
      <c r="AC57" s="3"/>
      <c r="AD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row>
    <row r="58" spans="1:90" s="10" customFormat="1" ht="16.5" customHeight="1">
      <c r="A58" s="2"/>
      <c r="B58" s="145" t="s">
        <v>251</v>
      </c>
      <c r="C58" s="145"/>
      <c r="D58" s="126"/>
      <c r="E58" s="102"/>
      <c r="F58" s="102"/>
      <c r="G58" s="102"/>
      <c r="H58" s="102"/>
      <c r="I58" s="102"/>
      <c r="J58" s="102"/>
      <c r="K58" s="102"/>
      <c r="L58" s="102"/>
      <c r="M58" s="102"/>
      <c r="N58" s="102"/>
      <c r="O58" s="102"/>
      <c r="P58" s="102"/>
      <c r="Z58" s="3"/>
      <c r="AA58" s="3"/>
      <c r="AB58" s="3"/>
      <c r="AC58" s="3"/>
      <c r="AD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row>
    <row r="59" spans="1:90" s="10" customFormat="1" ht="16.5" customHeight="1">
      <c r="A59" s="2"/>
      <c r="B59" s="145"/>
      <c r="C59" s="145"/>
      <c r="D59" s="286" t="s">
        <v>252</v>
      </c>
      <c r="E59" s="102"/>
      <c r="F59" s="102"/>
      <c r="G59" s="102"/>
      <c r="H59" s="102"/>
      <c r="I59" s="102"/>
      <c r="J59" s="102"/>
      <c r="K59" s="102"/>
      <c r="L59" s="102"/>
      <c r="M59" s="102"/>
      <c r="N59" s="102"/>
      <c r="O59" s="102"/>
      <c r="P59" s="102"/>
      <c r="Z59" s="3"/>
      <c r="AA59" s="3"/>
      <c r="AB59" s="3"/>
      <c r="AC59" s="3"/>
      <c r="AD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row>
    <row r="60" spans="1:90" s="10" customFormat="1" ht="16.5" customHeight="1">
      <c r="A60" s="2"/>
      <c r="B60" s="243"/>
      <c r="C60" s="243"/>
      <c r="D60" s="243"/>
      <c r="E60" s="102"/>
      <c r="F60" s="102"/>
      <c r="G60" s="102"/>
      <c r="H60" s="102"/>
      <c r="I60" s="102"/>
      <c r="J60" s="102"/>
      <c r="K60" s="102"/>
      <c r="L60" s="102"/>
      <c r="M60" s="102"/>
      <c r="N60" s="102"/>
      <c r="O60" s="102"/>
      <c r="P60" s="102"/>
      <c r="Z60" s="3"/>
      <c r="AA60" s="3"/>
      <c r="AB60" s="3"/>
      <c r="AC60" s="3"/>
      <c r="AD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row>
    <row r="61" spans="1:90" s="10" customFormat="1" ht="16.5" customHeight="1">
      <c r="A61" s="2"/>
      <c r="B61" s="126" t="s">
        <v>253</v>
      </c>
      <c r="C61" s="126"/>
      <c r="D61" s="127" t="s">
        <v>254</v>
      </c>
      <c r="E61" s="102"/>
      <c r="F61" s="102"/>
      <c r="G61" s="102"/>
      <c r="H61" s="102"/>
      <c r="I61" s="102"/>
      <c r="J61" s="102"/>
      <c r="K61" s="102"/>
      <c r="L61" s="102"/>
      <c r="M61" s="102"/>
      <c r="N61" s="102"/>
      <c r="O61" s="102"/>
      <c r="P61" s="102"/>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row>
    <row r="62" spans="1:90" s="10" customFormat="1" ht="16.5" customHeight="1">
      <c r="A62" s="2"/>
      <c r="B62" s="126"/>
      <c r="C62" s="126"/>
      <c r="D62" s="127" t="s">
        <v>255</v>
      </c>
      <c r="E62" s="166"/>
      <c r="F62" s="166"/>
      <c r="G62" s="102"/>
      <c r="H62" s="102"/>
      <c r="I62" s="102"/>
      <c r="J62" s="102"/>
      <c r="K62" s="102"/>
      <c r="L62" s="102"/>
      <c r="M62" s="102"/>
      <c r="N62" s="102"/>
      <c r="O62" s="102"/>
      <c r="P62" s="102"/>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row>
    <row r="63" spans="1:90" s="10" customFormat="1" ht="16.5" customHeight="1">
      <c r="A63" s="2"/>
      <c r="B63" s="126"/>
      <c r="C63" s="126"/>
      <c r="D63" s="128" t="s">
        <v>256</v>
      </c>
      <c r="E63" s="102"/>
      <c r="F63" s="102"/>
      <c r="G63" s="102"/>
      <c r="H63" s="102"/>
      <c r="I63" s="102"/>
      <c r="J63" s="102"/>
      <c r="K63" s="102"/>
      <c r="L63" s="102"/>
      <c r="M63" s="102"/>
      <c r="N63" s="102"/>
      <c r="O63" s="102"/>
      <c r="P63" s="102"/>
      <c r="Z63" s="3"/>
      <c r="AA63" s="3"/>
      <c r="AB63" s="3"/>
      <c r="AC63" s="3"/>
      <c r="AD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row>
    <row r="64" spans="1:90" s="10" customFormat="1" ht="16.5" customHeight="1">
      <c r="A64" s="2"/>
      <c r="B64" s="126"/>
      <c r="C64" s="126"/>
      <c r="D64" s="128" t="s">
        <v>257</v>
      </c>
      <c r="E64" s="102"/>
      <c r="F64" s="102"/>
      <c r="G64" s="102"/>
      <c r="H64" s="102"/>
      <c r="I64" s="102"/>
      <c r="J64" s="102"/>
      <c r="K64" s="102"/>
      <c r="L64" s="102"/>
      <c r="M64" s="102"/>
      <c r="N64" s="102"/>
      <c r="O64" s="102"/>
      <c r="P64" s="102"/>
      <c r="Z64" s="3"/>
      <c r="AA64" s="3"/>
      <c r="AB64" s="3"/>
      <c r="AC64" s="3"/>
      <c r="AD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row>
    <row r="65" spans="1:90" s="10" customFormat="1" ht="16.5" customHeight="1">
      <c r="A65" s="2"/>
      <c r="B65" s="102"/>
      <c r="C65" s="102"/>
      <c r="D65" s="102"/>
      <c r="E65" s="102"/>
      <c r="F65" s="102"/>
      <c r="G65" s="102"/>
      <c r="H65" s="102"/>
      <c r="I65" s="102"/>
      <c r="J65" s="102"/>
      <c r="K65" s="102"/>
      <c r="L65" s="102"/>
      <c r="M65" s="102"/>
      <c r="N65" s="102"/>
      <c r="O65" s="102"/>
      <c r="P65" s="102"/>
      <c r="Z65" s="3"/>
      <c r="AA65" s="3"/>
      <c r="AB65" s="3"/>
      <c r="AC65" s="3"/>
      <c r="AD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row>
    <row r="66" spans="1:90" s="10" customFormat="1" ht="16.5" customHeight="1">
      <c r="A66" s="2"/>
      <c r="B66" s="126"/>
      <c r="C66" s="126"/>
      <c r="D66" s="129" t="s">
        <v>258</v>
      </c>
      <c r="E66" s="102"/>
      <c r="F66" s="102"/>
      <c r="G66" s="102"/>
      <c r="H66" s="102"/>
      <c r="I66" s="102"/>
      <c r="J66" s="102"/>
      <c r="K66" s="102"/>
      <c r="L66" s="102"/>
      <c r="M66" s="102"/>
      <c r="N66" s="102"/>
      <c r="O66" s="102"/>
      <c r="P66" s="102"/>
      <c r="Z66" s="3"/>
      <c r="AA66" s="3"/>
      <c r="AB66" s="3"/>
      <c r="AC66" s="3"/>
      <c r="AD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row>
    <row r="67" spans="1:90" s="10" customFormat="1" ht="16.5" customHeight="1">
      <c r="A67" s="2"/>
      <c r="B67" s="126"/>
      <c r="C67" s="126"/>
      <c r="D67" s="287" t="s">
        <v>259</v>
      </c>
      <c r="E67" s="102"/>
      <c r="F67" s="102"/>
      <c r="G67" s="102"/>
      <c r="H67" s="102"/>
      <c r="I67" s="102"/>
      <c r="J67" s="102"/>
      <c r="K67" s="102"/>
      <c r="L67" s="102"/>
      <c r="M67" s="102"/>
      <c r="N67" s="102"/>
      <c r="O67" s="102"/>
      <c r="P67" s="102"/>
      <c r="Z67" s="3"/>
      <c r="AA67" s="3"/>
      <c r="AB67" s="3"/>
      <c r="AC67" s="3"/>
      <c r="AD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row>
    <row r="68" spans="1:90" s="10" customFormat="1" ht="16.5" customHeight="1">
      <c r="A68" s="2"/>
      <c r="B68" s="126"/>
      <c r="C68" s="126"/>
      <c r="D68" s="131" t="s">
        <v>260</v>
      </c>
      <c r="E68" s="102"/>
      <c r="F68" s="102"/>
      <c r="G68" s="102"/>
      <c r="H68" s="102"/>
      <c r="I68" s="102"/>
      <c r="J68" s="102"/>
      <c r="K68" s="102"/>
      <c r="L68" s="102"/>
      <c r="M68" s="102"/>
      <c r="N68" s="102"/>
      <c r="O68" s="102"/>
      <c r="P68" s="102"/>
      <c r="Z68" s="3"/>
      <c r="AA68" s="3"/>
      <c r="AB68" s="3"/>
      <c r="AC68" s="3"/>
      <c r="AD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row>
    <row r="69" spans="1:90" s="10" customFormat="1" ht="16.5" customHeight="1">
      <c r="A69" s="2"/>
      <c r="B69" s="126"/>
      <c r="C69" s="126"/>
      <c r="D69" s="131"/>
      <c r="E69" s="102"/>
      <c r="F69" s="102"/>
      <c r="G69" s="102"/>
      <c r="H69" s="102"/>
      <c r="I69" s="102"/>
      <c r="J69" s="102"/>
      <c r="K69" s="102"/>
      <c r="L69" s="102"/>
      <c r="M69" s="102"/>
      <c r="N69" s="102"/>
      <c r="O69" s="102"/>
      <c r="P69" s="102"/>
      <c r="Z69" s="3"/>
      <c r="AA69" s="3"/>
      <c r="AB69" s="3"/>
      <c r="AC69" s="3"/>
      <c r="AD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row>
    <row r="70" spans="1:90" s="10" customFormat="1" ht="16.5" customHeight="1">
      <c r="A70" s="2"/>
      <c r="B70" s="126"/>
      <c r="C70" s="126"/>
      <c r="D70" s="131" t="s">
        <v>261</v>
      </c>
      <c r="E70" s="102"/>
      <c r="F70" s="102"/>
      <c r="G70" s="102"/>
      <c r="H70" s="102"/>
      <c r="I70" s="102"/>
      <c r="J70" s="102"/>
      <c r="K70" s="102"/>
      <c r="L70" s="102"/>
      <c r="M70" s="102"/>
      <c r="N70" s="102"/>
      <c r="O70" s="102"/>
      <c r="P70" s="102"/>
      <c r="Z70" s="3"/>
      <c r="AA70" s="3"/>
      <c r="AB70" s="3"/>
      <c r="AC70" s="3"/>
      <c r="AD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row>
    <row r="71" spans="1:90" ht="16.5" customHeight="1">
      <c r="B71" s="126"/>
      <c r="C71" s="126"/>
      <c r="D71" s="131" t="s">
        <v>262</v>
      </c>
      <c r="E71" s="117"/>
      <c r="F71" s="117"/>
      <c r="G71" s="102"/>
      <c r="H71" s="102"/>
      <c r="I71" s="102"/>
      <c r="J71" s="102"/>
      <c r="K71" s="102"/>
      <c r="L71" s="102"/>
      <c r="M71" s="102"/>
      <c r="N71" s="102"/>
      <c r="O71" s="102"/>
      <c r="P71" s="102"/>
    </row>
    <row r="72" spans="1:90" s="10" customFormat="1" ht="16.5" customHeight="1">
      <c r="A72" s="2"/>
      <c r="B72" s="126"/>
      <c r="C72" s="126"/>
      <c r="D72" s="131" t="s">
        <v>263</v>
      </c>
      <c r="E72" s="102"/>
      <c r="F72" s="102"/>
      <c r="G72" s="102"/>
      <c r="H72" s="102"/>
      <c r="I72" s="102"/>
      <c r="J72" s="102"/>
      <c r="K72" s="102"/>
      <c r="L72" s="102"/>
      <c r="M72" s="102"/>
      <c r="N72" s="102"/>
      <c r="O72" s="102"/>
      <c r="P72" s="102"/>
      <c r="Z72" s="3"/>
      <c r="AA72" s="3"/>
      <c r="AB72" s="3"/>
      <c r="AC72" s="3"/>
      <c r="AD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row>
    <row r="73" spans="1:90" s="10" customFormat="1" ht="16.5" customHeight="1">
      <c r="A73" s="2"/>
      <c r="B73" s="243"/>
      <c r="C73" s="243"/>
      <c r="D73" s="243"/>
      <c r="E73" s="102"/>
      <c r="F73" s="102"/>
      <c r="G73" s="102"/>
      <c r="H73" s="102"/>
      <c r="I73" s="102"/>
      <c r="J73" s="102"/>
      <c r="K73" s="102"/>
      <c r="L73" s="102"/>
      <c r="M73" s="102"/>
      <c r="N73" s="102"/>
      <c r="O73" s="102"/>
      <c r="P73" s="102"/>
      <c r="Z73" s="3"/>
      <c r="AA73" s="3"/>
      <c r="AB73" s="3"/>
      <c r="AC73" s="3"/>
      <c r="AD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row>
    <row r="74" spans="1:90" s="10" customFormat="1" ht="16.5" customHeight="1">
      <c r="A74" s="2"/>
      <c r="B74" s="150" t="s">
        <v>272</v>
      </c>
      <c r="C74" s="150"/>
      <c r="D74" s="246"/>
      <c r="E74" s="102"/>
      <c r="F74" s="102"/>
      <c r="G74" s="102"/>
      <c r="H74" s="102"/>
      <c r="I74" s="102"/>
      <c r="J74" s="102"/>
      <c r="K74" s="102"/>
      <c r="L74" s="102"/>
      <c r="M74" s="102"/>
      <c r="N74" s="102"/>
      <c r="O74" s="102"/>
      <c r="P74" s="102"/>
      <c r="Z74" s="3"/>
      <c r="AA74" s="3"/>
      <c r="AB74" s="3"/>
      <c r="AC74" s="3"/>
      <c r="AD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row>
    <row r="75" spans="1:90" s="10" customFormat="1" ht="16.5" customHeight="1">
      <c r="A75" s="2"/>
      <c r="B75" s="247" t="s">
        <v>273</v>
      </c>
      <c r="C75" s="247"/>
      <c r="D75" s="102"/>
      <c r="E75" s="102"/>
      <c r="F75" s="102"/>
      <c r="G75" s="102"/>
      <c r="H75" s="102"/>
      <c r="I75" s="102"/>
      <c r="J75" s="102"/>
      <c r="K75" s="102"/>
      <c r="L75" s="102"/>
      <c r="M75" s="102"/>
      <c r="N75" s="102"/>
      <c r="O75" s="102"/>
      <c r="P75" s="102"/>
      <c r="Z75" s="3"/>
      <c r="AA75" s="3"/>
      <c r="AB75" s="3"/>
      <c r="AC75" s="3"/>
      <c r="AD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row>
    <row r="76" spans="1:90" s="10" customFormat="1" ht="16.5" customHeight="1">
      <c r="A76" s="2"/>
      <c r="B76" s="249" t="s">
        <v>274</v>
      </c>
      <c r="C76" s="249"/>
      <c r="D76" s="102"/>
      <c r="E76" s="102"/>
      <c r="F76" s="102"/>
      <c r="G76" s="102"/>
      <c r="H76" s="102"/>
      <c r="I76" s="102"/>
      <c r="J76" s="102"/>
      <c r="K76" s="102"/>
      <c r="L76" s="102"/>
      <c r="M76" s="102"/>
      <c r="N76" s="102"/>
      <c r="O76" s="102"/>
      <c r="P76" s="102"/>
      <c r="Z76" s="3"/>
      <c r="AA76" s="3"/>
      <c r="AB76" s="3"/>
      <c r="AC76" s="3"/>
      <c r="AD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row>
    <row r="77" spans="1:90" s="10" customFormat="1" ht="16.5" customHeight="1">
      <c r="A77" s="2"/>
      <c r="B77" s="251" t="s">
        <v>275</v>
      </c>
      <c r="C77" s="251"/>
      <c r="D77" s="102"/>
      <c r="E77" s="102"/>
      <c r="F77" s="102"/>
      <c r="G77" s="102"/>
      <c r="H77" s="102"/>
      <c r="I77" s="102"/>
      <c r="J77" s="102"/>
      <c r="K77" s="102"/>
      <c r="L77" s="102"/>
      <c r="M77" s="102"/>
      <c r="N77" s="102"/>
      <c r="O77" s="102"/>
      <c r="P77" s="102"/>
      <c r="Z77" s="3"/>
      <c r="AA77" s="3"/>
      <c r="AB77" s="3"/>
      <c r="AC77" s="3"/>
      <c r="AD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row>
    <row r="78" spans="1:90" s="10" customFormat="1" ht="16.5" customHeight="1">
      <c r="A78" s="2"/>
      <c r="B78" s="247" t="s">
        <v>276</v>
      </c>
      <c r="C78" s="247"/>
      <c r="D78" s="102"/>
      <c r="E78" s="102"/>
      <c r="F78" s="102"/>
      <c r="G78" s="102"/>
      <c r="H78" s="102"/>
      <c r="I78" s="102"/>
      <c r="J78" s="102"/>
      <c r="K78" s="102"/>
      <c r="L78" s="102"/>
      <c r="M78" s="102"/>
      <c r="N78" s="102"/>
      <c r="O78" s="102"/>
      <c r="P78" s="102"/>
      <c r="Z78" s="3"/>
      <c r="AA78" s="3"/>
      <c r="AB78" s="3"/>
      <c r="AC78" s="3"/>
      <c r="AD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row>
    <row r="79" spans="1:90" s="10" customFormat="1" ht="16.5" customHeight="1">
      <c r="A79" s="2"/>
      <c r="B79" s="247" t="s">
        <v>277</v>
      </c>
      <c r="C79" s="247"/>
      <c r="D79" s="102"/>
      <c r="E79" s="102"/>
      <c r="F79" s="102"/>
      <c r="G79" s="102"/>
      <c r="H79" s="102"/>
      <c r="I79" s="102"/>
      <c r="J79" s="102"/>
      <c r="K79" s="102"/>
      <c r="L79" s="102"/>
      <c r="M79" s="102"/>
      <c r="N79" s="102"/>
      <c r="O79" s="102"/>
      <c r="P79" s="102"/>
      <c r="Z79" s="3"/>
      <c r="AA79" s="3"/>
      <c r="AB79" s="3"/>
      <c r="AC79" s="3"/>
      <c r="AD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row>
    <row r="80" spans="1:90" s="10" customFormat="1" ht="16.5" customHeight="1">
      <c r="A80" s="2"/>
      <c r="B80" s="288" t="s">
        <v>278</v>
      </c>
      <c r="C80" s="288"/>
      <c r="D80" s="102"/>
      <c r="E80" s="102"/>
      <c r="F80" s="102"/>
      <c r="G80" s="102"/>
      <c r="H80" s="102"/>
      <c r="I80" s="102"/>
      <c r="J80" s="102"/>
      <c r="K80" s="102"/>
      <c r="L80" s="102"/>
      <c r="M80" s="102"/>
      <c r="N80" s="102"/>
      <c r="O80" s="102"/>
      <c r="P80" s="102"/>
      <c r="Z80" s="3"/>
      <c r="AA80" s="3"/>
      <c r="AB80" s="3"/>
      <c r="AC80" s="3"/>
      <c r="AD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row>
    <row r="81" spans="1:90" s="10" customFormat="1" ht="16.5" customHeight="1">
      <c r="A81" s="2"/>
      <c r="B81" s="286" t="s">
        <v>228</v>
      </c>
      <c r="C81" s="286"/>
      <c r="D81" s="102"/>
      <c r="E81" s="102"/>
      <c r="F81" s="102"/>
      <c r="G81" s="102"/>
      <c r="H81" s="102"/>
      <c r="I81" s="102"/>
      <c r="J81" s="102"/>
      <c r="K81" s="102"/>
      <c r="L81" s="102"/>
      <c r="M81" s="102"/>
      <c r="N81" s="102"/>
      <c r="O81" s="102"/>
      <c r="P81" s="102"/>
      <c r="Z81" s="3"/>
      <c r="AA81" s="3"/>
      <c r="AB81" s="3"/>
      <c r="AC81" s="3"/>
      <c r="AD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row>
    <row r="82" spans="1:90" s="10" customFormat="1" ht="16.5" customHeight="1">
      <c r="A82" s="2"/>
      <c r="B82" s="156" t="s">
        <v>279</v>
      </c>
      <c r="C82" s="156"/>
      <c r="D82" s="102"/>
      <c r="E82" s="102"/>
      <c r="F82" s="102"/>
      <c r="G82" s="102"/>
      <c r="H82" s="102"/>
      <c r="I82" s="102"/>
      <c r="J82" s="102"/>
      <c r="K82" s="102"/>
      <c r="L82" s="102"/>
      <c r="M82" s="102"/>
      <c r="N82" s="102"/>
      <c r="O82" s="102"/>
      <c r="P82" s="102"/>
      <c r="Z82" s="3"/>
      <c r="AA82" s="3"/>
      <c r="AB82" s="3"/>
      <c r="AC82" s="3"/>
      <c r="AD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row>
    <row r="83" spans="1:90" s="10" customFormat="1" ht="16.5" customHeight="1">
      <c r="A83" s="2"/>
      <c r="B83" s="247" t="s">
        <v>280</v>
      </c>
      <c r="C83" s="247"/>
      <c r="D83" s="102"/>
      <c r="E83" s="102"/>
      <c r="F83" s="102"/>
      <c r="G83" s="102"/>
      <c r="H83" s="102"/>
      <c r="I83" s="102"/>
      <c r="J83" s="102"/>
      <c r="K83" s="102"/>
      <c r="L83" s="102"/>
      <c r="M83" s="102"/>
      <c r="N83" s="102"/>
      <c r="O83" s="102"/>
      <c r="P83" s="102"/>
      <c r="Z83" s="3"/>
      <c r="AA83" s="3"/>
      <c r="AB83" s="3"/>
      <c r="AC83" s="3"/>
      <c r="AD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row>
    <row r="84" spans="1:90" s="10" customFormat="1" ht="16.5" customHeight="1">
      <c r="A84" s="2"/>
      <c r="B84" s="247" t="s">
        <v>281</v>
      </c>
      <c r="C84" s="247"/>
      <c r="D84" s="102"/>
      <c r="E84" s="102"/>
      <c r="F84" s="102"/>
      <c r="G84" s="102"/>
      <c r="H84" s="102"/>
      <c r="I84" s="102"/>
      <c r="J84" s="102"/>
      <c r="K84" s="102"/>
      <c r="L84" s="102"/>
      <c r="M84" s="102"/>
      <c r="N84" s="102"/>
      <c r="O84" s="102"/>
      <c r="P84" s="102"/>
      <c r="Z84" s="3"/>
      <c r="AA84" s="3"/>
      <c r="AB84" s="3"/>
      <c r="AC84" s="3"/>
      <c r="AD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row>
    <row r="85" spans="1:90" s="10" customFormat="1" ht="16.5" customHeight="1">
      <c r="A85" s="2"/>
      <c r="B85" s="286" t="s">
        <v>282</v>
      </c>
      <c r="C85" s="286"/>
      <c r="D85" s="102"/>
      <c r="E85" s="102"/>
      <c r="F85" s="102"/>
      <c r="G85" s="102"/>
      <c r="H85" s="102"/>
      <c r="I85" s="102"/>
      <c r="J85" s="102"/>
      <c r="K85" s="102"/>
      <c r="L85" s="102"/>
      <c r="M85" s="102"/>
      <c r="N85" s="102"/>
      <c r="O85" s="102"/>
      <c r="P85" s="102"/>
      <c r="Z85" s="3"/>
      <c r="AA85" s="3"/>
      <c r="AB85" s="3"/>
      <c r="AC85" s="3"/>
      <c r="AD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row>
    <row r="86" spans="1:90" s="10" customFormat="1" ht="16.5" customHeight="1">
      <c r="A86" s="2"/>
      <c r="B86" s="286" t="s">
        <v>283</v>
      </c>
      <c r="C86" s="286"/>
      <c r="D86" s="102"/>
      <c r="E86" s="102"/>
      <c r="F86" s="102"/>
      <c r="G86" s="102"/>
      <c r="H86" s="102"/>
      <c r="I86" s="102"/>
      <c r="J86" s="102"/>
      <c r="K86" s="102"/>
      <c r="L86" s="102"/>
      <c r="M86" s="102"/>
      <c r="N86" s="102"/>
      <c r="O86" s="102"/>
      <c r="P86" s="102"/>
      <c r="Z86" s="3"/>
      <c r="AA86" s="3"/>
      <c r="AB86" s="3"/>
      <c r="AC86" s="3"/>
      <c r="AD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row>
    <row r="87" spans="1:90" s="10" customFormat="1" ht="16.5" customHeight="1">
      <c r="A87" s="2"/>
      <c r="B87" s="286" t="s">
        <v>284</v>
      </c>
      <c r="C87" s="286"/>
      <c r="D87" s="102"/>
      <c r="E87" s="102"/>
      <c r="F87" s="102"/>
      <c r="G87" s="102"/>
      <c r="H87" s="102"/>
      <c r="I87" s="102"/>
      <c r="J87" s="102"/>
      <c r="K87" s="102"/>
      <c r="L87" s="102"/>
      <c r="M87" s="102"/>
      <c r="N87" s="102"/>
      <c r="O87" s="102"/>
      <c r="P87" s="102"/>
      <c r="Z87" s="3"/>
      <c r="AA87" s="3"/>
      <c r="AB87" s="3"/>
      <c r="AC87" s="3"/>
      <c r="AD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row>
    <row r="88" spans="1:90" s="10" customFormat="1" ht="16.5" customHeight="1">
      <c r="A88" s="2"/>
      <c r="B88" s="286" t="s">
        <v>285</v>
      </c>
      <c r="C88" s="286"/>
      <c r="D88" s="102"/>
      <c r="E88" s="102"/>
      <c r="F88" s="102"/>
      <c r="G88" s="102"/>
      <c r="H88" s="102"/>
      <c r="I88" s="102"/>
      <c r="J88" s="102"/>
      <c r="K88" s="102"/>
      <c r="L88" s="102"/>
      <c r="M88" s="102"/>
      <c r="N88" s="102"/>
      <c r="O88" s="102"/>
      <c r="P88" s="102"/>
      <c r="Z88" s="3"/>
      <c r="AA88" s="3"/>
      <c r="AB88" s="3"/>
      <c r="AC88" s="3"/>
      <c r="AD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row>
    <row r="89" spans="1:90" s="10" customFormat="1" ht="16.5" customHeight="1">
      <c r="A89" s="2"/>
      <c r="B89" s="251" t="s">
        <v>286</v>
      </c>
      <c r="C89" s="251"/>
      <c r="D89" s="102"/>
      <c r="E89" s="102"/>
      <c r="F89" s="102"/>
      <c r="G89" s="102"/>
      <c r="H89" s="102"/>
      <c r="I89" s="102"/>
      <c r="J89" s="102"/>
      <c r="K89" s="102"/>
      <c r="L89" s="102"/>
      <c r="M89" s="102"/>
      <c r="N89" s="102"/>
      <c r="O89" s="102"/>
      <c r="P89" s="102"/>
      <c r="Z89" s="3"/>
      <c r="AA89" s="3"/>
      <c r="AB89" s="3"/>
      <c r="AC89" s="3"/>
      <c r="AD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row>
    <row r="90" spans="1:90" s="10" customFormat="1" ht="16.5" customHeight="1">
      <c r="A90" s="2"/>
      <c r="B90" s="247" t="s">
        <v>287</v>
      </c>
      <c r="C90" s="247"/>
      <c r="D90" s="102"/>
      <c r="E90" s="102"/>
      <c r="F90" s="102"/>
      <c r="G90" s="102"/>
      <c r="H90" s="102"/>
      <c r="I90" s="102"/>
      <c r="J90" s="102"/>
      <c r="K90" s="102"/>
      <c r="L90" s="102"/>
      <c r="M90" s="102"/>
      <c r="N90" s="102"/>
      <c r="O90" s="102"/>
      <c r="P90" s="102"/>
      <c r="Z90" s="3"/>
      <c r="AA90" s="3"/>
      <c r="AB90" s="3"/>
      <c r="AC90" s="3"/>
      <c r="AD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row>
    <row r="91" spans="1:90" s="10" customFormat="1" ht="16.5" customHeight="1">
      <c r="A91" s="2"/>
      <c r="B91" s="254" t="s">
        <v>288</v>
      </c>
      <c r="C91" s="254"/>
      <c r="D91" s="299"/>
      <c r="E91" s="299"/>
      <c r="F91" s="299"/>
      <c r="G91" s="298"/>
      <c r="H91" s="298"/>
      <c r="I91" s="298"/>
      <c r="J91" s="301"/>
      <c r="K91" s="302"/>
      <c r="L91" s="302"/>
      <c r="M91" s="102"/>
      <c r="N91" s="102"/>
      <c r="O91" s="102"/>
      <c r="P91" s="102"/>
      <c r="Z91" s="3"/>
      <c r="AA91" s="3"/>
      <c r="AB91" s="3"/>
      <c r="AC91" s="3"/>
      <c r="AD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row>
    <row r="92" spans="1:90" s="10" customFormat="1" ht="16.5" customHeight="1">
      <c r="A92" s="2"/>
      <c r="B92" s="289" t="s">
        <v>289</v>
      </c>
      <c r="C92" s="289"/>
      <c r="D92" s="299"/>
      <c r="E92" s="299"/>
      <c r="F92" s="299"/>
      <c r="G92" s="298"/>
      <c r="H92" s="298"/>
      <c r="I92" s="298"/>
      <c r="J92" s="301"/>
      <c r="K92" s="302"/>
      <c r="L92" s="302"/>
      <c r="M92" s="102"/>
      <c r="N92" s="102"/>
      <c r="O92" s="102"/>
      <c r="P92" s="102"/>
      <c r="Z92" s="3"/>
      <c r="AA92" s="3"/>
      <c r="AB92" s="3"/>
      <c r="AC92" s="3"/>
      <c r="AD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row>
    <row r="93" spans="1:90" s="10" customFormat="1" ht="16.5" customHeight="1">
      <c r="A93" s="2"/>
      <c r="B93" s="256" t="s">
        <v>290</v>
      </c>
      <c r="C93" s="256"/>
      <c r="D93" s="303"/>
      <c r="E93" s="303"/>
      <c r="F93" s="303"/>
      <c r="G93" s="298"/>
      <c r="H93" s="298"/>
      <c r="I93" s="298"/>
      <c r="J93" s="301"/>
      <c r="K93" s="302"/>
      <c r="L93" s="302"/>
      <c r="M93" s="102"/>
      <c r="N93" s="102"/>
      <c r="O93" s="102"/>
      <c r="P93" s="102"/>
      <c r="Z93" s="3"/>
      <c r="AA93" s="3"/>
      <c r="AB93" s="3"/>
      <c r="AC93" s="3"/>
      <c r="AD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row>
    <row r="94" spans="1:90" s="10" customFormat="1" ht="16.5" customHeight="1">
      <c r="A94" s="2"/>
      <c r="B94" s="290" t="s">
        <v>291</v>
      </c>
      <c r="C94" s="290"/>
      <c r="D94" s="304"/>
      <c r="E94" s="304"/>
      <c r="F94" s="304"/>
      <c r="G94" s="304"/>
      <c r="H94" s="304"/>
      <c r="I94" s="304"/>
      <c r="J94" s="304"/>
      <c r="K94" s="304"/>
      <c r="L94" s="304"/>
      <c r="M94" s="102"/>
      <c r="N94" s="102"/>
      <c r="O94" s="102"/>
      <c r="P94" s="102"/>
      <c r="Z94" s="3"/>
      <c r="AA94" s="3"/>
      <c r="AB94" s="3"/>
      <c r="AC94" s="3"/>
      <c r="AD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row>
    <row r="95" spans="1:90" s="10" customFormat="1" ht="16.5" customHeight="1">
      <c r="A95" s="2"/>
      <c r="B95" s="245"/>
      <c r="C95" s="245"/>
      <c r="D95" s="245"/>
      <c r="E95" s="124"/>
      <c r="F95" s="124"/>
      <c r="G95" s="124"/>
      <c r="H95" s="124"/>
      <c r="I95" s="124"/>
      <c r="J95" s="124"/>
      <c r="K95" s="124"/>
      <c r="L95" s="124"/>
      <c r="M95" s="102"/>
      <c r="N95" s="102"/>
      <c r="O95" s="102"/>
      <c r="P95" s="102"/>
      <c r="Z95" s="3"/>
      <c r="AA95" s="3"/>
      <c r="AB95" s="3"/>
      <c r="AC95" s="3"/>
      <c r="AD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row>
    <row r="96" spans="1:90" s="10" customFormat="1" ht="16.5" customHeight="1">
      <c r="A96" s="2"/>
      <c r="B96" s="305"/>
      <c r="C96" s="305"/>
      <c r="D96" s="305"/>
      <c r="E96" s="138"/>
      <c r="F96" s="138"/>
      <c r="G96" s="306"/>
      <c r="H96" s="307"/>
      <c r="I96" s="307"/>
      <c r="J96" s="307"/>
      <c r="K96" s="307"/>
      <c r="L96" s="307"/>
      <c r="M96" s="102"/>
      <c r="N96" s="102"/>
      <c r="O96" s="102"/>
      <c r="P96" s="102"/>
      <c r="Z96" s="3"/>
      <c r="AA96" s="3"/>
      <c r="AB96" s="3"/>
      <c r="AC96" s="3"/>
      <c r="AD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row>
    <row r="97" spans="1:90" s="10" customFormat="1" ht="16.5" customHeight="1">
      <c r="A97" s="2"/>
      <c r="B97" s="514" t="s">
        <v>292</v>
      </c>
      <c r="C97" s="514"/>
      <c r="D97" s="514"/>
      <c r="E97" s="514"/>
      <c r="F97" s="514"/>
      <c r="G97" s="514"/>
      <c r="H97" s="514"/>
      <c r="I97" s="514"/>
      <c r="J97" s="514"/>
      <c r="K97" s="514"/>
      <c r="L97" s="514"/>
      <c r="M97" s="514"/>
      <c r="N97" s="514"/>
      <c r="O97" s="514"/>
      <c r="P97" s="514"/>
      <c r="Z97" s="3"/>
      <c r="AA97" s="3"/>
      <c r="AB97" s="3"/>
      <c r="AC97" s="3"/>
      <c r="AD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row>
    <row r="98" spans="1:90" s="10" customFormat="1" ht="16.5" customHeight="1">
      <c r="A98" s="2"/>
      <c r="B98" s="102"/>
      <c r="C98" s="102"/>
      <c r="D98" s="102"/>
      <c r="E98" s="102"/>
      <c r="F98" s="102"/>
      <c r="G98" s="102"/>
      <c r="H98" s="102"/>
      <c r="I98" s="102"/>
      <c r="J98" s="102"/>
      <c r="K98" s="102"/>
      <c r="L98" s="102"/>
      <c r="M98" s="102"/>
      <c r="N98" s="102"/>
      <c r="O98" s="102"/>
      <c r="P98" s="102"/>
      <c r="Z98" s="3"/>
      <c r="AA98" s="3"/>
      <c r="AB98" s="3"/>
      <c r="AC98" s="3"/>
      <c r="AD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row>
    <row r="99" spans="1:90" s="10" customFormat="1" ht="16.5" customHeight="1">
      <c r="A99" s="2"/>
      <c r="B99" s="102"/>
      <c r="C99" s="102"/>
      <c r="D99" s="102"/>
      <c r="E99" s="102"/>
      <c r="F99" s="102"/>
      <c r="G99" s="102"/>
      <c r="H99" s="102"/>
      <c r="I99" s="102"/>
      <c r="J99" s="102"/>
      <c r="K99" s="102"/>
      <c r="L99" s="102"/>
      <c r="M99" s="102"/>
      <c r="N99" s="102"/>
      <c r="O99" s="102"/>
      <c r="P99" s="102"/>
      <c r="Z99" s="3"/>
      <c r="AA99" s="3"/>
      <c r="AB99" s="3"/>
      <c r="AC99" s="3"/>
      <c r="AD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row>
    <row r="100" spans="1:90" s="10" customFormat="1" ht="16.5" customHeight="1">
      <c r="A100" s="2"/>
      <c r="B100" s="258" t="s">
        <v>293</v>
      </c>
      <c r="Z100" s="3"/>
      <c r="AA100" s="3"/>
      <c r="AB100" s="3"/>
      <c r="AC100" s="3"/>
      <c r="AD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row>
    <row r="101" spans="1:90" s="10" customFormat="1" ht="16.5" customHeight="1">
      <c r="A101" s="2"/>
      <c r="Z101" s="3"/>
      <c r="AA101" s="3"/>
      <c r="AB101" s="3"/>
      <c r="AC101" s="3"/>
      <c r="AD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row>
  </sheetData>
  <mergeCells count="13">
    <mergeCell ref="M16:Q16"/>
    <mergeCell ref="S16:W16"/>
    <mergeCell ref="AE16:AE17"/>
    <mergeCell ref="B97:P97"/>
    <mergeCell ref="B3:K3"/>
    <mergeCell ref="B16:B17"/>
    <mergeCell ref="C16:C17"/>
    <mergeCell ref="D16:D17"/>
    <mergeCell ref="E16:E17"/>
    <mergeCell ref="G16:K16"/>
    <mergeCell ref="Y16:AC16"/>
    <mergeCell ref="C4:K4"/>
    <mergeCell ref="C5:K5"/>
  </mergeCells>
  <hyperlinks>
    <hyperlink ref="N9" r:id="rId1" xr:uid="{92060E8F-5435-4C0A-A7B5-FBD666ACA77C}"/>
    <hyperlink ref="N11" r:id="rId2" xr:uid="{31763F10-1968-40BF-B7A5-4A8E31B06B91}"/>
    <hyperlink ref="B38:H38" r:id="rId3" display="8. Please click here to check our standard free time tariff at destinations." xr:uid="{FCC187FD-AF77-49DE-BE0B-CC4AD9364078}"/>
    <hyperlink ref="D59" r:id="rId4" xr:uid="{F6D644CD-665E-4ED9-A19D-E81236933238}"/>
    <hyperlink ref="D67" r:id="rId5" display="https://apc01.safelinks.protection.outlook.com/?url=http%3A%2F%2Fpkapp.pka.gov.my%2Fdg%2Funno.php%3Funno%3D3462%26Search%3DSearch&amp;data=05%7C01%7Candreas.betzold%40coscoshipping.de%7C354962dd5b0546dcdcc808da546321e5%7Cff308fd09421454ab8b34d36252ab3a3%7C0%7C0%7C637915082001854931%7CUnknown%7CTWFpbGZsb3d8eyJWIjoiMC4wLjAwMDAiLCJQIjoiV2luMzIiLCJBTiI6Ik1haWwiLCJXVCI6Mn0%3D%7C3000%7C%7C%7C&amp;sdata=WAkuVEoe4TB6lA4kKiJ7ga2M1HAePb22ISdBIXuNsKU%3D&amp;reserved=0" xr:uid="{5782FACC-D2AF-4EBD-903F-5A4793D7D3EA}"/>
    <hyperlink ref="B94" r:id="rId6" xr:uid="{7AE6EFDF-EF90-4A05-9A52-14E758CBBF8D}"/>
    <hyperlink ref="B92" r:id="rId7" xr:uid="{1581BAE5-06BC-470A-B92A-D03B02B466A8}"/>
    <hyperlink ref="B80" r:id="rId8" display="   Demurrage/detention does not include storage at terminal, please click here to check our standard free time at destinations LINK" xr:uid="{DD9F55C5-408B-4F99-98CA-CF4CF39E133A}"/>
    <hyperlink ref="B83:E83" r:id="rId9" display="Local charges/conditions listed on our homepage coscoshipping.es LINK" xr:uid="{6D561F53-D4EC-4553-80E5-0AED139BFF10}"/>
    <hyperlink ref="B86" r:id="rId10" xr:uid="{54ACA6BE-5D37-4E19-B233-2BEBA35AD024}"/>
    <hyperlink ref="B87" r:id="rId11" xr:uid="{813D253D-1BAE-4EC4-A0B8-1B2622FACFB6}"/>
    <hyperlink ref="B88" r:id="rId12" xr:uid="{D189FAF9-C633-45EF-B76F-4AC8F382AA0E}"/>
    <hyperlink ref="B82:E82" r:id="rId13" display="Local charges/conditions listed on our homepage coscoshipping.es LINK" xr:uid="{269C5303-1A83-4E13-8A2C-A95359F3C595}"/>
    <hyperlink ref="B81" r:id="rId14" xr:uid="{BDD3CB47-D021-4EE7-9ED7-A0E10B937E0A}"/>
    <hyperlink ref="B100" location="'Far East '!A1" display="BACK TO TOP" xr:uid="{CFC64CB5-282F-4228-9804-AE4223CD0DD3}"/>
  </hyperlinks>
  <pageMargins left="0.7" right="0.7" top="0.75" bottom="0.75" header="0.3" footer="0.3"/>
  <pageSetup paperSize="9" orientation="portrait" verticalDpi="300" r:id="rId15"/>
  <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EBD31-CE6E-437E-B295-900035FDD061}">
  <sheetPr>
    <tabColor theme="9" tint="0.59999389629810485"/>
  </sheetPr>
  <dimension ref="A2:CC111"/>
  <sheetViews>
    <sheetView showGridLines="0" zoomScaleNormal="100" workbookViewId="0">
      <selection activeCell="V18" sqref="V18"/>
    </sheetView>
  </sheetViews>
  <sheetFormatPr baseColWidth="10" defaultColWidth="11.42578125" defaultRowHeight="11.25"/>
  <cols>
    <col min="1" max="1" width="6.140625" style="2" customWidth="1"/>
    <col min="2" max="2" width="22.42578125" style="10" customWidth="1"/>
    <col min="3" max="3" width="7.5703125" style="10" customWidth="1"/>
    <col min="4" max="4" width="18.7109375" style="10" customWidth="1"/>
    <col min="5" max="5" width="14.85546875" style="10" customWidth="1"/>
    <col min="6" max="6" width="0.42578125" style="10" customWidth="1"/>
    <col min="7" max="10" width="11.85546875" style="10" customWidth="1"/>
    <col min="11" max="11" width="0.42578125" style="93" customWidth="1"/>
    <col min="12" max="15" width="11.85546875" style="10" customWidth="1"/>
    <col min="16" max="16" width="0.42578125" style="10" customWidth="1"/>
    <col min="17" max="20" width="11.85546875" style="10" customWidth="1"/>
    <col min="21" max="21" width="0.42578125" style="10" customWidth="1"/>
    <col min="22" max="22" width="32.85546875" style="10" customWidth="1"/>
    <col min="23" max="23" width="23.140625" style="3" customWidth="1"/>
    <col min="24" max="81" width="11.42578125" style="3"/>
    <col min="82" max="16384" width="11.42578125" style="19"/>
  </cols>
  <sheetData>
    <row r="2" spans="2:23" s="12" customFormat="1" ht="16.5" customHeight="1">
      <c r="B2" s="10"/>
      <c r="C2" s="10"/>
      <c r="D2" s="10"/>
      <c r="E2" s="10"/>
      <c r="F2" s="10"/>
      <c r="G2" s="10"/>
      <c r="H2" s="11"/>
      <c r="I2" s="11"/>
      <c r="J2" s="11"/>
      <c r="K2" s="84"/>
      <c r="L2" s="13" t="s">
        <v>382</v>
      </c>
      <c r="M2" s="13"/>
    </row>
    <row r="3" spans="2:23" s="12" customFormat="1" ht="16.5" customHeight="1">
      <c r="B3" s="517" t="s">
        <v>383</v>
      </c>
      <c r="C3" s="518"/>
      <c r="D3" s="518"/>
      <c r="E3" s="518"/>
      <c r="F3" s="518"/>
      <c r="G3" s="518"/>
      <c r="H3" s="518"/>
      <c r="I3" s="518"/>
      <c r="J3" s="519"/>
      <c r="K3" s="85"/>
      <c r="L3" s="13"/>
      <c r="M3" s="13"/>
    </row>
    <row r="4" spans="2:23" s="12" customFormat="1" ht="16.5" customHeight="1">
      <c r="B4" s="86" t="s">
        <v>40</v>
      </c>
      <c r="C4" s="260"/>
      <c r="D4" s="520" t="s">
        <v>41</v>
      </c>
      <c r="E4" s="520"/>
      <c r="F4" s="520"/>
      <c r="G4" s="520"/>
      <c r="H4" s="520"/>
      <c r="I4" s="520"/>
      <c r="J4" s="521"/>
      <c r="K4" s="87"/>
      <c r="L4" s="13"/>
      <c r="M4" s="13"/>
    </row>
    <row r="5" spans="2:23" s="12" customFormat="1" ht="25.15" customHeight="1">
      <c r="B5" s="88" t="s">
        <v>42</v>
      </c>
      <c r="C5" s="465"/>
      <c r="D5" s="522" t="s">
        <v>384</v>
      </c>
      <c r="E5" s="522"/>
      <c r="F5" s="522"/>
      <c r="G5" s="522"/>
      <c r="H5" s="522"/>
      <c r="I5" s="522"/>
      <c r="J5" s="523"/>
      <c r="K5" s="85"/>
      <c r="L5" s="13"/>
      <c r="M5" s="13"/>
    </row>
    <row r="6" spans="2:23" s="12" customFormat="1" ht="16.5" customHeight="1">
      <c r="B6" s="23" t="s">
        <v>44</v>
      </c>
      <c r="C6" s="23"/>
      <c r="D6" s="14"/>
      <c r="E6" s="14"/>
      <c r="F6" s="22"/>
      <c r="G6" s="15"/>
      <c r="H6" s="13"/>
      <c r="I6" s="13"/>
      <c r="J6" s="13"/>
      <c r="K6" s="85"/>
      <c r="L6" s="13"/>
      <c r="M6" s="13"/>
    </row>
    <row r="7" spans="2:23" s="12" customFormat="1" ht="16.5" customHeight="1">
      <c r="B7" s="31"/>
      <c r="C7" s="31"/>
      <c r="D7" s="31"/>
      <c r="E7" s="31"/>
      <c r="F7" s="32"/>
      <c r="G7" s="33"/>
      <c r="H7" s="15"/>
      <c r="I7" s="21"/>
      <c r="J7" s="20"/>
      <c r="K7"/>
      <c r="L7" s="20"/>
      <c r="M7" s="31" t="s">
        <v>45</v>
      </c>
      <c r="N7" s="89"/>
      <c r="O7" s="89"/>
      <c r="P7" s="89"/>
      <c r="Q7" s="89"/>
      <c r="R7" s="89"/>
      <c r="S7" s="89"/>
      <c r="T7" s="89"/>
    </row>
    <row r="8" spans="2:23" s="12" customFormat="1" ht="16.5" customHeight="1">
      <c r="B8" s="34"/>
      <c r="C8" s="34"/>
      <c r="D8" s="35"/>
      <c r="E8" s="35"/>
      <c r="F8" s="22"/>
      <c r="G8" s="35"/>
      <c r="H8" s="35"/>
      <c r="I8" s="21"/>
      <c r="J8" s="20"/>
      <c r="K8"/>
      <c r="L8" s="20"/>
      <c r="M8" s="90"/>
      <c r="N8" s="89"/>
      <c r="O8" s="89"/>
      <c r="P8" s="89"/>
      <c r="Q8" s="89"/>
      <c r="R8" s="89"/>
      <c r="S8" s="89"/>
      <c r="T8" s="89"/>
    </row>
    <row r="9" spans="2:23" s="12" customFormat="1" ht="16.5" customHeight="1">
      <c r="B9" s="30"/>
      <c r="C9" s="30"/>
      <c r="D9" s="36"/>
      <c r="E9" s="22"/>
      <c r="F9" s="22"/>
      <c r="G9" s="36"/>
      <c r="H9" s="37"/>
      <c r="I9" s="38"/>
      <c r="J9" s="21"/>
      <c r="K9" s="85"/>
      <c r="L9" s="20"/>
      <c r="M9" s="91" t="s">
        <v>46</v>
      </c>
      <c r="N9" s="92"/>
      <c r="O9" s="92"/>
      <c r="P9" s="92"/>
      <c r="Q9" s="92"/>
      <c r="R9" s="92"/>
      <c r="S9" s="89"/>
      <c r="T9" s="89"/>
    </row>
    <row r="10" spans="2:23" s="12" customFormat="1" ht="16.5" customHeight="1">
      <c r="B10" s="30"/>
      <c r="C10" s="30"/>
      <c r="D10"/>
      <c r="E10" s="36"/>
      <c r="F10" s="22"/>
      <c r="G10" s="37"/>
      <c r="H10" s="37"/>
      <c r="I10" s="38"/>
      <c r="J10" s="21"/>
      <c r="K10" s="85"/>
      <c r="L10" s="20"/>
      <c r="M10" s="91"/>
      <c r="N10" s="92"/>
      <c r="O10" s="92"/>
      <c r="P10" s="92"/>
      <c r="Q10" s="92"/>
      <c r="R10" s="92"/>
      <c r="S10" s="89"/>
      <c r="T10" s="89"/>
    </row>
    <row r="11" spans="2:23" s="12" customFormat="1" ht="16.5" customHeight="1">
      <c r="B11" s="30"/>
      <c r="C11" s="30"/>
      <c r="D11" s="36"/>
      <c r="E11" s="36"/>
      <c r="F11" s="22"/>
      <c r="G11" s="37"/>
      <c r="H11" s="37"/>
      <c r="I11" s="38"/>
      <c r="J11" s="21"/>
      <c r="K11" s="85"/>
      <c r="L11" s="20"/>
      <c r="M11" s="91" t="s">
        <v>47</v>
      </c>
      <c r="N11" s="92"/>
      <c r="O11" s="92"/>
      <c r="P11" s="92"/>
      <c r="Q11" s="92"/>
      <c r="R11" s="92"/>
      <c r="S11" s="89"/>
      <c r="T11" s="89"/>
    </row>
    <row r="12" spans="2:23" ht="15">
      <c r="M12" s="31"/>
      <c r="N12" s="89"/>
      <c r="O12" s="89"/>
      <c r="P12" s="89"/>
      <c r="Q12" s="89"/>
      <c r="R12" s="89"/>
      <c r="S12" s="89"/>
      <c r="T12" s="89"/>
    </row>
    <row r="16" spans="2:23" s="12" customFormat="1" ht="16.5" customHeight="1">
      <c r="B16" s="483" t="s">
        <v>48</v>
      </c>
      <c r="C16" s="483" t="s">
        <v>49</v>
      </c>
      <c r="D16" s="483" t="s">
        <v>50</v>
      </c>
      <c r="E16" s="483" t="s">
        <v>51</v>
      </c>
      <c r="F16" s="16"/>
      <c r="G16" s="483" t="s">
        <v>52</v>
      </c>
      <c r="H16" s="483"/>
      <c r="I16" s="483"/>
      <c r="J16" s="483"/>
      <c r="K16" s="93"/>
      <c r="L16" s="483" t="s">
        <v>53</v>
      </c>
      <c r="M16" s="483"/>
      <c r="N16" s="483"/>
      <c r="O16" s="483"/>
      <c r="P16" s="25"/>
      <c r="Q16" s="483" t="s">
        <v>54</v>
      </c>
      <c r="R16" s="483"/>
      <c r="S16" s="483"/>
      <c r="T16" s="483"/>
      <c r="U16" s="25"/>
      <c r="V16" s="477" t="s">
        <v>385</v>
      </c>
      <c r="W16" s="477" t="s">
        <v>386</v>
      </c>
    </row>
    <row r="17" spans="2:23" s="95" customFormat="1" ht="12.75">
      <c r="B17" s="483"/>
      <c r="C17" s="483"/>
      <c r="D17" s="483"/>
      <c r="E17" s="483"/>
      <c r="F17" s="16"/>
      <c r="G17" s="94" t="s">
        <v>297</v>
      </c>
      <c r="H17" s="94" t="s">
        <v>387</v>
      </c>
      <c r="I17" s="94" t="s">
        <v>388</v>
      </c>
      <c r="J17" s="94" t="s">
        <v>389</v>
      </c>
      <c r="K17" s="93"/>
      <c r="L17" s="94" t="s">
        <v>297</v>
      </c>
      <c r="M17" s="94" t="s">
        <v>387</v>
      </c>
      <c r="N17" s="94" t="s">
        <v>388</v>
      </c>
      <c r="O17" s="94" t="s">
        <v>389</v>
      </c>
      <c r="P17" s="25"/>
      <c r="Q17" s="94" t="s">
        <v>297</v>
      </c>
      <c r="R17" s="94" t="s">
        <v>387</v>
      </c>
      <c r="S17" s="94" t="s">
        <v>388</v>
      </c>
      <c r="T17" s="94" t="s">
        <v>389</v>
      </c>
      <c r="U17" s="25"/>
      <c r="V17" s="477"/>
      <c r="W17" s="477"/>
    </row>
    <row r="18" spans="2:23" s="12" customFormat="1" ht="16.5" customHeight="1">
      <c r="B18" s="96" t="s">
        <v>390</v>
      </c>
      <c r="C18" s="96" t="s">
        <v>391</v>
      </c>
      <c r="D18" s="39" t="s">
        <v>392</v>
      </c>
      <c r="E18" s="40" t="s">
        <v>66</v>
      </c>
      <c r="F18" s="97"/>
      <c r="G18" s="98">
        <v>600</v>
      </c>
      <c r="H18" s="98">
        <f>G18*2</f>
        <v>1200</v>
      </c>
      <c r="I18" s="98">
        <f>H18</f>
        <v>1200</v>
      </c>
      <c r="J18" s="40" t="s">
        <v>68</v>
      </c>
      <c r="K18" s="93"/>
      <c r="L18" s="98">
        <f t="shared" ref="L18:N27" si="0">G18</f>
        <v>600</v>
      </c>
      <c r="M18" s="98">
        <f t="shared" si="0"/>
        <v>1200</v>
      </c>
      <c r="N18" s="98">
        <f t="shared" si="0"/>
        <v>1200</v>
      </c>
      <c r="O18" s="40" t="s">
        <v>70</v>
      </c>
      <c r="P18" s="99"/>
      <c r="Q18" s="98">
        <f t="shared" ref="Q18:S27" si="1">G18</f>
        <v>600</v>
      </c>
      <c r="R18" s="98">
        <f t="shared" si="1"/>
        <v>1200</v>
      </c>
      <c r="S18" s="98">
        <f t="shared" si="1"/>
        <v>1200</v>
      </c>
      <c r="T18" s="40" t="s">
        <v>364</v>
      </c>
      <c r="U18" s="25"/>
      <c r="V18" s="39" t="s">
        <v>393</v>
      </c>
      <c r="W18" s="39"/>
    </row>
    <row r="19" spans="2:23" s="12" customFormat="1" ht="16.5" customHeight="1">
      <c r="B19" s="96" t="s">
        <v>394</v>
      </c>
      <c r="C19" s="96" t="s">
        <v>395</v>
      </c>
      <c r="D19" s="39" t="s">
        <v>392</v>
      </c>
      <c r="E19" s="40" t="s">
        <v>66</v>
      </c>
      <c r="F19" s="97"/>
      <c r="G19" s="98">
        <f>G18</f>
        <v>600</v>
      </c>
      <c r="H19" s="98">
        <f t="shared" ref="H19:H27" si="2">G19*2</f>
        <v>1200</v>
      </c>
      <c r="I19" s="98">
        <f t="shared" ref="I19:I27" si="3">H19</f>
        <v>1200</v>
      </c>
      <c r="J19" s="40" t="s">
        <v>68</v>
      </c>
      <c r="K19" s="93"/>
      <c r="L19" s="98">
        <f t="shared" si="0"/>
        <v>600</v>
      </c>
      <c r="M19" s="98">
        <f t="shared" si="0"/>
        <v>1200</v>
      </c>
      <c r="N19" s="98">
        <f t="shared" si="0"/>
        <v>1200</v>
      </c>
      <c r="O19" s="40" t="s">
        <v>70</v>
      </c>
      <c r="P19" s="99"/>
      <c r="Q19" s="98">
        <f t="shared" si="1"/>
        <v>600</v>
      </c>
      <c r="R19" s="98">
        <f t="shared" si="1"/>
        <v>1200</v>
      </c>
      <c r="S19" s="98">
        <f t="shared" si="1"/>
        <v>1200</v>
      </c>
      <c r="T19" s="40" t="s">
        <v>364</v>
      </c>
      <c r="U19" s="25"/>
      <c r="V19" s="39" t="s">
        <v>393</v>
      </c>
      <c r="W19" s="39"/>
    </row>
    <row r="20" spans="2:23" s="12" customFormat="1" ht="16.5" customHeight="1">
      <c r="B20" s="96" t="s">
        <v>396</v>
      </c>
      <c r="C20" s="96" t="s">
        <v>397</v>
      </c>
      <c r="D20" s="39" t="s">
        <v>392</v>
      </c>
      <c r="E20" s="40" t="s">
        <v>66</v>
      </c>
      <c r="F20" s="97"/>
      <c r="G20" s="98">
        <f>G18</f>
        <v>600</v>
      </c>
      <c r="H20" s="98">
        <f t="shared" si="2"/>
        <v>1200</v>
      </c>
      <c r="I20" s="98">
        <f t="shared" si="3"/>
        <v>1200</v>
      </c>
      <c r="J20" s="40" t="s">
        <v>68</v>
      </c>
      <c r="K20" s="93"/>
      <c r="L20" s="98">
        <f t="shared" si="0"/>
        <v>600</v>
      </c>
      <c r="M20" s="98">
        <f t="shared" si="0"/>
        <v>1200</v>
      </c>
      <c r="N20" s="98">
        <f t="shared" si="0"/>
        <v>1200</v>
      </c>
      <c r="O20" s="40" t="s">
        <v>70</v>
      </c>
      <c r="P20" s="99"/>
      <c r="Q20" s="98">
        <f t="shared" si="1"/>
        <v>600</v>
      </c>
      <c r="R20" s="98">
        <f t="shared" si="1"/>
        <v>1200</v>
      </c>
      <c r="S20" s="98">
        <f t="shared" si="1"/>
        <v>1200</v>
      </c>
      <c r="T20" s="40" t="s">
        <v>364</v>
      </c>
      <c r="U20" s="25"/>
      <c r="V20" s="39" t="s">
        <v>393</v>
      </c>
      <c r="W20" s="39"/>
    </row>
    <row r="21" spans="2:23" s="12" customFormat="1" ht="16.5" customHeight="1">
      <c r="B21" s="96" t="s">
        <v>398</v>
      </c>
      <c r="C21" s="96" t="s">
        <v>399</v>
      </c>
      <c r="D21" s="39" t="s">
        <v>392</v>
      </c>
      <c r="E21" s="40" t="s">
        <v>66</v>
      </c>
      <c r="F21" s="97"/>
      <c r="G21" s="98">
        <f>G18</f>
        <v>600</v>
      </c>
      <c r="H21" s="98">
        <f t="shared" si="2"/>
        <v>1200</v>
      </c>
      <c r="I21" s="98">
        <f t="shared" si="3"/>
        <v>1200</v>
      </c>
      <c r="J21" s="100" t="s">
        <v>68</v>
      </c>
      <c r="K21" s="93"/>
      <c r="L21" s="98">
        <f t="shared" si="0"/>
        <v>600</v>
      </c>
      <c r="M21" s="98">
        <f t="shared" si="0"/>
        <v>1200</v>
      </c>
      <c r="N21" s="98">
        <f t="shared" si="0"/>
        <v>1200</v>
      </c>
      <c r="O21" s="40" t="s">
        <v>70</v>
      </c>
      <c r="P21" s="99"/>
      <c r="Q21" s="98">
        <f t="shared" si="1"/>
        <v>600</v>
      </c>
      <c r="R21" s="98">
        <f t="shared" si="1"/>
        <v>1200</v>
      </c>
      <c r="S21" s="98">
        <f t="shared" si="1"/>
        <v>1200</v>
      </c>
      <c r="T21" s="40" t="s">
        <v>364</v>
      </c>
      <c r="U21" s="25"/>
      <c r="V21" s="39" t="s">
        <v>393</v>
      </c>
      <c r="W21" s="39"/>
    </row>
    <row r="22" spans="2:23" s="12" customFormat="1" ht="15.75" customHeight="1">
      <c r="B22" s="96" t="s">
        <v>400</v>
      </c>
      <c r="C22" s="96" t="s">
        <v>401</v>
      </c>
      <c r="D22" s="39" t="s">
        <v>392</v>
      </c>
      <c r="E22" s="40" t="s">
        <v>66</v>
      </c>
      <c r="F22" s="97"/>
      <c r="G22" s="98">
        <f>G18</f>
        <v>600</v>
      </c>
      <c r="H22" s="98">
        <f t="shared" si="2"/>
        <v>1200</v>
      </c>
      <c r="I22" s="98">
        <f t="shared" si="3"/>
        <v>1200</v>
      </c>
      <c r="J22" s="40" t="s">
        <v>68</v>
      </c>
      <c r="K22" s="93"/>
      <c r="L22" s="98">
        <f t="shared" si="0"/>
        <v>600</v>
      </c>
      <c r="M22" s="98">
        <f t="shared" si="0"/>
        <v>1200</v>
      </c>
      <c r="N22" s="98">
        <f t="shared" si="0"/>
        <v>1200</v>
      </c>
      <c r="O22" s="40" t="s">
        <v>70</v>
      </c>
      <c r="P22" s="99"/>
      <c r="Q22" s="98">
        <f t="shared" si="1"/>
        <v>600</v>
      </c>
      <c r="R22" s="98">
        <f t="shared" si="1"/>
        <v>1200</v>
      </c>
      <c r="S22" s="98">
        <f t="shared" si="1"/>
        <v>1200</v>
      </c>
      <c r="T22" s="40" t="s">
        <v>364</v>
      </c>
      <c r="U22" s="25"/>
      <c r="V22" s="39" t="s">
        <v>393</v>
      </c>
      <c r="W22" s="39"/>
    </row>
    <row r="23" spans="2:23" s="12" customFormat="1" ht="15.75" customHeight="1">
      <c r="B23" s="101" t="s">
        <v>402</v>
      </c>
      <c r="C23" s="101" t="s">
        <v>403</v>
      </c>
      <c r="D23" s="101" t="s">
        <v>404</v>
      </c>
      <c r="E23" s="101" t="s">
        <v>66</v>
      </c>
      <c r="F23" s="97"/>
      <c r="G23" s="98">
        <v>950</v>
      </c>
      <c r="H23" s="98">
        <f t="shared" si="2"/>
        <v>1900</v>
      </c>
      <c r="I23" s="98">
        <f t="shared" si="3"/>
        <v>1900</v>
      </c>
      <c r="J23" s="40" t="s">
        <v>68</v>
      </c>
      <c r="K23" s="93"/>
      <c r="L23" s="98">
        <f t="shared" si="0"/>
        <v>950</v>
      </c>
      <c r="M23" s="98">
        <f t="shared" si="0"/>
        <v>1900</v>
      </c>
      <c r="N23" s="98">
        <f t="shared" si="0"/>
        <v>1900</v>
      </c>
      <c r="O23" s="40" t="s">
        <v>70</v>
      </c>
      <c r="P23" s="99"/>
      <c r="Q23" s="98">
        <f t="shared" si="1"/>
        <v>950</v>
      </c>
      <c r="R23" s="98">
        <f t="shared" si="1"/>
        <v>1900</v>
      </c>
      <c r="S23" s="98">
        <f t="shared" si="1"/>
        <v>1900</v>
      </c>
      <c r="T23" s="40" t="s">
        <v>364</v>
      </c>
      <c r="U23" s="25"/>
      <c r="V23" s="39" t="s">
        <v>393</v>
      </c>
      <c r="W23" s="39"/>
    </row>
    <row r="24" spans="2:23" s="12" customFormat="1" ht="16.5" customHeight="1">
      <c r="B24" s="41" t="s">
        <v>405</v>
      </c>
      <c r="C24" s="41" t="s">
        <v>406</v>
      </c>
      <c r="D24" s="39" t="s">
        <v>404</v>
      </c>
      <c r="E24" s="40" t="s">
        <v>66</v>
      </c>
      <c r="F24" s="97"/>
      <c r="G24" s="98">
        <f>G23</f>
        <v>950</v>
      </c>
      <c r="H24" s="98">
        <f t="shared" si="2"/>
        <v>1900</v>
      </c>
      <c r="I24" s="98">
        <f t="shared" si="3"/>
        <v>1900</v>
      </c>
      <c r="J24" s="40" t="s">
        <v>68</v>
      </c>
      <c r="K24" s="93"/>
      <c r="L24" s="98">
        <f t="shared" si="0"/>
        <v>950</v>
      </c>
      <c r="M24" s="98">
        <f t="shared" si="0"/>
        <v>1900</v>
      </c>
      <c r="N24" s="98">
        <f t="shared" si="0"/>
        <v>1900</v>
      </c>
      <c r="O24" s="40" t="s">
        <v>70</v>
      </c>
      <c r="P24" s="99" t="s">
        <v>407</v>
      </c>
      <c r="Q24" s="98">
        <f t="shared" si="1"/>
        <v>950</v>
      </c>
      <c r="R24" s="98">
        <f t="shared" si="1"/>
        <v>1900</v>
      </c>
      <c r="S24" s="98">
        <f t="shared" si="1"/>
        <v>1900</v>
      </c>
      <c r="T24" s="40" t="s">
        <v>364</v>
      </c>
      <c r="U24" s="25"/>
      <c r="V24" s="39" t="s">
        <v>393</v>
      </c>
      <c r="W24" s="39"/>
    </row>
    <row r="25" spans="2:23" s="12" customFormat="1" ht="16.5" customHeight="1">
      <c r="B25" s="41" t="s">
        <v>408</v>
      </c>
      <c r="C25" s="41" t="s">
        <v>409</v>
      </c>
      <c r="D25" s="39" t="s">
        <v>404</v>
      </c>
      <c r="E25" s="40" t="s">
        <v>66</v>
      </c>
      <c r="F25" s="97"/>
      <c r="G25" s="98">
        <f>G23</f>
        <v>950</v>
      </c>
      <c r="H25" s="98">
        <f t="shared" si="2"/>
        <v>1900</v>
      </c>
      <c r="I25" s="98">
        <f t="shared" si="3"/>
        <v>1900</v>
      </c>
      <c r="J25" s="40" t="s">
        <v>68</v>
      </c>
      <c r="K25" s="93"/>
      <c r="L25" s="98">
        <f t="shared" si="0"/>
        <v>950</v>
      </c>
      <c r="M25" s="98">
        <f t="shared" si="0"/>
        <v>1900</v>
      </c>
      <c r="N25" s="98">
        <f t="shared" si="0"/>
        <v>1900</v>
      </c>
      <c r="O25" s="40" t="s">
        <v>70</v>
      </c>
      <c r="P25" s="99"/>
      <c r="Q25" s="98">
        <f t="shared" si="1"/>
        <v>950</v>
      </c>
      <c r="R25" s="98">
        <f t="shared" si="1"/>
        <v>1900</v>
      </c>
      <c r="S25" s="98">
        <f t="shared" si="1"/>
        <v>1900</v>
      </c>
      <c r="T25" s="40" t="s">
        <v>364</v>
      </c>
      <c r="U25" s="99"/>
      <c r="V25" s="39" t="s">
        <v>393</v>
      </c>
      <c r="W25" s="39"/>
    </row>
    <row r="26" spans="2:23" s="12" customFormat="1" ht="16.5" customHeight="1">
      <c r="B26" s="41" t="s">
        <v>410</v>
      </c>
      <c r="C26" s="41" t="s">
        <v>411</v>
      </c>
      <c r="D26" s="39" t="s">
        <v>404</v>
      </c>
      <c r="E26" s="40" t="s">
        <v>66</v>
      </c>
      <c r="F26" s="97"/>
      <c r="G26" s="98">
        <f>G23</f>
        <v>950</v>
      </c>
      <c r="H26" s="98">
        <f t="shared" si="2"/>
        <v>1900</v>
      </c>
      <c r="I26" s="98">
        <f t="shared" si="3"/>
        <v>1900</v>
      </c>
      <c r="J26" s="40" t="s">
        <v>68</v>
      </c>
      <c r="K26" s="93"/>
      <c r="L26" s="98">
        <f t="shared" si="0"/>
        <v>950</v>
      </c>
      <c r="M26" s="98">
        <f t="shared" si="0"/>
        <v>1900</v>
      </c>
      <c r="N26" s="98">
        <f t="shared" si="0"/>
        <v>1900</v>
      </c>
      <c r="O26" s="40" t="s">
        <v>70</v>
      </c>
      <c r="P26" s="99"/>
      <c r="Q26" s="98">
        <f t="shared" si="1"/>
        <v>950</v>
      </c>
      <c r="R26" s="98">
        <f t="shared" si="1"/>
        <v>1900</v>
      </c>
      <c r="S26" s="98">
        <f t="shared" si="1"/>
        <v>1900</v>
      </c>
      <c r="T26" s="40" t="s">
        <v>364</v>
      </c>
      <c r="U26" s="99"/>
      <c r="V26" s="39" t="s">
        <v>393</v>
      </c>
      <c r="W26" s="39"/>
    </row>
    <row r="27" spans="2:23" s="12" customFormat="1" ht="16.5" customHeight="1">
      <c r="B27" s="41" t="s">
        <v>412</v>
      </c>
      <c r="C27" s="41" t="s">
        <v>413</v>
      </c>
      <c r="D27" s="39" t="s">
        <v>404</v>
      </c>
      <c r="E27" s="40" t="s">
        <v>66</v>
      </c>
      <c r="F27" s="97"/>
      <c r="G27" s="98">
        <f>G23</f>
        <v>950</v>
      </c>
      <c r="H27" s="98">
        <f t="shared" si="2"/>
        <v>1900</v>
      </c>
      <c r="I27" s="98">
        <f t="shared" si="3"/>
        <v>1900</v>
      </c>
      <c r="J27" s="40" t="s">
        <v>68</v>
      </c>
      <c r="K27" s="93"/>
      <c r="L27" s="98">
        <f t="shared" si="0"/>
        <v>950</v>
      </c>
      <c r="M27" s="98">
        <f t="shared" si="0"/>
        <v>1900</v>
      </c>
      <c r="N27" s="98">
        <f t="shared" si="0"/>
        <v>1900</v>
      </c>
      <c r="O27" s="40" t="s">
        <v>70</v>
      </c>
      <c r="P27" s="99"/>
      <c r="Q27" s="98">
        <f t="shared" si="1"/>
        <v>950</v>
      </c>
      <c r="R27" s="98">
        <f t="shared" si="1"/>
        <v>1900</v>
      </c>
      <c r="S27" s="98">
        <f t="shared" si="1"/>
        <v>1900</v>
      </c>
      <c r="T27" s="40" t="s">
        <v>364</v>
      </c>
      <c r="U27" s="99"/>
      <c r="V27" s="39" t="s">
        <v>393</v>
      </c>
      <c r="W27" s="39"/>
    </row>
    <row r="28" spans="2:23" s="12" customFormat="1" ht="16.5" customHeight="1">
      <c r="B28" s="18" t="s">
        <v>414</v>
      </c>
      <c r="C28" s="18"/>
      <c r="D28" s="10"/>
      <c r="E28" s="10"/>
      <c r="F28" s="10"/>
      <c r="G28" s="10"/>
      <c r="H28" s="10"/>
      <c r="I28" s="102"/>
      <c r="J28" s="2"/>
      <c r="L28" s="2"/>
      <c r="M28" s="2"/>
      <c r="N28" s="2"/>
      <c r="O28" s="2"/>
      <c r="P28" s="2"/>
      <c r="Q28" s="2"/>
      <c r="R28" s="2"/>
      <c r="S28" s="2"/>
      <c r="T28" s="2"/>
      <c r="U28" s="2"/>
      <c r="V28" s="2"/>
      <c r="W28" s="2"/>
    </row>
    <row r="29" spans="2:23" s="12" customFormat="1" ht="16.5" customHeight="1">
      <c r="B29" s="102"/>
      <c r="C29" s="102"/>
      <c r="D29" s="102"/>
      <c r="E29" s="102"/>
      <c r="F29" s="102"/>
      <c r="G29" s="102"/>
      <c r="H29" s="102"/>
      <c r="I29" s="102"/>
      <c r="J29" s="2"/>
      <c r="L29" s="2"/>
      <c r="M29" s="2"/>
      <c r="N29" s="2"/>
      <c r="O29" s="2"/>
      <c r="P29" s="2"/>
      <c r="Q29" s="2"/>
      <c r="R29" s="2"/>
      <c r="S29" s="2"/>
      <c r="T29" s="2"/>
      <c r="U29" s="2"/>
      <c r="V29" s="2"/>
      <c r="W29" s="2"/>
    </row>
    <row r="30" spans="2:23" s="12" customFormat="1" ht="15" thickBot="1">
      <c r="B30" s="103" t="s">
        <v>221</v>
      </c>
      <c r="C30" s="103"/>
      <c r="D30" s="103"/>
      <c r="E30" s="103"/>
      <c r="F30" s="104"/>
      <c r="G30" s="104"/>
      <c r="H30" s="104"/>
      <c r="I30" s="104"/>
      <c r="J30" s="104"/>
      <c r="K30" s="104"/>
      <c r="L30" s="105"/>
      <c r="M30" s="104"/>
      <c r="N30" s="104"/>
      <c r="O30" s="104"/>
      <c r="P30" s="106"/>
      <c r="Q30" s="104"/>
      <c r="R30" s="104"/>
      <c r="S30" s="104"/>
      <c r="T30" s="104"/>
      <c r="U30" s="104"/>
      <c r="V30" s="104"/>
      <c r="W30" s="107"/>
    </row>
    <row r="31" spans="2:23" ht="16.5" customHeight="1">
      <c r="B31" s="108"/>
      <c r="C31" s="108"/>
      <c r="D31" s="108"/>
      <c r="K31" s="10"/>
    </row>
    <row r="32" spans="2:23" s="12" customFormat="1" ht="16.5" customHeight="1">
      <c r="B32" s="109" t="s">
        <v>222</v>
      </c>
      <c r="C32" s="109"/>
      <c r="D32" s="109"/>
      <c r="E32" s="102"/>
      <c r="F32" s="102"/>
      <c r="G32" s="102"/>
      <c r="H32" s="102"/>
      <c r="I32" s="102"/>
      <c r="J32" s="102"/>
      <c r="K32" s="10"/>
    </row>
    <row r="33" spans="2:15" s="12" customFormat="1" ht="16.5" customHeight="1">
      <c r="B33" s="110"/>
      <c r="C33" s="110"/>
      <c r="D33" s="10"/>
      <c r="E33" s="10"/>
      <c r="F33" s="16"/>
      <c r="G33" s="10"/>
      <c r="H33" s="10"/>
      <c r="I33" s="10"/>
      <c r="J33" s="93"/>
    </row>
    <row r="34" spans="2:15" s="12" customFormat="1" ht="16.5" customHeight="1">
      <c r="B34" s="111" t="s">
        <v>348</v>
      </c>
      <c r="C34" s="111"/>
      <c r="D34" s="111"/>
      <c r="E34" s="111"/>
      <c r="F34" s="111"/>
      <c r="G34" s="111"/>
      <c r="H34" s="111"/>
      <c r="I34" s="111"/>
      <c r="J34" s="111"/>
    </row>
    <row r="35" spans="2:15" s="12" customFormat="1" ht="16.5" customHeight="1">
      <c r="B35" s="112"/>
      <c r="C35" s="112"/>
      <c r="D35" s="112"/>
      <c r="E35" s="112"/>
      <c r="F35" s="112"/>
      <c r="G35" s="112"/>
      <c r="H35" s="10"/>
      <c r="I35" s="10"/>
      <c r="J35" s="10"/>
    </row>
    <row r="36" spans="2:15" s="12" customFormat="1" ht="16.5" customHeight="1">
      <c r="B36" s="113" t="s">
        <v>227</v>
      </c>
      <c r="C36" s="113"/>
      <c r="D36" s="113"/>
      <c r="E36" s="113"/>
      <c r="F36" s="114"/>
      <c r="G36" s="114"/>
      <c r="H36" s="93"/>
      <c r="I36" s="93"/>
      <c r="J36" s="10"/>
    </row>
    <row r="37" spans="2:15" s="12" customFormat="1" ht="16.5" customHeight="1">
      <c r="B37" s="113"/>
      <c r="C37" s="113"/>
      <c r="D37" s="113"/>
      <c r="E37" s="113"/>
      <c r="F37" s="114"/>
      <c r="G37" s="114"/>
      <c r="H37" s="93"/>
      <c r="I37" s="93"/>
      <c r="J37" s="10"/>
    </row>
    <row r="38" spans="2:15" s="12" customFormat="1" ht="16.5" customHeight="1">
      <c r="B38" s="115" t="s">
        <v>228</v>
      </c>
      <c r="C38" s="115"/>
      <c r="D38" s="115"/>
      <c r="E38" s="116"/>
      <c r="F38" s="116"/>
      <c r="G38" s="115"/>
      <c r="H38" s="115"/>
      <c r="I38" s="117"/>
      <c r="J38" s="10"/>
    </row>
    <row r="39" spans="2:15" s="12" customFormat="1" ht="16.5" customHeight="1">
      <c r="B39" s="118"/>
      <c r="C39" s="118"/>
      <c r="D39" s="10"/>
      <c r="E39" s="10"/>
      <c r="F39" s="16"/>
      <c r="G39" s="10"/>
      <c r="H39" s="10"/>
      <c r="I39" s="10"/>
      <c r="J39" s="10"/>
    </row>
    <row r="40" spans="2:15" s="12" customFormat="1" ht="16.5" customHeight="1">
      <c r="B40" s="119" t="s">
        <v>415</v>
      </c>
      <c r="C40" s="119"/>
      <c r="D40" s="102"/>
      <c r="E40" s="102"/>
      <c r="F40" s="102"/>
      <c r="G40" s="102"/>
      <c r="H40" s="102"/>
      <c r="I40" s="102"/>
      <c r="J40" s="102"/>
      <c r="K40" s="117"/>
      <c r="L40" s="117"/>
      <c r="M40" s="117"/>
      <c r="N40" s="117"/>
      <c r="O40" s="117"/>
    </row>
    <row r="41" spans="2:15" s="12" customFormat="1" ht="16.5" customHeight="1">
      <c r="B41" s="119" t="s">
        <v>229</v>
      </c>
      <c r="C41" s="119"/>
      <c r="D41" s="102"/>
      <c r="E41" s="102"/>
      <c r="F41" s="102"/>
      <c r="G41" s="102"/>
      <c r="H41" s="102"/>
      <c r="I41" s="102"/>
      <c r="J41" s="102"/>
      <c r="K41" s="117"/>
      <c r="L41" s="117"/>
      <c r="M41" s="117"/>
      <c r="N41" s="117"/>
      <c r="O41" s="117"/>
    </row>
    <row r="42" spans="2:15" s="12" customFormat="1" ht="16.5" customHeight="1">
      <c r="B42" s="119" t="s">
        <v>230</v>
      </c>
      <c r="C42" s="119"/>
      <c r="D42" s="102"/>
      <c r="E42" s="102"/>
      <c r="F42" s="102"/>
      <c r="G42" s="102"/>
      <c r="H42" s="102"/>
      <c r="I42" s="102"/>
      <c r="J42" s="102"/>
      <c r="K42" s="117"/>
      <c r="L42" s="117"/>
      <c r="M42" s="117"/>
      <c r="N42" s="117"/>
      <c r="O42" s="117"/>
    </row>
    <row r="43" spans="2:15" s="12" customFormat="1" ht="16.5" customHeight="1">
      <c r="B43" s="119" t="s">
        <v>416</v>
      </c>
      <c r="C43" s="119"/>
      <c r="D43" s="102"/>
      <c r="E43" s="102"/>
      <c r="F43" s="102"/>
      <c r="G43" s="102"/>
      <c r="H43" s="102"/>
      <c r="I43" s="102"/>
      <c r="J43" s="120"/>
      <c r="K43" s="117"/>
      <c r="L43" s="117"/>
      <c r="M43" s="117"/>
      <c r="N43" s="117"/>
      <c r="O43" s="117"/>
    </row>
    <row r="44" spans="2:15" s="12" customFormat="1" ht="16.5" customHeight="1">
      <c r="B44" s="121" t="s">
        <v>417</v>
      </c>
      <c r="C44" s="121"/>
      <c r="D44" s="122"/>
      <c r="E44" s="122"/>
      <c r="F44" s="122"/>
      <c r="G44" s="122"/>
      <c r="H44" s="122"/>
      <c r="I44" s="122"/>
      <c r="J44" s="122"/>
      <c r="K44" s="117"/>
      <c r="L44" s="117"/>
      <c r="M44" s="117"/>
      <c r="N44" s="117"/>
      <c r="O44" s="117"/>
    </row>
    <row r="45" spans="2:15" s="12" customFormat="1" ht="16.5" customHeight="1">
      <c r="B45" s="235" t="s">
        <v>418</v>
      </c>
      <c r="C45" s="235"/>
      <c r="D45" s="235"/>
      <c r="E45" s="122"/>
      <c r="F45" s="122"/>
      <c r="G45" s="122"/>
      <c r="H45" s="122"/>
      <c r="I45" s="122"/>
      <c r="J45" s="122"/>
      <c r="K45" s="117"/>
      <c r="L45" s="117"/>
      <c r="M45" s="117"/>
      <c r="N45" s="117"/>
      <c r="O45" s="117"/>
    </row>
    <row r="46" spans="2:15" s="12" customFormat="1" ht="16.5" customHeight="1">
      <c r="B46" s="119" t="s">
        <v>419</v>
      </c>
      <c r="C46" s="119"/>
      <c r="D46" s="119"/>
      <c r="E46" s="130"/>
      <c r="F46" s="130"/>
      <c r="G46" s="117"/>
      <c r="H46" s="117"/>
      <c r="I46" s="122"/>
      <c r="J46" s="122"/>
      <c r="K46" s="117"/>
      <c r="L46" s="117"/>
      <c r="M46" s="117"/>
      <c r="N46" s="117"/>
      <c r="O46" s="117"/>
    </row>
    <row r="47" spans="2:15" s="12" customFormat="1" ht="16.5" customHeight="1">
      <c r="B47" s="450" t="s">
        <v>420</v>
      </c>
      <c r="C47" s="119"/>
      <c r="D47" s="119"/>
      <c r="E47" s="130"/>
      <c r="F47" s="130"/>
      <c r="G47" s="117"/>
      <c r="H47" s="117"/>
      <c r="I47" s="122"/>
      <c r="J47" s="122"/>
      <c r="K47" s="117"/>
      <c r="L47" s="117"/>
      <c r="M47" s="117"/>
      <c r="N47" s="117"/>
      <c r="O47" s="117"/>
    </row>
    <row r="48" spans="2:15" s="12" customFormat="1" ht="16.5" customHeight="1">
      <c r="B48" s="119" t="s">
        <v>421</v>
      </c>
      <c r="C48" s="119"/>
      <c r="D48" s="119"/>
      <c r="E48" s="122"/>
      <c r="F48" s="122"/>
      <c r="G48" s="122"/>
      <c r="H48" s="122"/>
      <c r="I48" s="122"/>
      <c r="J48" s="122"/>
      <c r="K48" s="117"/>
      <c r="L48" s="117"/>
      <c r="M48" s="117"/>
      <c r="N48" s="117"/>
      <c r="O48" s="117"/>
    </row>
    <row r="49" spans="2:15" s="12" customFormat="1" ht="16.5" customHeight="1">
      <c r="B49" s="119" t="s">
        <v>422</v>
      </c>
      <c r="C49" s="119"/>
      <c r="D49" s="119"/>
      <c r="E49" s="119"/>
      <c r="F49" s="122"/>
      <c r="G49" s="122"/>
      <c r="H49" s="122"/>
      <c r="I49" s="122"/>
      <c r="J49" s="122"/>
      <c r="K49" s="117"/>
      <c r="L49" s="117"/>
      <c r="M49" s="117"/>
      <c r="N49" s="117"/>
      <c r="O49" s="117"/>
    </row>
    <row r="50" spans="2:15" s="12" customFormat="1" ht="16.5" customHeight="1">
      <c r="B50" s="119" t="s">
        <v>423</v>
      </c>
      <c r="C50" s="119"/>
      <c r="D50" s="119"/>
      <c r="E50" s="119"/>
      <c r="F50" s="119"/>
      <c r="G50" s="119"/>
      <c r="H50" s="119"/>
      <c r="I50" s="119"/>
      <c r="J50" s="122"/>
      <c r="K50" s="117"/>
      <c r="L50" s="117"/>
      <c r="M50" s="117"/>
      <c r="N50" s="117"/>
      <c r="O50" s="117"/>
    </row>
    <row r="51" spans="2:15" s="12" customFormat="1" ht="16.5" customHeight="1">
      <c r="B51" s="119" t="s">
        <v>424</v>
      </c>
      <c r="C51" s="119"/>
      <c r="D51" s="102"/>
      <c r="E51" s="102"/>
      <c r="F51" s="102"/>
      <c r="G51" s="102"/>
      <c r="H51" s="102"/>
      <c r="I51" s="102"/>
      <c r="J51" s="102"/>
      <c r="K51" s="117"/>
      <c r="L51" s="117"/>
      <c r="M51" s="117"/>
      <c r="N51" s="117"/>
      <c r="O51" s="117"/>
    </row>
    <row r="52" spans="2:15" s="12" customFormat="1" ht="16.5" customHeight="1">
      <c r="B52" s="123" t="s">
        <v>235</v>
      </c>
      <c r="C52" s="123"/>
      <c r="D52" s="102"/>
      <c r="E52" s="102"/>
      <c r="F52" s="102"/>
      <c r="G52" s="102"/>
      <c r="H52" s="102"/>
      <c r="I52" s="102"/>
      <c r="J52" s="102"/>
      <c r="K52" s="117"/>
      <c r="L52" s="117"/>
      <c r="M52" s="117"/>
      <c r="N52" s="117"/>
      <c r="O52" s="117"/>
    </row>
    <row r="53" spans="2:15" s="12" customFormat="1" ht="16.5" customHeight="1">
      <c r="B53" s="124" t="s">
        <v>425</v>
      </c>
      <c r="C53" s="124"/>
      <c r="D53" s="102"/>
      <c r="E53" s="102"/>
      <c r="F53" s="102"/>
      <c r="G53" s="102"/>
      <c r="H53" s="102"/>
      <c r="I53" s="102"/>
      <c r="J53" s="102"/>
      <c r="K53" s="117"/>
      <c r="L53" s="117"/>
      <c r="M53" s="117"/>
      <c r="N53" s="117"/>
      <c r="O53" s="117"/>
    </row>
    <row r="54" spans="2:15" s="12" customFormat="1" ht="16.5" customHeight="1">
      <c r="B54" s="6"/>
      <c r="C54" s="6"/>
      <c r="D54" s="10"/>
      <c r="E54" s="10"/>
      <c r="F54" s="10"/>
      <c r="G54" s="10"/>
      <c r="H54" s="10"/>
      <c r="I54" s="10"/>
      <c r="J54" s="125"/>
    </row>
    <row r="55" spans="2:15" ht="16.5" customHeight="1">
      <c r="B55" s="126" t="s">
        <v>253</v>
      </c>
      <c r="C55" s="126"/>
      <c r="D55" s="127" t="s">
        <v>426</v>
      </c>
      <c r="E55" s="128"/>
      <c r="F55" s="128"/>
      <c r="G55" s="128"/>
      <c r="H55" s="128"/>
      <c r="I55" s="125"/>
    </row>
    <row r="56" spans="2:15" s="12" customFormat="1" ht="16.5" customHeight="1">
      <c r="B56" s="10"/>
      <c r="C56" s="10"/>
      <c r="D56" s="10"/>
      <c r="E56" s="10"/>
      <c r="F56" s="10"/>
      <c r="G56" s="10"/>
      <c r="H56" s="10"/>
      <c r="I56" s="10"/>
    </row>
    <row r="57" spans="2:15" s="12" customFormat="1" ht="16.5" customHeight="1">
      <c r="B57" s="127" t="s">
        <v>255</v>
      </c>
      <c r="C57" s="127"/>
      <c r="D57" s="117"/>
      <c r="E57" s="117"/>
      <c r="F57" s="117"/>
      <c r="G57" s="117"/>
      <c r="H57" s="117"/>
      <c r="I57" s="117"/>
      <c r="J57" s="117"/>
      <c r="K57" s="117"/>
      <c r="L57" s="117"/>
      <c r="M57" s="117"/>
      <c r="N57" s="117"/>
      <c r="O57" s="117"/>
    </row>
    <row r="58" spans="2:15" s="12" customFormat="1" ht="16.5" customHeight="1">
      <c r="B58" s="128" t="s">
        <v>256</v>
      </c>
      <c r="C58" s="128"/>
      <c r="D58" s="117"/>
      <c r="E58" s="117"/>
      <c r="F58" s="117"/>
      <c r="G58" s="117"/>
      <c r="H58" s="117"/>
      <c r="I58" s="117"/>
      <c r="J58" s="117"/>
      <c r="K58" s="117"/>
      <c r="L58" s="117"/>
      <c r="M58" s="117"/>
      <c r="N58" s="117"/>
      <c r="O58" s="117"/>
    </row>
    <row r="59" spans="2:15" s="12" customFormat="1" ht="16.5" customHeight="1">
      <c r="B59" s="128" t="s">
        <v>257</v>
      </c>
      <c r="C59" s="128"/>
      <c r="D59" s="117"/>
      <c r="E59" s="117"/>
      <c r="F59" s="117"/>
      <c r="G59" s="117"/>
      <c r="H59" s="117"/>
      <c r="I59" s="117"/>
      <c r="J59" s="117"/>
      <c r="K59" s="117"/>
      <c r="L59" s="117"/>
      <c r="M59" s="117"/>
      <c r="N59" s="117"/>
      <c r="O59" s="117"/>
    </row>
    <row r="60" spans="2:15" s="12" customFormat="1" ht="16.5" customHeight="1">
      <c r="B60" s="127"/>
      <c r="C60" s="127"/>
      <c r="D60" s="117"/>
      <c r="E60" s="117"/>
      <c r="F60" s="117"/>
      <c r="G60" s="117"/>
      <c r="H60" s="117"/>
      <c r="I60" s="117"/>
      <c r="J60" s="117"/>
      <c r="K60" s="117"/>
      <c r="L60" s="117"/>
      <c r="M60" s="117"/>
      <c r="N60" s="117"/>
      <c r="O60" s="117"/>
    </row>
    <row r="61" spans="2:15" s="12" customFormat="1" ht="16.5" customHeight="1">
      <c r="B61" s="129" t="s">
        <v>258</v>
      </c>
      <c r="C61" s="129"/>
      <c r="D61" s="117"/>
      <c r="E61" s="117"/>
      <c r="F61" s="117"/>
      <c r="G61" s="117"/>
      <c r="H61" s="117"/>
      <c r="I61" s="117"/>
      <c r="J61" s="117"/>
      <c r="K61" s="117"/>
      <c r="L61" s="117"/>
      <c r="M61" s="117"/>
      <c r="N61" s="117"/>
      <c r="O61" s="117"/>
    </row>
    <row r="62" spans="2:15" s="12" customFormat="1" ht="16.5" customHeight="1">
      <c r="B62" s="130" t="s">
        <v>259</v>
      </c>
      <c r="C62" s="130"/>
      <c r="D62" s="117"/>
      <c r="E62" s="117"/>
      <c r="F62" s="117"/>
      <c r="G62" s="117"/>
      <c r="H62" s="117"/>
      <c r="I62" s="117"/>
      <c r="J62" s="117"/>
      <c r="K62" s="117"/>
      <c r="L62" s="117"/>
      <c r="M62" s="117"/>
      <c r="N62" s="117"/>
      <c r="O62" s="117"/>
    </row>
    <row r="63" spans="2:15" s="12" customFormat="1" ht="16.5" customHeight="1">
      <c r="B63" s="131" t="s">
        <v>260</v>
      </c>
      <c r="C63" s="131"/>
      <c r="D63" s="117"/>
      <c r="E63" s="117"/>
      <c r="F63" s="117"/>
      <c r="G63" s="117"/>
      <c r="H63" s="117"/>
      <c r="I63" s="117"/>
      <c r="J63" s="117"/>
      <c r="K63" s="117"/>
      <c r="L63" s="117"/>
      <c r="M63" s="117"/>
      <c r="N63" s="117"/>
      <c r="O63" s="117"/>
    </row>
    <row r="64" spans="2:15" s="12" customFormat="1" ht="16.5" customHeight="1">
      <c r="B64" s="131"/>
      <c r="C64" s="131"/>
      <c r="D64" s="117"/>
      <c r="E64" s="117"/>
      <c r="F64" s="117"/>
      <c r="G64" s="117"/>
      <c r="H64" s="117"/>
      <c r="I64" s="117"/>
      <c r="J64" s="117"/>
      <c r="K64" s="117"/>
      <c r="L64" s="117"/>
      <c r="M64" s="117"/>
      <c r="N64" s="117"/>
      <c r="O64" s="117"/>
    </row>
    <row r="65" spans="2:15" s="12" customFormat="1" ht="16.5" customHeight="1">
      <c r="B65" s="131" t="s">
        <v>261</v>
      </c>
      <c r="C65" s="117"/>
      <c r="D65" s="117"/>
      <c r="E65" s="117"/>
      <c r="F65" s="117"/>
      <c r="G65" s="117"/>
      <c r="H65" s="117"/>
      <c r="I65" s="117"/>
      <c r="J65" s="117"/>
      <c r="K65" s="117"/>
      <c r="L65" s="117"/>
      <c r="M65" s="117"/>
      <c r="N65" s="117"/>
      <c r="O65" s="117"/>
    </row>
    <row r="66" spans="2:15" s="12" customFormat="1" ht="16.5" customHeight="1">
      <c r="B66" s="131" t="s">
        <v>262</v>
      </c>
      <c r="C66" s="126"/>
      <c r="D66" s="126"/>
      <c r="E66" s="117"/>
      <c r="F66" s="117"/>
      <c r="G66" s="117"/>
      <c r="H66" s="117"/>
      <c r="I66" s="117"/>
      <c r="J66" s="117"/>
      <c r="K66" s="117"/>
      <c r="L66" s="117"/>
      <c r="M66" s="117"/>
      <c r="N66" s="117"/>
      <c r="O66" s="117"/>
    </row>
    <row r="67" spans="2:15" s="12" customFormat="1" ht="16.5" customHeight="1">
      <c r="B67" s="131" t="s">
        <v>263</v>
      </c>
      <c r="C67" s="117"/>
      <c r="D67" s="117"/>
      <c r="E67" s="117"/>
      <c r="F67" s="117"/>
      <c r="G67" s="117"/>
      <c r="H67" s="117"/>
      <c r="I67" s="117"/>
      <c r="J67" s="117"/>
      <c r="K67" s="117"/>
      <c r="L67" s="117"/>
      <c r="M67" s="117"/>
      <c r="N67" s="117"/>
      <c r="O67" s="117"/>
    </row>
    <row r="68" spans="2:15" s="12" customFormat="1" ht="16.5" customHeight="1">
      <c r="B68" s="131"/>
      <c r="C68" s="117"/>
      <c r="D68" s="117"/>
      <c r="E68" s="117"/>
      <c r="F68" s="117"/>
      <c r="G68" s="117"/>
      <c r="H68" s="117"/>
      <c r="I68" s="117"/>
      <c r="J68" s="117"/>
      <c r="K68" s="117"/>
      <c r="L68" s="117"/>
      <c r="M68" s="117"/>
      <c r="N68" s="117"/>
      <c r="O68" s="117"/>
    </row>
    <row r="69" spans="2:15" s="12" customFormat="1" ht="16.5" customHeight="1">
      <c r="B69" s="124" t="s">
        <v>427</v>
      </c>
      <c r="C69" s="124"/>
      <c r="D69" s="117"/>
      <c r="E69" s="117"/>
      <c r="F69" s="117"/>
      <c r="G69" s="117"/>
      <c r="H69" s="117"/>
      <c r="I69" s="117"/>
      <c r="J69" s="117"/>
      <c r="K69" s="117"/>
      <c r="L69" s="117"/>
      <c r="M69" s="117"/>
      <c r="N69" s="117"/>
      <c r="O69" s="117"/>
    </row>
    <row r="70" spans="2:15" s="12" customFormat="1" ht="16.5" customHeight="1">
      <c r="B70" s="124" t="s">
        <v>428</v>
      </c>
      <c r="C70" s="109"/>
      <c r="D70" s="117"/>
      <c r="E70" s="117"/>
      <c r="F70" s="117"/>
      <c r="G70" s="117"/>
      <c r="H70" s="117"/>
      <c r="I70" s="117"/>
      <c r="J70" s="117"/>
      <c r="K70" s="117"/>
      <c r="L70" s="117"/>
      <c r="M70" s="117"/>
      <c r="N70" s="117"/>
      <c r="O70" s="117"/>
    </row>
    <row r="71" spans="2:15" s="12" customFormat="1" ht="16.5" customHeight="1" thickBot="1">
      <c r="B71" s="109"/>
      <c r="C71" s="109"/>
      <c r="D71" s="117"/>
      <c r="E71" s="117"/>
      <c r="F71" s="117"/>
      <c r="G71" s="117"/>
      <c r="H71" s="117"/>
      <c r="I71" s="117"/>
      <c r="J71" s="117"/>
      <c r="K71" s="117"/>
      <c r="L71" s="117"/>
      <c r="M71" s="117"/>
      <c r="N71" s="117"/>
      <c r="O71" s="117"/>
    </row>
    <row r="72" spans="2:15" s="12" customFormat="1" ht="16.5" customHeight="1">
      <c r="B72" s="132" t="s">
        <v>429</v>
      </c>
      <c r="C72" s="133"/>
      <c r="D72" s="134"/>
      <c r="E72" s="134"/>
      <c r="F72" s="134"/>
      <c r="G72" s="134"/>
      <c r="H72" s="135"/>
      <c r="I72" s="117"/>
      <c r="J72" s="117"/>
      <c r="K72" s="117"/>
      <c r="L72" s="117"/>
      <c r="M72" s="117"/>
      <c r="N72" s="117"/>
      <c r="O72" s="117"/>
    </row>
    <row r="73" spans="2:15" s="12" customFormat="1" ht="16.5" customHeight="1">
      <c r="B73" s="136" t="s">
        <v>430</v>
      </c>
      <c r="C73" s="109"/>
      <c r="D73" s="102"/>
      <c r="E73" s="102"/>
      <c r="F73" s="102"/>
      <c r="G73" s="102"/>
      <c r="H73" s="137"/>
      <c r="I73" s="102"/>
      <c r="J73" s="117"/>
      <c r="K73" s="117"/>
      <c r="L73" s="117"/>
      <c r="M73" s="117"/>
      <c r="N73" s="117"/>
      <c r="O73" s="117"/>
    </row>
    <row r="74" spans="2:15" s="12" customFormat="1" ht="16.5" customHeight="1">
      <c r="B74" s="136" t="s">
        <v>431</v>
      </c>
      <c r="C74" s="109"/>
      <c r="D74" s="102"/>
      <c r="E74" s="102"/>
      <c r="F74" s="102"/>
      <c r="G74" s="102"/>
      <c r="H74" s="137"/>
      <c r="I74" s="102"/>
      <c r="J74" s="117"/>
      <c r="K74" s="117"/>
      <c r="L74" s="117"/>
      <c r="M74" s="117"/>
      <c r="N74" s="117"/>
      <c r="O74" s="117"/>
    </row>
    <row r="75" spans="2:15" s="12" customFormat="1" ht="16.5" customHeight="1">
      <c r="B75" s="136" t="s">
        <v>432</v>
      </c>
      <c r="C75" s="109"/>
      <c r="D75" s="138"/>
      <c r="E75" s="102"/>
      <c r="F75" s="102"/>
      <c r="G75" s="102"/>
      <c r="H75" s="137"/>
      <c r="I75" s="102"/>
      <c r="J75" s="117"/>
      <c r="K75" s="117"/>
      <c r="L75" s="117"/>
      <c r="M75" s="117"/>
      <c r="N75" s="117"/>
      <c r="O75" s="117"/>
    </row>
    <row r="76" spans="2:15" s="12" customFormat="1" ht="16.5" customHeight="1">
      <c r="B76" s="464" t="s">
        <v>240</v>
      </c>
      <c r="C76" s="226"/>
      <c r="D76" s="113"/>
      <c r="E76" s="113"/>
      <c r="F76" s="113"/>
      <c r="G76" s="113"/>
      <c r="H76" s="468"/>
      <c r="I76" s="233"/>
      <c r="J76" s="233"/>
      <c r="K76" s="117"/>
      <c r="L76" s="117"/>
      <c r="M76" s="117"/>
      <c r="N76" s="117"/>
      <c r="O76" s="117"/>
    </row>
    <row r="77" spans="2:15" s="12" customFormat="1" ht="16.5" customHeight="1">
      <c r="B77" s="466" t="s">
        <v>433</v>
      </c>
      <c r="C77" s="467"/>
      <c r="D77" s="138"/>
      <c r="E77" s="102"/>
      <c r="F77" s="102"/>
      <c r="G77" s="102"/>
      <c r="H77" s="137"/>
      <c r="I77" s="102"/>
      <c r="J77" s="117"/>
      <c r="K77" s="117"/>
      <c r="L77" s="117"/>
      <c r="M77" s="117"/>
      <c r="N77" s="117"/>
      <c r="O77" s="117"/>
    </row>
    <row r="78" spans="2:15" s="12" customFormat="1" ht="16.5" customHeight="1" thickBot="1">
      <c r="B78" s="140" t="s">
        <v>434</v>
      </c>
      <c r="C78" s="141"/>
      <c r="D78" s="142"/>
      <c r="E78" s="143"/>
      <c r="F78" s="143"/>
      <c r="G78" s="143"/>
      <c r="H78" s="144"/>
      <c r="I78" s="102"/>
      <c r="J78" s="117"/>
      <c r="K78" s="117"/>
      <c r="L78" s="117"/>
      <c r="M78" s="117"/>
      <c r="N78" s="117"/>
      <c r="O78" s="117"/>
    </row>
    <row r="79" spans="2:15" s="12" customFormat="1" ht="16.5" customHeight="1">
      <c r="B79" s="109"/>
      <c r="C79" s="109"/>
      <c r="D79" s="138"/>
      <c r="E79" s="102"/>
      <c r="F79" s="102"/>
      <c r="G79" s="102"/>
      <c r="H79" s="102"/>
      <c r="I79" s="102"/>
      <c r="J79" s="117"/>
      <c r="K79" s="117"/>
      <c r="L79" s="117"/>
      <c r="M79" s="117"/>
      <c r="N79" s="117"/>
      <c r="O79" s="117"/>
    </row>
    <row r="80" spans="2:15" s="12" customFormat="1" ht="16.5" customHeight="1">
      <c r="B80" s="145" t="s">
        <v>251</v>
      </c>
      <c r="C80" s="145"/>
      <c r="D80" s="126"/>
      <c r="E80" s="117"/>
      <c r="F80" s="117"/>
      <c r="G80" s="117"/>
      <c r="H80" s="117"/>
      <c r="I80" s="117"/>
      <c r="J80" s="117"/>
      <c r="K80" s="117"/>
      <c r="L80" s="117"/>
      <c r="M80" s="117"/>
      <c r="N80" s="117"/>
      <c r="O80" s="117"/>
    </row>
    <row r="81" spans="2:15" s="12" customFormat="1" ht="16.5" customHeight="1">
      <c r="B81" s="146" t="s">
        <v>252</v>
      </c>
      <c r="C81" s="117"/>
      <c r="D81" s="117"/>
      <c r="E81" s="117"/>
      <c r="F81" s="117"/>
      <c r="G81" s="117"/>
      <c r="H81" s="117"/>
      <c r="I81" s="117"/>
      <c r="J81" s="117"/>
      <c r="K81" s="117"/>
      <c r="L81" s="117"/>
      <c r="M81" s="117"/>
      <c r="N81" s="117"/>
      <c r="O81" s="117"/>
    </row>
    <row r="82" spans="2:15" s="12" customFormat="1" ht="16.5" customHeight="1">
      <c r="B82" s="147"/>
      <c r="C82" s="147"/>
      <c r="D82" s="148"/>
      <c r="E82" s="149"/>
      <c r="F82" s="102"/>
      <c r="G82" s="102"/>
      <c r="H82" s="102"/>
      <c r="I82" s="102"/>
      <c r="J82" s="117"/>
      <c r="K82" s="117"/>
      <c r="L82" s="117"/>
      <c r="M82" s="117"/>
      <c r="N82" s="117"/>
      <c r="O82" s="117"/>
    </row>
    <row r="83" spans="2:15" customFormat="1" ht="16.5" customHeight="1">
      <c r="B83" s="150" t="s">
        <v>272</v>
      </c>
      <c r="C83" s="150"/>
      <c r="D83" s="151"/>
      <c r="E83" s="151"/>
      <c r="F83" s="151"/>
      <c r="G83" s="151"/>
      <c r="H83" s="151"/>
      <c r="I83" s="151"/>
      <c r="J83" s="151"/>
      <c r="K83" s="151"/>
      <c r="L83" s="151"/>
      <c r="M83" s="151"/>
      <c r="N83" s="151"/>
      <c r="O83" s="151"/>
    </row>
    <row r="84" spans="2:15" customFormat="1" ht="16.5" customHeight="1">
      <c r="B84" s="152" t="s">
        <v>273</v>
      </c>
      <c r="C84" s="152"/>
      <c r="D84" s="151"/>
      <c r="E84" s="151"/>
      <c r="F84" s="151"/>
      <c r="G84" s="151"/>
      <c r="H84" s="151"/>
      <c r="I84" s="151"/>
      <c r="J84" s="151"/>
      <c r="K84" s="151"/>
      <c r="L84" s="151"/>
      <c r="M84" s="151"/>
      <c r="N84" s="151"/>
      <c r="O84" s="151"/>
    </row>
    <row r="85" spans="2:15" customFormat="1" ht="16.5" customHeight="1">
      <c r="B85" s="152" t="s">
        <v>435</v>
      </c>
      <c r="C85" s="152"/>
      <c r="D85" s="151"/>
      <c r="E85" s="151"/>
      <c r="F85" s="151"/>
      <c r="G85" s="151"/>
      <c r="H85" s="151"/>
      <c r="I85" s="151"/>
      <c r="J85" s="151"/>
      <c r="K85" s="151"/>
      <c r="L85" s="151"/>
      <c r="M85" s="151"/>
      <c r="N85" s="151"/>
      <c r="O85" s="151"/>
    </row>
    <row r="86" spans="2:15" customFormat="1" ht="16.5" customHeight="1">
      <c r="B86" s="153" t="s">
        <v>436</v>
      </c>
      <c r="C86" s="153"/>
      <c r="D86" s="151"/>
      <c r="E86" s="151"/>
      <c r="F86" s="151"/>
      <c r="G86" s="151"/>
      <c r="H86" s="151"/>
      <c r="I86" s="151"/>
      <c r="J86" s="151"/>
      <c r="K86" s="151"/>
      <c r="L86" s="151"/>
      <c r="M86" s="151"/>
      <c r="N86" s="151"/>
      <c r="O86" s="151"/>
    </row>
    <row r="87" spans="2:15" customFormat="1" ht="16.5" customHeight="1">
      <c r="B87" s="152" t="s">
        <v>276</v>
      </c>
      <c r="C87" s="152"/>
      <c r="D87" s="151"/>
      <c r="E87" s="151"/>
      <c r="F87" s="151"/>
      <c r="G87" s="151"/>
      <c r="H87" s="151"/>
      <c r="I87" s="151"/>
      <c r="J87" s="151"/>
      <c r="K87" s="151"/>
      <c r="L87" s="151"/>
      <c r="M87" s="151"/>
      <c r="N87" s="151"/>
      <c r="O87" s="151"/>
    </row>
    <row r="88" spans="2:15" customFormat="1" ht="16.5" customHeight="1">
      <c r="B88" s="152" t="s">
        <v>277</v>
      </c>
      <c r="C88" s="152"/>
      <c r="D88" s="151"/>
      <c r="E88" s="151"/>
      <c r="F88" s="151"/>
      <c r="G88" s="151"/>
      <c r="H88" s="151"/>
      <c r="I88" s="151"/>
      <c r="J88" s="151"/>
      <c r="K88" s="151"/>
      <c r="L88" s="151"/>
      <c r="M88" s="151"/>
      <c r="N88" s="151"/>
      <c r="O88" s="151"/>
    </row>
    <row r="89" spans="2:15" customFormat="1" ht="16.5" customHeight="1">
      <c r="B89" s="154" t="s">
        <v>278</v>
      </c>
      <c r="C89" s="154"/>
      <c r="D89" s="151"/>
      <c r="E89" s="151"/>
      <c r="F89" s="151"/>
      <c r="G89" s="151"/>
      <c r="H89" s="151"/>
      <c r="I89" s="151"/>
      <c r="J89" s="151"/>
      <c r="K89" s="151"/>
      <c r="L89" s="151"/>
      <c r="M89" s="151"/>
      <c r="N89" s="151"/>
      <c r="O89" s="151"/>
    </row>
    <row r="90" spans="2:15" customFormat="1" ht="16.5" customHeight="1">
      <c r="B90" s="155" t="s">
        <v>228</v>
      </c>
      <c r="C90" s="155"/>
      <c r="D90" s="151"/>
      <c r="E90" s="151"/>
      <c r="F90" s="151"/>
      <c r="G90" s="151"/>
      <c r="H90" s="151"/>
      <c r="I90" s="151"/>
      <c r="J90" s="151"/>
      <c r="K90" s="151"/>
      <c r="L90" s="151"/>
      <c r="M90" s="151"/>
      <c r="N90" s="151"/>
      <c r="O90" s="151"/>
    </row>
    <row r="91" spans="2:15" customFormat="1" ht="16.5" customHeight="1">
      <c r="B91" s="156" t="s">
        <v>279</v>
      </c>
      <c r="C91" s="156"/>
      <c r="D91" s="151"/>
      <c r="E91" s="151"/>
      <c r="F91" s="151"/>
      <c r="G91" s="151"/>
      <c r="H91" s="151"/>
      <c r="I91" s="151"/>
      <c r="J91" s="151"/>
      <c r="K91" s="151"/>
      <c r="L91" s="151"/>
      <c r="M91" s="151"/>
      <c r="N91" s="151"/>
      <c r="O91" s="151"/>
    </row>
    <row r="92" spans="2:15" customFormat="1" ht="16.5" customHeight="1">
      <c r="B92" s="152" t="s">
        <v>280</v>
      </c>
      <c r="C92" s="152"/>
      <c r="D92" s="151"/>
      <c r="E92" s="151"/>
      <c r="F92" s="151"/>
      <c r="G92" s="151"/>
      <c r="H92" s="151"/>
      <c r="I92" s="151"/>
      <c r="J92" s="151"/>
      <c r="K92" s="151"/>
      <c r="L92" s="151"/>
      <c r="M92" s="151"/>
      <c r="N92" s="151"/>
      <c r="O92" s="151"/>
    </row>
    <row r="93" spans="2:15" customFormat="1" ht="16.5" customHeight="1">
      <c r="B93" s="152" t="s">
        <v>281</v>
      </c>
      <c r="C93" s="152"/>
      <c r="D93" s="151"/>
      <c r="E93" s="151"/>
      <c r="F93" s="151"/>
      <c r="G93" s="151"/>
      <c r="H93" s="151"/>
      <c r="I93" s="151"/>
      <c r="J93" s="151"/>
      <c r="K93" s="151"/>
      <c r="L93" s="151"/>
      <c r="M93" s="151"/>
      <c r="N93" s="151"/>
      <c r="O93" s="151"/>
    </row>
    <row r="94" spans="2:15" customFormat="1" ht="16.5" customHeight="1">
      <c r="B94" s="157" t="s">
        <v>437</v>
      </c>
      <c r="C94" s="157"/>
      <c r="D94" s="151"/>
      <c r="E94" s="151"/>
      <c r="F94" s="151"/>
      <c r="G94" s="151"/>
      <c r="H94" s="151"/>
      <c r="I94" s="151"/>
      <c r="J94" s="151"/>
      <c r="K94" s="151"/>
      <c r="L94" s="151"/>
      <c r="M94" s="151"/>
      <c r="N94" s="151"/>
      <c r="O94" s="151"/>
    </row>
    <row r="95" spans="2:15" customFormat="1" ht="16.5" customHeight="1">
      <c r="B95" s="157" t="s">
        <v>438</v>
      </c>
      <c r="C95" s="157"/>
      <c r="D95" s="151"/>
      <c r="E95" s="151"/>
      <c r="F95" s="151"/>
      <c r="G95" s="151"/>
      <c r="H95" s="151"/>
      <c r="I95" s="151"/>
      <c r="J95" s="151"/>
      <c r="K95" s="151"/>
      <c r="L95" s="151"/>
      <c r="M95" s="151"/>
      <c r="N95" s="151"/>
      <c r="O95" s="151"/>
    </row>
    <row r="96" spans="2:15" customFormat="1" ht="16.5" customHeight="1">
      <c r="B96" s="146" t="s">
        <v>284</v>
      </c>
      <c r="C96" s="146"/>
      <c r="D96" s="151"/>
      <c r="E96" s="151"/>
      <c r="F96" s="151"/>
      <c r="G96" s="151"/>
      <c r="H96" s="151"/>
      <c r="I96" s="151"/>
      <c r="J96" s="151"/>
      <c r="K96" s="151"/>
      <c r="L96" s="151"/>
      <c r="M96" s="151"/>
      <c r="N96" s="151"/>
      <c r="O96" s="151"/>
    </row>
    <row r="97" spans="2:17" customFormat="1" ht="16.5" customHeight="1">
      <c r="B97" s="146" t="s">
        <v>285</v>
      </c>
      <c r="C97" s="146"/>
      <c r="D97" s="151"/>
      <c r="E97" s="151"/>
      <c r="F97" s="151"/>
      <c r="G97" s="151"/>
      <c r="H97" s="151"/>
      <c r="I97" s="151"/>
      <c r="J97" s="151"/>
      <c r="K97" s="151"/>
      <c r="L97" s="151"/>
      <c r="M97" s="151"/>
      <c r="N97" s="151"/>
      <c r="O97" s="151"/>
    </row>
    <row r="98" spans="2:17" customFormat="1" ht="16.5" customHeight="1">
      <c r="B98" s="117" t="s">
        <v>286</v>
      </c>
      <c r="C98" s="117"/>
      <c r="D98" s="151"/>
      <c r="E98" s="151"/>
      <c r="F98" s="151"/>
      <c r="G98" s="151"/>
      <c r="H98" s="151"/>
      <c r="I98" s="151"/>
      <c r="J98" s="151"/>
      <c r="K98" s="151"/>
      <c r="L98" s="151"/>
      <c r="M98" s="151"/>
      <c r="N98" s="151"/>
      <c r="O98" s="151"/>
    </row>
    <row r="99" spans="2:17" customFormat="1" ht="16.5" customHeight="1">
      <c r="B99" s="152" t="s">
        <v>287</v>
      </c>
      <c r="C99" s="152"/>
      <c r="D99" s="151"/>
      <c r="E99" s="151"/>
      <c r="F99" s="151"/>
      <c r="G99" s="151"/>
      <c r="H99" s="151"/>
      <c r="I99" s="151"/>
      <c r="J99" s="151"/>
      <c r="K99" s="151"/>
      <c r="L99" s="151"/>
      <c r="M99" s="151"/>
      <c r="N99" s="151"/>
      <c r="O99" s="151"/>
    </row>
    <row r="100" spans="2:17" customFormat="1" ht="16.5" customHeight="1">
      <c r="B100" s="158" t="s">
        <v>288</v>
      </c>
      <c r="C100" s="158"/>
      <c r="D100" s="151"/>
      <c r="E100" s="151"/>
      <c r="F100" s="151"/>
      <c r="G100" s="151"/>
      <c r="H100" s="151"/>
      <c r="I100" s="151"/>
      <c r="J100" s="151"/>
      <c r="K100" s="151"/>
      <c r="L100" s="151"/>
      <c r="M100" s="151"/>
      <c r="N100" s="151"/>
      <c r="O100" s="151"/>
    </row>
    <row r="101" spans="2:17" customFormat="1" ht="16.5" customHeight="1">
      <c r="B101" s="159" t="s">
        <v>289</v>
      </c>
      <c r="C101" s="159"/>
      <c r="D101" s="151"/>
      <c r="E101" s="151"/>
      <c r="F101" s="151"/>
      <c r="G101" s="151"/>
      <c r="H101" s="151"/>
      <c r="I101" s="151"/>
      <c r="J101" s="151"/>
      <c r="K101" s="151"/>
      <c r="L101" s="151"/>
      <c r="M101" s="151"/>
      <c r="N101" s="151"/>
      <c r="O101" s="151"/>
    </row>
    <row r="102" spans="2:17" customFormat="1" ht="16.5" customHeight="1">
      <c r="B102" s="160" t="s">
        <v>290</v>
      </c>
      <c r="C102" s="160"/>
      <c r="D102" s="151"/>
      <c r="E102" s="151"/>
      <c r="F102" s="151"/>
      <c r="G102" s="151"/>
      <c r="H102" s="151"/>
      <c r="I102" s="151"/>
      <c r="J102" s="151"/>
      <c r="K102" s="151"/>
      <c r="L102" s="151"/>
      <c r="M102" s="151"/>
      <c r="N102" s="151"/>
      <c r="O102" s="151"/>
    </row>
    <row r="103" spans="2:17" customFormat="1" ht="16.5" customHeight="1">
      <c r="B103" s="161" t="s">
        <v>291</v>
      </c>
      <c r="C103" s="161"/>
      <c r="D103" s="151"/>
      <c r="E103" s="151"/>
      <c r="F103" s="151"/>
      <c r="G103" s="151"/>
      <c r="H103" s="151"/>
      <c r="I103" s="151"/>
      <c r="J103" s="151"/>
      <c r="K103" s="151"/>
      <c r="L103" s="151"/>
      <c r="M103" s="151"/>
      <c r="N103" s="151"/>
      <c r="O103" s="151"/>
    </row>
    <row r="104" spans="2:17" customFormat="1" ht="16.5" customHeight="1">
      <c r="B104" s="161"/>
      <c r="C104" s="161"/>
      <c r="D104" s="151"/>
      <c r="E104" s="151"/>
      <c r="F104" s="151"/>
      <c r="G104" s="151"/>
      <c r="H104" s="151"/>
      <c r="I104" s="151"/>
      <c r="J104" s="151"/>
      <c r="K104" s="151"/>
      <c r="L104" s="151"/>
      <c r="M104" s="151"/>
      <c r="N104" s="151"/>
      <c r="O104" s="151"/>
    </row>
    <row r="105" spans="2:17" customFormat="1" ht="16.5" customHeight="1">
      <c r="B105" s="514" t="s">
        <v>292</v>
      </c>
      <c r="C105" s="514"/>
      <c r="D105" s="514"/>
      <c r="E105" s="514"/>
      <c r="F105" s="514"/>
      <c r="G105" s="514"/>
      <c r="H105" s="514"/>
      <c r="I105" s="514"/>
      <c r="J105" s="514"/>
      <c r="K105" s="514"/>
      <c r="L105" s="514"/>
      <c r="M105" s="514"/>
      <c r="N105" s="514"/>
      <c r="O105" s="514"/>
      <c r="P105" s="514"/>
      <c r="Q105" s="514"/>
    </row>
    <row r="106" spans="2:17" s="3" customFormat="1" ht="12.75">
      <c r="B106" s="162"/>
      <c r="C106" s="162"/>
      <c r="D106" s="151"/>
      <c r="E106" s="151"/>
      <c r="F106" s="151"/>
      <c r="G106" s="151"/>
      <c r="H106" s="151"/>
      <c r="I106" s="151"/>
      <c r="J106" s="163"/>
      <c r="K106" s="164"/>
      <c r="L106" s="163"/>
      <c r="M106" s="163"/>
      <c r="N106" s="163"/>
      <c r="O106" s="163"/>
    </row>
    <row r="107" spans="2:17" ht="16.5" customHeight="1">
      <c r="B107" s="165" t="s">
        <v>293</v>
      </c>
      <c r="C107" s="165"/>
      <c r="D107" s="163"/>
      <c r="E107" s="163"/>
      <c r="F107" s="163"/>
      <c r="G107" s="163"/>
      <c r="H107" s="163"/>
      <c r="I107" s="163"/>
      <c r="J107" s="102"/>
      <c r="K107" s="166"/>
      <c r="L107" s="102"/>
      <c r="M107" s="102"/>
      <c r="N107" s="102"/>
      <c r="O107" s="102"/>
    </row>
    <row r="108" spans="2:17" ht="16.5" customHeight="1">
      <c r="B108" s="102"/>
      <c r="C108" s="102"/>
      <c r="D108" s="102"/>
      <c r="E108" s="102"/>
      <c r="F108" s="102"/>
      <c r="G108" s="102"/>
      <c r="H108" s="102"/>
      <c r="I108" s="102"/>
      <c r="J108" s="102"/>
      <c r="K108" s="166"/>
      <c r="L108" s="102"/>
      <c r="M108" s="102"/>
      <c r="N108" s="102"/>
      <c r="O108" s="102"/>
    </row>
    <row r="109" spans="2:17" ht="16.5" customHeight="1">
      <c r="B109" s="102"/>
      <c r="C109" s="102"/>
      <c r="D109" s="102"/>
      <c r="E109" s="102"/>
      <c r="F109" s="102"/>
      <c r="G109" s="102"/>
      <c r="H109" s="102"/>
      <c r="I109" s="102"/>
      <c r="J109" s="102"/>
      <c r="K109" s="166"/>
      <c r="L109" s="102"/>
      <c r="M109" s="102"/>
      <c r="N109" s="102"/>
      <c r="O109" s="102"/>
    </row>
    <row r="110" spans="2:17" ht="16.5" customHeight="1">
      <c r="B110" s="102"/>
      <c r="C110" s="102"/>
      <c r="D110" s="102"/>
      <c r="E110" s="102"/>
      <c r="F110" s="102"/>
      <c r="G110" s="102"/>
      <c r="H110" s="102"/>
      <c r="I110" s="102"/>
      <c r="J110" s="102"/>
      <c r="K110" s="166"/>
      <c r="L110" s="102"/>
      <c r="M110" s="102"/>
      <c r="N110" s="102"/>
      <c r="O110" s="102"/>
    </row>
    <row r="111" spans="2:17" ht="16.5" customHeight="1">
      <c r="B111" s="102"/>
      <c r="C111" s="102"/>
      <c r="D111" s="102"/>
      <c r="E111" s="102"/>
      <c r="F111" s="102"/>
      <c r="G111" s="102"/>
      <c r="H111" s="102"/>
      <c r="I111" s="102"/>
      <c r="J111" s="102"/>
      <c r="K111" s="166"/>
      <c r="L111" s="102"/>
      <c r="M111" s="102"/>
      <c r="N111" s="102"/>
      <c r="O111" s="102"/>
    </row>
  </sheetData>
  <mergeCells count="13">
    <mergeCell ref="L16:O16"/>
    <mergeCell ref="Q16:T16"/>
    <mergeCell ref="V16:V17"/>
    <mergeCell ref="W16:W17"/>
    <mergeCell ref="B105:Q105"/>
    <mergeCell ref="B3:J3"/>
    <mergeCell ref="D4:J4"/>
    <mergeCell ref="D5:J5"/>
    <mergeCell ref="B16:B17"/>
    <mergeCell ref="C16:C17"/>
    <mergeCell ref="D16:D17"/>
    <mergeCell ref="E16:E17"/>
    <mergeCell ref="G16:J16"/>
  </mergeCells>
  <hyperlinks>
    <hyperlink ref="B107" location="OCEANIA!A1" display="BACK TO TOP" xr:uid="{8F26A4F3-BEF7-4E48-8E31-F95A488EC067}"/>
    <hyperlink ref="M9" r:id="rId1" xr:uid="{66D23BF2-CEBF-40BC-B048-4AF5784FF0A0}"/>
    <hyperlink ref="M11" r:id="rId2" xr:uid="{37AEDB66-79CC-4763-80B4-22480650C546}"/>
    <hyperlink ref="B93:K93" r:id="rId3" display="LINK - Local charges/conditions listed on our homepage coscoshipping.de" xr:uid="{53041C85-2FBE-486E-AB76-A0664AC56D91}"/>
    <hyperlink ref="B103" r:id="rId4" xr:uid="{9E13B60B-9702-4CEE-8EA8-FB30C463AA9A}"/>
    <hyperlink ref="B101" r:id="rId5" xr:uid="{AC332FCA-F319-4267-895B-3375C600AD3C}"/>
    <hyperlink ref="B94:E94" r:id="rId6" display="LINK - Local charges/conditions listed on our homepage coscoshipping.de" xr:uid="{F1033ED6-2777-4E37-B6FC-D82EDEF0304D}"/>
    <hyperlink ref="B94" r:id="rId7" xr:uid="{C677BAA8-B097-493A-AEBF-BD49ACB84F94}"/>
    <hyperlink ref="B95" r:id="rId8" xr:uid="{90458A51-71C3-4649-BC71-D71024906EA3}"/>
    <hyperlink ref="B96" r:id="rId9" display="https://world.lines.coscoshipping.com/spain/en/services/barcelonaschedules/1/1" xr:uid="{F0B846C3-A6A8-4880-BEA7-007351ED0C37}"/>
    <hyperlink ref="B97" r:id="rId10" xr:uid="{0FD57B41-AEBA-4883-9507-F853927B0C0F}"/>
    <hyperlink ref="B89" r:id="rId11" display="   Demurrage/detention does not include storage at terminal, please click here to check our standard free time at destinations LINK" xr:uid="{24447AFF-F325-41A6-BCDF-A54F6C3EE796}"/>
    <hyperlink ref="B91:E91" r:id="rId12" display="Local charges/conditions listed on our homepage coscoshipping.es LINK" xr:uid="{B65B24B7-1518-4983-9E04-235482122F64}"/>
    <hyperlink ref="B90" r:id="rId13" xr:uid="{1C047A4F-10C4-43C2-9C02-A4C9550DC573}"/>
    <hyperlink ref="B38:I38" r:id="rId14" display="8. Please click here to check our standard free time tariff at destinations." xr:uid="{521772A4-A746-48C4-B0D6-B5415D569300}"/>
    <hyperlink ref="B62" r:id="rId15" display="https://apc01.safelinks.protection.outlook.com/?url=http%3A%2F%2Fpkapp.pka.gov.my%2Fdg%2Funno.php%3Funno%3D3462%26Search%3DSearch&amp;data=05%7C01%7Candreas.betzold%40coscoshipping.de%7C354962dd5b0546dcdcc808da546321e5%7Cff308fd09421454ab8b34d36252ab3a3%7C0%7C0%7C637915082001854931%7CUnknown%7CTWFpbGZsb3d8eyJWIjoiMC4wLjAwMDAiLCJQIjoiV2luMzIiLCJBTiI6Ik1haWwiLCJXVCI6Mn0%3D%7C3000%7C%7C%7C&amp;sdata=WAkuVEoe4TB6lA4kKiJ7ga2M1HAePb22ISdBIXuNsKU%3D&amp;reserved=0" xr:uid="{9F99111D-6B87-4585-A3B1-383BE825D7B0}"/>
    <hyperlink ref="B46" r:id="rId16" tooltip="https://lines.coscoshipping.com/home/helpcenter/business/serviceschedule" display="https://lines.coscoshipping.com/home/HelpCenter/business/ServiceSchedule" xr:uid="{723F25A9-635C-483B-A390-197F6F4FDBD5}"/>
    <hyperlink ref="B47" r:id="rId17" tooltip="https://lines.coscoshipping.com/home/helpcenter/business/serviceschedule" display="https://lines.coscoshipping.com/home/HelpCenter/business/ServiceSchedule" xr:uid="{26CE6248-FEF1-4E28-999A-4612CF1D88A9}"/>
  </hyperlinks>
  <pageMargins left="0.7" right="0.7" top="0.75" bottom="0.75" header="0.3" footer="0.3"/>
  <pageSetup paperSize="9" orientation="portrait" verticalDpi="300" r:id="rId18"/>
  <drawing r:id="rId1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247CE-ECAA-483F-80ED-B43AAF5D9AF2}">
  <dimension ref="A2:CB76"/>
  <sheetViews>
    <sheetView workbookViewId="0">
      <selection activeCell="O39" sqref="O39"/>
    </sheetView>
  </sheetViews>
  <sheetFormatPr baseColWidth="10" defaultColWidth="11.42578125" defaultRowHeight="11.25"/>
  <cols>
    <col min="1" max="1" width="6.140625" style="2" customWidth="1"/>
    <col min="2" max="2" width="22.42578125" style="10" customWidth="1"/>
    <col min="3" max="3" width="72.7109375" style="10" bestFit="1" customWidth="1"/>
    <col min="4" max="4" width="23" style="10" customWidth="1"/>
    <col min="5" max="5" width="0.42578125" style="10" customWidth="1"/>
    <col min="6" max="6" width="8.140625" style="10" customWidth="1"/>
    <col min="7" max="9" width="11.85546875" style="10" customWidth="1"/>
    <col min="10" max="10" width="9.7109375" style="10" bestFit="1" customWidth="1"/>
    <col min="11" max="11" width="1.85546875" style="10" customWidth="1"/>
    <col min="12" max="12" width="9.7109375" style="10" customWidth="1"/>
    <col min="13" max="14" width="11.85546875" style="10" customWidth="1"/>
    <col min="15" max="15" width="9.5703125" style="10" bestFit="1" customWidth="1"/>
    <col min="16" max="16" width="1.5703125" style="10" customWidth="1"/>
    <col min="17" max="19" width="11.85546875" style="10" customWidth="1"/>
    <col min="20" max="20" width="42.28515625" style="10" bestFit="1" customWidth="1"/>
    <col min="21" max="21" width="1.5703125" style="10" customWidth="1"/>
    <col min="22" max="22" width="26.5703125" style="3" customWidth="1"/>
    <col min="23" max="80" width="11.42578125" style="3"/>
    <col min="81" max="16384" width="11.42578125" style="19"/>
  </cols>
  <sheetData>
    <row r="2" spans="2:12" s="12" customFormat="1" ht="16.5" customHeight="1">
      <c r="B2" s="10"/>
      <c r="C2" s="10"/>
      <c r="D2" s="10"/>
      <c r="E2" s="10"/>
      <c r="F2" s="10"/>
      <c r="G2" s="11"/>
      <c r="H2" s="11"/>
      <c r="I2" s="11"/>
      <c r="J2" s="11"/>
      <c r="K2" s="13" t="s">
        <v>382</v>
      </c>
      <c r="L2" s="13"/>
    </row>
    <row r="3" spans="2:12" s="12" customFormat="1" ht="16.5" customHeight="1">
      <c r="B3" s="42"/>
      <c r="C3" s="43" t="s">
        <v>439</v>
      </c>
      <c r="D3" s="44"/>
      <c r="E3" s="44"/>
      <c r="F3" s="44"/>
      <c r="G3" s="44"/>
      <c r="H3" s="44"/>
      <c r="I3" s="45"/>
      <c r="J3" s="13"/>
      <c r="K3" s="13"/>
      <c r="L3" s="13"/>
    </row>
    <row r="4" spans="2:12" s="12" customFormat="1" ht="16.5" customHeight="1">
      <c r="B4" s="42" t="s">
        <v>40</v>
      </c>
      <c r="C4" s="561" t="s">
        <v>440</v>
      </c>
      <c r="D4" s="561"/>
      <c r="E4" s="561"/>
      <c r="F4" s="561"/>
      <c r="G4" s="561"/>
      <c r="H4" s="561"/>
      <c r="I4" s="561"/>
      <c r="J4" s="562"/>
      <c r="K4" s="13"/>
      <c r="L4" s="13"/>
    </row>
    <row r="5" spans="2:12" s="12" customFormat="1" ht="25.15" customHeight="1">
      <c r="B5" s="42" t="s">
        <v>42</v>
      </c>
      <c r="C5" s="480" t="s">
        <v>43</v>
      </c>
      <c r="D5" s="481"/>
      <c r="E5" s="481"/>
      <c r="F5" s="481"/>
      <c r="G5" s="481"/>
      <c r="H5" s="481"/>
      <c r="I5" s="482"/>
      <c r="J5" s="13"/>
      <c r="K5" s="13"/>
      <c r="L5" s="13"/>
    </row>
    <row r="6" spans="2:12" s="12" customFormat="1" ht="16.5" customHeight="1">
      <c r="B6" s="23" t="s">
        <v>44</v>
      </c>
      <c r="C6" s="14"/>
      <c r="D6" s="14"/>
      <c r="E6" s="22"/>
      <c r="F6" s="15"/>
      <c r="G6" s="13"/>
      <c r="H6" s="13"/>
      <c r="I6" s="13"/>
      <c r="J6" s="13"/>
      <c r="K6" s="13"/>
      <c r="L6" s="13"/>
    </row>
    <row r="7" spans="2:12" s="12" customFormat="1" ht="16.5" customHeight="1">
      <c r="B7" s="23"/>
      <c r="C7" s="14"/>
      <c r="D7" s="14"/>
      <c r="E7" s="22"/>
      <c r="F7" s="15"/>
      <c r="G7" s="13"/>
      <c r="H7" s="13"/>
      <c r="I7" s="13"/>
      <c r="J7" s="21"/>
      <c r="K7" s="13"/>
      <c r="L7" s="13"/>
    </row>
    <row r="8" spans="2:12" s="12" customFormat="1" ht="16.5" customHeight="1">
      <c r="B8" s="31"/>
      <c r="C8" s="31"/>
      <c r="D8" s="31"/>
      <c r="E8" s="32"/>
      <c r="F8" s="33"/>
      <c r="G8" s="15"/>
      <c r="H8" s="21"/>
      <c r="I8" s="20"/>
      <c r="J8" s="20"/>
      <c r="K8" s="20"/>
      <c r="L8" s="31" t="s">
        <v>45</v>
      </c>
    </row>
    <row r="9" spans="2:12" s="12" customFormat="1" ht="16.5" customHeight="1">
      <c r="B9" s="34"/>
      <c r="C9" s="35"/>
      <c r="D9" s="35"/>
      <c r="E9" s="22"/>
      <c r="F9" s="35"/>
      <c r="G9" s="35"/>
      <c r="H9" s="21"/>
      <c r="I9" s="20"/>
      <c r="J9" s="20"/>
      <c r="K9" s="20"/>
      <c r="L9" s="21"/>
    </row>
    <row r="10" spans="2:12" s="12" customFormat="1" ht="16.5" customHeight="1" thickBot="1">
      <c r="B10" s="30"/>
      <c r="C10" s="36"/>
      <c r="D10" s="22"/>
      <c r="E10" s="22"/>
      <c r="F10" s="36"/>
      <c r="G10" s="37"/>
      <c r="H10" s="38"/>
      <c r="I10" s="21"/>
      <c r="J10" s="21"/>
      <c r="K10" s="20"/>
      <c r="L10" s="37" t="s">
        <v>46</v>
      </c>
    </row>
    <row r="11" spans="2:12" s="12" customFormat="1" ht="16.5" customHeight="1" thickTop="1" thickBot="1">
      <c r="B11" s="30"/>
      <c r="C11"/>
      <c r="D11" s="451" t="s">
        <v>441</v>
      </c>
      <c r="E11" s="384"/>
      <c r="F11" s="384"/>
      <c r="G11" s="385"/>
      <c r="H11" s="386"/>
      <c r="I11" s="21"/>
      <c r="J11" s="21"/>
      <c r="K11" s="20"/>
      <c r="L11" s="37"/>
    </row>
    <row r="12" spans="2:12" s="12" customFormat="1" ht="16.5" customHeight="1" thickTop="1" thickBot="1">
      <c r="B12" s="30"/>
      <c r="C12" s="36"/>
      <c r="D12" s="451" t="s">
        <v>442</v>
      </c>
      <c r="E12" s="384"/>
      <c r="F12" s="384"/>
      <c r="G12" s="385"/>
      <c r="H12" s="386"/>
      <c r="I12" s="21"/>
      <c r="J12" s="21"/>
      <c r="K12" s="20"/>
      <c r="L12" s="37" t="s">
        <v>47</v>
      </c>
    </row>
    <row r="13" spans="2:12" ht="12" thickTop="1"/>
    <row r="18" spans="2:80" ht="11.25" customHeight="1">
      <c r="B18" s="558" t="s">
        <v>48</v>
      </c>
      <c r="C18" s="558" t="s">
        <v>50</v>
      </c>
      <c r="D18" s="50" t="s">
        <v>51</v>
      </c>
      <c r="E18" s="16"/>
      <c r="F18" s="25"/>
      <c r="G18" s="557" t="s">
        <v>53</v>
      </c>
      <c r="H18" s="557"/>
      <c r="I18" s="557"/>
      <c r="J18" s="557"/>
      <c r="K18" s="16"/>
      <c r="L18" s="557" t="s">
        <v>54</v>
      </c>
      <c r="M18" s="557"/>
      <c r="N18" s="557"/>
      <c r="O18" s="557"/>
      <c r="P18" s="51"/>
      <c r="Q18" s="557" t="s">
        <v>443</v>
      </c>
      <c r="R18" s="557"/>
      <c r="S18" s="557"/>
      <c r="T18" s="557"/>
      <c r="U18" s="3"/>
      <c r="V18" s="558" t="s">
        <v>444</v>
      </c>
      <c r="BX18" s="19"/>
      <c r="BY18" s="19"/>
      <c r="BZ18" s="19"/>
      <c r="CA18" s="19"/>
      <c r="CB18" s="19"/>
    </row>
    <row r="19" spans="2:80" ht="46.5" customHeight="1">
      <c r="B19" s="558"/>
      <c r="C19" s="558"/>
      <c r="D19" s="50"/>
      <c r="E19" s="16"/>
      <c r="F19" s="25"/>
      <c r="G19" s="49" t="s">
        <v>297</v>
      </c>
      <c r="H19" s="49" t="s">
        <v>387</v>
      </c>
      <c r="I19" s="49" t="s">
        <v>388</v>
      </c>
      <c r="J19" s="49" t="s">
        <v>389</v>
      </c>
      <c r="K19" s="16"/>
      <c r="L19" s="49" t="s">
        <v>297</v>
      </c>
      <c r="M19" s="49" t="s">
        <v>387</v>
      </c>
      <c r="N19" s="49" t="s">
        <v>388</v>
      </c>
      <c r="O19" s="49" t="s">
        <v>389</v>
      </c>
      <c r="P19" s="52"/>
      <c r="Q19" s="49" t="s">
        <v>297</v>
      </c>
      <c r="R19" s="49" t="s">
        <v>387</v>
      </c>
      <c r="S19" s="49" t="s">
        <v>388</v>
      </c>
      <c r="T19" s="49" t="s">
        <v>389</v>
      </c>
      <c r="U19" s="3"/>
      <c r="V19" s="558"/>
      <c r="BX19" s="19"/>
      <c r="BY19" s="19"/>
      <c r="BZ19" s="19"/>
      <c r="CA19" s="19"/>
      <c r="CB19" s="19"/>
    </row>
    <row r="20" spans="2:80" ht="22.5" customHeight="1">
      <c r="B20" s="41" t="s">
        <v>445</v>
      </c>
      <c r="C20" s="39" t="s">
        <v>446</v>
      </c>
      <c r="D20" s="40" t="s">
        <v>66</v>
      </c>
      <c r="E20" s="16"/>
      <c r="F20" s="25"/>
      <c r="G20" s="46">
        <v>1508</v>
      </c>
      <c r="H20" s="46">
        <v>1486</v>
      </c>
      <c r="I20" s="46">
        <v>1486</v>
      </c>
      <c r="J20" s="40" t="s">
        <v>447</v>
      </c>
      <c r="K20" s="16"/>
      <c r="L20" s="46">
        <v>1508</v>
      </c>
      <c r="M20" s="46">
        <v>1486</v>
      </c>
      <c r="N20" s="46">
        <v>1486</v>
      </c>
      <c r="O20" s="40" t="s">
        <v>447</v>
      </c>
      <c r="P20" s="53"/>
      <c r="Q20" s="190">
        <v>1508</v>
      </c>
      <c r="R20" s="190">
        <v>1486</v>
      </c>
      <c r="S20" s="190">
        <v>1486</v>
      </c>
      <c r="T20" s="191" t="s">
        <v>448</v>
      </c>
      <c r="U20" s="3"/>
      <c r="V20" s="39" t="s">
        <v>449</v>
      </c>
      <c r="BX20" s="19"/>
      <c r="BY20" s="19"/>
      <c r="BZ20" s="19"/>
      <c r="CA20" s="19"/>
      <c r="CB20" s="19"/>
    </row>
    <row r="21" spans="2:80" ht="22.5" customHeight="1">
      <c r="B21" s="41" t="s">
        <v>450</v>
      </c>
      <c r="C21" s="39" t="s">
        <v>446</v>
      </c>
      <c r="D21" s="40" t="s">
        <v>66</v>
      </c>
      <c r="E21" s="16"/>
      <c r="F21" s="25"/>
      <c r="G21" s="46">
        <v>1508</v>
      </c>
      <c r="H21" s="46">
        <v>1486</v>
      </c>
      <c r="I21" s="46">
        <v>1486</v>
      </c>
      <c r="J21" s="40" t="s">
        <v>447</v>
      </c>
      <c r="K21" s="16"/>
      <c r="L21" s="46">
        <v>1508</v>
      </c>
      <c r="M21" s="46">
        <v>1486</v>
      </c>
      <c r="N21" s="46">
        <v>1486</v>
      </c>
      <c r="O21" s="40" t="s">
        <v>447</v>
      </c>
      <c r="P21" s="53"/>
      <c r="Q21" s="190">
        <v>1508</v>
      </c>
      <c r="R21" s="190">
        <v>1486</v>
      </c>
      <c r="S21" s="190">
        <v>1486</v>
      </c>
      <c r="T21" s="191" t="s">
        <v>448</v>
      </c>
      <c r="U21" s="3"/>
      <c r="V21" s="39" t="s">
        <v>449</v>
      </c>
      <c r="BX21" s="19"/>
      <c r="BY21" s="19"/>
      <c r="BZ21" s="19"/>
      <c r="CA21" s="19"/>
      <c r="CB21" s="19"/>
    </row>
    <row r="22" spans="2:80" ht="20.25" customHeight="1">
      <c r="B22" s="41" t="s">
        <v>451</v>
      </c>
      <c r="C22" s="39" t="s">
        <v>446</v>
      </c>
      <c r="D22" s="40" t="s">
        <v>66</v>
      </c>
      <c r="E22" s="16"/>
      <c r="F22" s="25"/>
      <c r="G22" s="46">
        <v>1508</v>
      </c>
      <c r="H22" s="46">
        <v>1486</v>
      </c>
      <c r="I22" s="46">
        <v>1486</v>
      </c>
      <c r="J22" s="40" t="s">
        <v>447</v>
      </c>
      <c r="K22" s="16"/>
      <c r="L22" s="46">
        <v>1508</v>
      </c>
      <c r="M22" s="46">
        <v>1486</v>
      </c>
      <c r="N22" s="46">
        <v>1486</v>
      </c>
      <c r="O22" s="40" t="s">
        <v>447</v>
      </c>
      <c r="P22" s="53"/>
      <c r="Q22" s="190">
        <v>1508</v>
      </c>
      <c r="R22" s="190">
        <v>1486</v>
      </c>
      <c r="S22" s="190">
        <v>1486</v>
      </c>
      <c r="T22" s="191" t="s">
        <v>448</v>
      </c>
      <c r="U22" s="3"/>
      <c r="V22" s="39" t="s">
        <v>449</v>
      </c>
      <c r="BX22" s="19"/>
      <c r="BY22" s="19"/>
      <c r="BZ22" s="19"/>
      <c r="CA22" s="19"/>
      <c r="CB22" s="19"/>
    </row>
    <row r="23" spans="2:80" ht="18.75" customHeight="1">
      <c r="B23" s="41" t="s">
        <v>452</v>
      </c>
      <c r="C23" s="39" t="s">
        <v>446</v>
      </c>
      <c r="D23" s="40" t="s">
        <v>66</v>
      </c>
      <c r="E23" s="16"/>
      <c r="F23" s="25"/>
      <c r="G23" s="46">
        <v>1508</v>
      </c>
      <c r="H23" s="46">
        <v>1486</v>
      </c>
      <c r="I23" s="46">
        <v>1486</v>
      </c>
      <c r="J23" s="40" t="s">
        <v>447</v>
      </c>
      <c r="K23" s="16"/>
      <c r="L23" s="46">
        <v>1508</v>
      </c>
      <c r="M23" s="46">
        <v>1486</v>
      </c>
      <c r="N23" s="46">
        <v>1486</v>
      </c>
      <c r="O23" s="40" t="s">
        <v>447</v>
      </c>
      <c r="P23" s="53"/>
      <c r="Q23" s="190">
        <v>1508</v>
      </c>
      <c r="R23" s="190">
        <v>1486</v>
      </c>
      <c r="S23" s="190">
        <v>1486</v>
      </c>
      <c r="T23" s="191" t="s">
        <v>448</v>
      </c>
      <c r="U23" s="3"/>
      <c r="V23" s="39" t="s">
        <v>449</v>
      </c>
      <c r="BX23" s="19"/>
      <c r="BY23" s="19"/>
      <c r="BZ23" s="19"/>
      <c r="CA23" s="19"/>
      <c r="CB23" s="19"/>
    </row>
    <row r="24" spans="2:80" ht="12" customHeight="1">
      <c r="Q24" s="559"/>
      <c r="R24" s="559"/>
      <c r="S24" s="559"/>
    </row>
    <row r="25" spans="2:80">
      <c r="B25" s="26" t="s">
        <v>453</v>
      </c>
      <c r="Q25" s="559"/>
      <c r="R25" s="559"/>
      <c r="S25" s="559"/>
    </row>
    <row r="26" spans="2:80">
      <c r="Q26" s="559"/>
      <c r="R26" s="559"/>
      <c r="S26" s="559"/>
    </row>
    <row r="27" spans="2:80" ht="22.5" customHeight="1">
      <c r="B27" s="54" t="s">
        <v>454</v>
      </c>
      <c r="C27" s="560" t="s">
        <v>455</v>
      </c>
      <c r="D27" s="560"/>
      <c r="E27" s="560" t="s">
        <v>456</v>
      </c>
      <c r="F27" s="560"/>
      <c r="G27" s="54" t="s">
        <v>457</v>
      </c>
      <c r="H27" s="54" t="s">
        <v>458</v>
      </c>
      <c r="I27" s="54" t="s">
        <v>459</v>
      </c>
      <c r="L27" s="560" t="s">
        <v>460</v>
      </c>
      <c r="M27" s="560"/>
    </row>
    <row r="28" spans="2:80">
      <c r="B28" s="41" t="s">
        <v>461</v>
      </c>
      <c r="C28" s="543" t="s">
        <v>462</v>
      </c>
      <c r="D28" s="543"/>
      <c r="E28" s="543" t="s">
        <v>463</v>
      </c>
      <c r="F28" s="543"/>
      <c r="G28" s="46">
        <v>40</v>
      </c>
      <c r="H28" s="39" t="s">
        <v>464</v>
      </c>
      <c r="I28" s="39" t="s">
        <v>465</v>
      </c>
      <c r="L28" s="543"/>
      <c r="M28" s="543"/>
    </row>
    <row r="29" spans="2:80">
      <c r="B29" s="41" t="s">
        <v>466</v>
      </c>
      <c r="C29" s="543" t="s">
        <v>467</v>
      </c>
      <c r="D29" s="543"/>
      <c r="E29" s="543" t="s">
        <v>463</v>
      </c>
      <c r="F29" s="543"/>
      <c r="G29" s="46">
        <v>25</v>
      </c>
      <c r="H29" s="39" t="s">
        <v>464</v>
      </c>
      <c r="I29" s="39" t="s">
        <v>465</v>
      </c>
      <c r="L29" s="543"/>
      <c r="M29" s="543"/>
    </row>
    <row r="30" spans="2:80">
      <c r="B30" s="41" t="s">
        <v>468</v>
      </c>
      <c r="C30" s="543" t="s">
        <v>469</v>
      </c>
      <c r="D30" s="543"/>
      <c r="E30" s="543" t="s">
        <v>470</v>
      </c>
      <c r="F30" s="543"/>
      <c r="G30" s="55">
        <v>9</v>
      </c>
      <c r="H30" s="39" t="s">
        <v>464</v>
      </c>
      <c r="I30" s="39" t="s">
        <v>471</v>
      </c>
      <c r="L30" s="543"/>
      <c r="M30" s="543"/>
    </row>
    <row r="31" spans="2:80" ht="11.25" customHeight="1">
      <c r="B31" s="542" t="s">
        <v>472</v>
      </c>
      <c r="C31" s="543" t="s">
        <v>473</v>
      </c>
      <c r="D31" s="543"/>
      <c r="E31" s="543" t="s">
        <v>474</v>
      </c>
      <c r="F31" s="543"/>
      <c r="G31" s="46">
        <v>338</v>
      </c>
      <c r="H31" s="39" t="s">
        <v>464</v>
      </c>
      <c r="I31" s="39" t="s">
        <v>465</v>
      </c>
      <c r="L31" s="543"/>
      <c r="M31" s="543"/>
    </row>
    <row r="32" spans="2:80">
      <c r="B32" s="542"/>
      <c r="C32" s="543"/>
      <c r="D32" s="543"/>
      <c r="E32" s="543" t="s">
        <v>475</v>
      </c>
      <c r="F32" s="543"/>
      <c r="G32" s="46">
        <f>G31*2</f>
        <v>676</v>
      </c>
      <c r="H32" s="39" t="s">
        <v>464</v>
      </c>
      <c r="I32" s="39" t="s">
        <v>465</v>
      </c>
      <c r="L32" s="543"/>
      <c r="M32" s="543"/>
    </row>
    <row r="33" spans="2:22" ht="11.25" customHeight="1">
      <c r="B33" s="553" t="s">
        <v>476</v>
      </c>
      <c r="C33" s="555" t="s">
        <v>477</v>
      </c>
      <c r="D33" s="555"/>
      <c r="E33" s="555" t="s">
        <v>474</v>
      </c>
      <c r="F33" s="555"/>
      <c r="G33" s="388">
        <v>0</v>
      </c>
      <c r="H33" s="387" t="s">
        <v>464</v>
      </c>
      <c r="I33" s="387" t="s">
        <v>465</v>
      </c>
      <c r="L33" s="543"/>
      <c r="M33" s="543"/>
    </row>
    <row r="34" spans="2:22" ht="35.25" customHeight="1">
      <c r="B34" s="554"/>
      <c r="C34" s="556"/>
      <c r="D34" s="556"/>
      <c r="E34" s="556" t="s">
        <v>475</v>
      </c>
      <c r="F34" s="556"/>
      <c r="G34" s="390">
        <v>0</v>
      </c>
      <c r="H34" s="389" t="s">
        <v>464</v>
      </c>
      <c r="I34" s="389" t="s">
        <v>465</v>
      </c>
      <c r="L34" s="543"/>
      <c r="M34" s="543"/>
    </row>
    <row r="35" spans="2:22" ht="28.5" customHeight="1">
      <c r="B35" s="542" t="s">
        <v>478</v>
      </c>
      <c r="C35" s="543" t="s">
        <v>479</v>
      </c>
      <c r="D35" s="543"/>
      <c r="E35" s="543" t="s">
        <v>474</v>
      </c>
      <c r="F35" s="543"/>
      <c r="G35" s="46" t="s">
        <v>480</v>
      </c>
      <c r="H35" s="39" t="s">
        <v>464</v>
      </c>
      <c r="I35" s="39" t="s">
        <v>465</v>
      </c>
      <c r="L35" s="543"/>
      <c r="M35" s="543"/>
    </row>
    <row r="36" spans="2:22" ht="11.25" customHeight="1">
      <c r="B36" s="542"/>
      <c r="C36" s="543"/>
      <c r="D36" s="543"/>
      <c r="E36" s="543" t="s">
        <v>475</v>
      </c>
      <c r="F36" s="543"/>
      <c r="G36" s="46" t="s">
        <v>481</v>
      </c>
      <c r="H36" s="39" t="s">
        <v>464</v>
      </c>
      <c r="I36" s="39" t="s">
        <v>465</v>
      </c>
      <c r="L36" s="543"/>
      <c r="M36" s="543"/>
    </row>
    <row r="37" spans="2:22" ht="11.25" customHeight="1">
      <c r="B37" s="542" t="s">
        <v>482</v>
      </c>
      <c r="C37" s="543" t="s">
        <v>483</v>
      </c>
      <c r="D37" s="543"/>
      <c r="E37" s="543" t="s">
        <v>474</v>
      </c>
      <c r="F37" s="543"/>
      <c r="G37" s="190">
        <v>0</v>
      </c>
      <c r="H37" s="39" t="s">
        <v>464</v>
      </c>
      <c r="I37" s="39" t="s">
        <v>471</v>
      </c>
      <c r="L37" s="552"/>
      <c r="M37" s="552"/>
    </row>
    <row r="38" spans="2:22" ht="11.25" customHeight="1">
      <c r="B38" s="542"/>
      <c r="C38" s="543"/>
      <c r="D38" s="543"/>
      <c r="E38" s="543" t="s">
        <v>475</v>
      </c>
      <c r="F38" s="543"/>
      <c r="G38" s="190">
        <v>0</v>
      </c>
      <c r="H38" s="39" t="s">
        <v>464</v>
      </c>
      <c r="I38" s="39" t="s">
        <v>471</v>
      </c>
      <c r="L38" s="552"/>
      <c r="M38" s="552"/>
    </row>
    <row r="39" spans="2:22" ht="45" customHeight="1">
      <c r="B39" s="542" t="s">
        <v>484</v>
      </c>
      <c r="C39" s="543" t="s">
        <v>485</v>
      </c>
      <c r="D39" s="543"/>
      <c r="E39" s="543" t="s">
        <v>474</v>
      </c>
      <c r="F39" s="543"/>
      <c r="G39" s="46">
        <v>0</v>
      </c>
      <c r="H39" s="39" t="s">
        <v>464</v>
      </c>
      <c r="I39" s="39" t="s">
        <v>465</v>
      </c>
      <c r="L39" s="542"/>
      <c r="M39" s="39"/>
    </row>
    <row r="40" spans="2:22" ht="11.25" customHeight="1">
      <c r="B40" s="542"/>
      <c r="C40" s="543"/>
      <c r="D40" s="543"/>
      <c r="E40" s="543" t="s">
        <v>475</v>
      </c>
      <c r="F40" s="543"/>
      <c r="G40" s="46">
        <v>0</v>
      </c>
      <c r="H40" s="39" t="s">
        <v>464</v>
      </c>
      <c r="I40" s="39" t="s">
        <v>465</v>
      </c>
      <c r="L40" s="542"/>
      <c r="M40" s="39"/>
    </row>
    <row r="41" spans="2:22" ht="11.25" customHeight="1">
      <c r="B41" s="542" t="s">
        <v>486</v>
      </c>
      <c r="C41" s="543" t="s">
        <v>487</v>
      </c>
      <c r="D41" s="543"/>
      <c r="E41" s="543" t="s">
        <v>474</v>
      </c>
      <c r="F41" s="543"/>
      <c r="G41" s="46">
        <v>0</v>
      </c>
      <c r="H41" s="39" t="s">
        <v>464</v>
      </c>
      <c r="I41" s="39" t="s">
        <v>465</v>
      </c>
      <c r="L41" s="542"/>
      <c r="M41" s="39"/>
    </row>
    <row r="42" spans="2:22" ht="11.25" customHeight="1">
      <c r="B42" s="542"/>
      <c r="C42" s="543"/>
      <c r="D42" s="543"/>
      <c r="E42" s="543" t="s">
        <v>475</v>
      </c>
      <c r="F42" s="543"/>
      <c r="G42" s="46">
        <v>0</v>
      </c>
      <c r="H42" s="39" t="s">
        <v>464</v>
      </c>
      <c r="I42" s="39" t="s">
        <v>465</v>
      </c>
      <c r="L42" s="542"/>
      <c r="M42" s="39"/>
    </row>
    <row r="43" spans="2:22" ht="11.25" customHeight="1">
      <c r="B43" s="542" t="s">
        <v>488</v>
      </c>
      <c r="C43" s="543" t="s">
        <v>489</v>
      </c>
      <c r="D43" s="543"/>
      <c r="E43" s="543" t="s">
        <v>474</v>
      </c>
      <c r="F43" s="543"/>
      <c r="G43" s="46" t="s">
        <v>490</v>
      </c>
      <c r="H43" s="39" t="s">
        <v>464</v>
      </c>
      <c r="I43" s="39" t="s">
        <v>465</v>
      </c>
      <c r="L43" s="39"/>
      <c r="M43" s="39"/>
    </row>
    <row r="44" spans="2:22" ht="11.25" customHeight="1">
      <c r="B44" s="542"/>
      <c r="C44" s="543"/>
      <c r="D44" s="543"/>
      <c r="E44" s="543" t="s">
        <v>475</v>
      </c>
      <c r="F44" s="543"/>
      <c r="G44" s="55" t="s">
        <v>491</v>
      </c>
      <c r="H44" s="39" t="s">
        <v>464</v>
      </c>
      <c r="I44" s="39" t="s">
        <v>465</v>
      </c>
      <c r="L44" s="39"/>
      <c r="M44" s="39"/>
    </row>
    <row r="45" spans="2:22" ht="11.25" customHeight="1">
      <c r="B45" s="544" t="s">
        <v>492</v>
      </c>
      <c r="C45" s="546" t="s">
        <v>493</v>
      </c>
      <c r="D45" s="546"/>
      <c r="E45" s="546" t="s">
        <v>474</v>
      </c>
      <c r="F45" s="546"/>
      <c r="G45" s="373">
        <v>37</v>
      </c>
      <c r="H45" s="372" t="s">
        <v>494</v>
      </c>
      <c r="I45" s="372" t="s">
        <v>465</v>
      </c>
      <c r="L45" s="548" t="s">
        <v>495</v>
      </c>
      <c r="M45" s="549"/>
    </row>
    <row r="46" spans="2:22" ht="11.25" customHeight="1">
      <c r="B46" s="545"/>
      <c r="C46" s="547"/>
      <c r="D46" s="547"/>
      <c r="E46" s="547" t="s">
        <v>475</v>
      </c>
      <c r="F46" s="547"/>
      <c r="G46" s="375">
        <v>75</v>
      </c>
      <c r="H46" s="374" t="s">
        <v>494</v>
      </c>
      <c r="I46" s="374" t="s">
        <v>465</v>
      </c>
      <c r="L46" s="550"/>
      <c r="M46" s="551"/>
    </row>
    <row r="47" spans="2:22" ht="11.25" customHeight="1">
      <c r="B47" s="533" t="s">
        <v>496</v>
      </c>
      <c r="C47" s="535" t="s">
        <v>497</v>
      </c>
      <c r="D47" s="535"/>
      <c r="E47" s="535" t="s">
        <v>474</v>
      </c>
      <c r="F47" s="535"/>
      <c r="G47" s="454" t="s">
        <v>498</v>
      </c>
      <c r="H47" s="453" t="s">
        <v>464</v>
      </c>
      <c r="I47" s="453" t="s">
        <v>465</v>
      </c>
      <c r="J47" s="458"/>
      <c r="K47" s="458"/>
      <c r="L47" s="537" t="s">
        <v>499</v>
      </c>
      <c r="M47" s="538"/>
    </row>
    <row r="48" spans="2:22" s="17" customFormat="1" ht="16.5" customHeight="1">
      <c r="B48" s="534"/>
      <c r="C48" s="536"/>
      <c r="D48" s="536"/>
      <c r="E48" s="536" t="s">
        <v>475</v>
      </c>
      <c r="F48" s="536"/>
      <c r="G48" s="459" t="s">
        <v>500</v>
      </c>
      <c r="H48" s="455" t="s">
        <v>464</v>
      </c>
      <c r="I48" s="455" t="s">
        <v>465</v>
      </c>
      <c r="J48" s="458"/>
      <c r="K48" s="458"/>
      <c r="L48" s="539"/>
      <c r="M48" s="540"/>
      <c r="N48" s="10"/>
      <c r="O48" s="25"/>
      <c r="P48" s="541"/>
      <c r="Q48" s="541"/>
      <c r="R48" s="541"/>
      <c r="S48" s="541"/>
      <c r="T48" s="25"/>
      <c r="U48" s="56"/>
      <c r="V48" s="56"/>
    </row>
    <row r="49" spans="1:80" s="17" customFormat="1" ht="16.5" customHeight="1">
      <c r="B49" s="524" t="s">
        <v>501</v>
      </c>
      <c r="C49" s="526" t="s">
        <v>502</v>
      </c>
      <c r="D49" s="457"/>
      <c r="E49" s="457"/>
      <c r="F49" s="457" t="s">
        <v>474</v>
      </c>
      <c r="G49" s="460">
        <v>350</v>
      </c>
      <c r="H49" s="457" t="s">
        <v>464</v>
      </c>
      <c r="I49" s="457" t="s">
        <v>465</v>
      </c>
      <c r="J49" s="67"/>
      <c r="K49" s="67"/>
      <c r="L49" s="528" t="s">
        <v>503</v>
      </c>
      <c r="M49" s="529"/>
      <c r="N49" s="10"/>
      <c r="O49" s="25"/>
      <c r="P49" s="81"/>
      <c r="Q49" s="81"/>
      <c r="R49" s="81"/>
      <c r="S49" s="81"/>
      <c r="T49" s="25"/>
      <c r="U49" s="56"/>
      <c r="V49" s="56"/>
    </row>
    <row r="50" spans="1:80" s="17" customFormat="1" ht="16.5" customHeight="1">
      <c r="B50" s="525"/>
      <c r="C50" s="527"/>
      <c r="D50" s="461"/>
      <c r="E50" s="461"/>
      <c r="F50" s="462" t="s">
        <v>475</v>
      </c>
      <c r="G50" s="463" t="s">
        <v>504</v>
      </c>
      <c r="H50" s="461" t="s">
        <v>464</v>
      </c>
      <c r="I50" s="461" t="s">
        <v>465</v>
      </c>
      <c r="J50" s="67"/>
      <c r="K50" s="67"/>
      <c r="L50" s="530"/>
      <c r="M50" s="531"/>
      <c r="N50" s="10"/>
      <c r="O50" s="25"/>
      <c r="P50" s="81"/>
      <c r="Q50" s="81"/>
      <c r="R50" s="81"/>
      <c r="S50" s="81"/>
      <c r="T50" s="25"/>
      <c r="U50" s="56"/>
      <c r="V50" s="56"/>
    </row>
    <row r="51" spans="1:80" s="17" customFormat="1" ht="16.5" customHeight="1">
      <c r="B51" s="57"/>
      <c r="C51" s="58"/>
      <c r="D51" s="59"/>
      <c r="E51" s="60"/>
      <c r="F51" s="61"/>
      <c r="G51" s="61"/>
      <c r="H51" s="61"/>
      <c r="I51" s="59"/>
      <c r="J51" s="62"/>
      <c r="K51" s="61"/>
      <c r="L51" s="10"/>
      <c r="M51" s="10"/>
      <c r="N51" s="10"/>
      <c r="O51" s="63"/>
      <c r="P51" s="61"/>
      <c r="Q51" s="61"/>
      <c r="R51" s="61"/>
      <c r="S51" s="59"/>
      <c r="T51" s="25"/>
      <c r="U51" s="58"/>
      <c r="V51" s="58"/>
    </row>
    <row r="52" spans="1:80" s="17" customFormat="1" ht="16.5" customHeight="1">
      <c r="B52" s="532" t="s">
        <v>251</v>
      </c>
      <c r="C52" s="532"/>
      <c r="D52" s="532"/>
      <c r="E52" s="532"/>
      <c r="F52" s="532"/>
      <c r="G52" s="532"/>
      <c r="H52" s="532"/>
      <c r="I52" s="532"/>
      <c r="J52" s="532"/>
      <c r="K52" s="61"/>
      <c r="L52" s="61"/>
      <c r="M52" s="61"/>
      <c r="N52" s="59"/>
      <c r="O52" s="63"/>
      <c r="P52" s="61"/>
      <c r="Q52" s="61"/>
      <c r="R52" s="61"/>
      <c r="S52" s="59"/>
      <c r="T52" s="25"/>
      <c r="U52" s="58"/>
      <c r="V52" s="58"/>
    </row>
    <row r="53" spans="1:80" s="17" customFormat="1" ht="16.5" customHeight="1">
      <c r="B53" s="18"/>
      <c r="C53" s="10" t="s">
        <v>252</v>
      </c>
      <c r="D53" s="10"/>
      <c r="E53" s="10"/>
      <c r="F53" s="10"/>
      <c r="G53" s="10"/>
      <c r="H53" s="10"/>
      <c r="I53" s="10"/>
      <c r="J53" s="48"/>
      <c r="K53" s="61"/>
      <c r="L53" s="61"/>
      <c r="M53" s="61"/>
      <c r="N53" s="59"/>
      <c r="O53" s="63"/>
      <c r="P53" s="61"/>
      <c r="Q53" s="61"/>
      <c r="R53" s="61"/>
      <c r="S53" s="59"/>
      <c r="T53" s="25"/>
      <c r="U53" s="58"/>
      <c r="V53" s="58"/>
    </row>
    <row r="54" spans="1:80" s="17" customFormat="1" ht="16.5" customHeight="1">
      <c r="B54" s="18"/>
      <c r="C54" s="10"/>
      <c r="D54" s="10"/>
      <c r="E54" s="10"/>
      <c r="F54" s="10"/>
      <c r="G54" s="10"/>
      <c r="H54" s="10"/>
      <c r="I54" s="10"/>
      <c r="J54" s="64"/>
      <c r="K54" s="61"/>
      <c r="L54" s="61"/>
      <c r="M54" s="61"/>
      <c r="N54" s="59"/>
      <c r="O54" s="63"/>
      <c r="P54" s="61"/>
      <c r="Q54" s="61"/>
      <c r="R54" s="61"/>
      <c r="S54" s="59"/>
      <c r="T54" s="25"/>
      <c r="U54" s="58"/>
      <c r="V54" s="58"/>
    </row>
    <row r="55" spans="1:80" s="17" customFormat="1" ht="15.75" customHeight="1">
      <c r="B55" s="65" t="s">
        <v>505</v>
      </c>
      <c r="C55" s="10"/>
      <c r="D55" s="10"/>
      <c r="E55" s="10"/>
      <c r="F55" s="10"/>
      <c r="G55" s="10"/>
      <c r="H55" s="10"/>
      <c r="I55" s="10"/>
      <c r="J55" s="66"/>
      <c r="K55" s="61"/>
      <c r="L55" s="61"/>
      <c r="M55" s="61"/>
      <c r="N55" s="59"/>
      <c r="O55" s="63"/>
      <c r="P55" s="61"/>
      <c r="Q55" s="61"/>
      <c r="R55" s="61"/>
      <c r="S55" s="59"/>
      <c r="T55" s="25"/>
      <c r="U55" s="58"/>
      <c r="V55" s="58"/>
    </row>
    <row r="56" spans="1:80" s="17" customFormat="1" ht="15.75" customHeight="1">
      <c r="B56" s="18" t="s">
        <v>506</v>
      </c>
      <c r="C56" s="10"/>
      <c r="D56" s="10"/>
      <c r="E56" s="10"/>
      <c r="F56" s="10"/>
      <c r="G56" s="10"/>
      <c r="H56" s="10"/>
      <c r="I56" s="67"/>
      <c r="J56" s="66"/>
      <c r="K56" s="61"/>
      <c r="L56" s="61"/>
      <c r="M56" s="61"/>
      <c r="N56" s="59"/>
      <c r="O56" s="63"/>
      <c r="P56" s="61"/>
      <c r="Q56" s="61"/>
      <c r="R56" s="61"/>
      <c r="S56" s="59"/>
      <c r="T56" s="25"/>
      <c r="U56" s="58"/>
      <c r="V56" s="58"/>
    </row>
    <row r="57" spans="1:80" s="17" customFormat="1" ht="16.5" customHeight="1">
      <c r="B57" s="18" t="s">
        <v>507</v>
      </c>
      <c r="C57" s="10"/>
      <c r="D57" s="10"/>
      <c r="E57" s="10"/>
      <c r="F57" s="10"/>
      <c r="G57" s="10"/>
      <c r="H57" s="10"/>
      <c r="I57" s="10"/>
      <c r="J57" s="66"/>
      <c r="K57" s="61"/>
      <c r="L57" s="61"/>
      <c r="M57" s="61"/>
      <c r="N57" s="59"/>
      <c r="O57" s="63"/>
      <c r="P57" s="61"/>
      <c r="Q57" s="61"/>
      <c r="R57" s="61"/>
      <c r="S57" s="59"/>
      <c r="T57" s="25"/>
      <c r="U57" s="58"/>
      <c r="V57" s="58"/>
    </row>
    <row r="58" spans="1:80" s="17" customFormat="1" ht="16.5" customHeight="1">
      <c r="B58" s="68" t="s">
        <v>508</v>
      </c>
      <c r="C58" s="10"/>
      <c r="D58" s="10"/>
      <c r="E58" s="10"/>
      <c r="F58" s="10"/>
      <c r="G58" s="10"/>
      <c r="H58" s="10"/>
      <c r="I58" s="10"/>
      <c r="J58" s="66"/>
      <c r="K58" s="61"/>
      <c r="L58" s="61"/>
      <c r="M58" s="61"/>
      <c r="N58" s="59"/>
      <c r="O58" s="63"/>
      <c r="P58" s="61"/>
      <c r="Q58" s="61"/>
      <c r="R58" s="61"/>
      <c r="S58" s="59"/>
      <c r="T58" s="63"/>
      <c r="U58" s="58"/>
      <c r="V58" s="58"/>
    </row>
    <row r="59" spans="1:80" s="17" customFormat="1" ht="16.5" customHeight="1">
      <c r="B59" s="6" t="s">
        <v>509</v>
      </c>
      <c r="C59" s="10"/>
      <c r="D59" s="10"/>
      <c r="E59" s="10"/>
      <c r="F59" s="10"/>
      <c r="G59" s="10"/>
      <c r="H59" s="10"/>
      <c r="I59" s="10"/>
      <c r="J59" s="66"/>
      <c r="K59" s="61"/>
      <c r="L59" s="61"/>
      <c r="M59" s="61"/>
      <c r="N59" s="59"/>
      <c r="O59" s="63"/>
      <c r="P59" s="61"/>
      <c r="Q59" s="61"/>
      <c r="R59" s="61"/>
      <c r="S59" s="59"/>
      <c r="T59" s="63"/>
      <c r="U59" s="58"/>
      <c r="V59" s="58"/>
    </row>
    <row r="60" spans="1:80" s="17" customFormat="1" ht="16.5" customHeight="1">
      <c r="B60" s="6" t="s">
        <v>510</v>
      </c>
      <c r="C60" s="10"/>
      <c r="D60" s="10"/>
      <c r="E60" s="10"/>
      <c r="F60" s="10"/>
      <c r="G60" s="10"/>
      <c r="H60" s="10"/>
      <c r="I60" s="10"/>
      <c r="J60" s="66"/>
      <c r="K60" s="61"/>
      <c r="L60" s="61"/>
      <c r="M60" s="61"/>
      <c r="N60" s="59"/>
      <c r="O60" s="63"/>
      <c r="P60" s="61"/>
      <c r="Q60" s="61"/>
      <c r="R60" s="61"/>
      <c r="S60" s="59"/>
      <c r="T60" s="63"/>
      <c r="U60" s="58"/>
      <c r="V60" s="58"/>
    </row>
    <row r="61" spans="1:80" s="17" customFormat="1" ht="16.5" customHeight="1">
      <c r="B61" s="6" t="s">
        <v>511</v>
      </c>
      <c r="C61" s="69"/>
      <c r="D61" s="66"/>
      <c r="E61" s="66"/>
      <c r="F61" s="66"/>
      <c r="G61" s="66"/>
      <c r="H61" s="70"/>
      <c r="I61" s="70"/>
      <c r="J61" s="66"/>
      <c r="K61" s="1"/>
      <c r="L61" s="1"/>
      <c r="M61" s="1"/>
      <c r="N61" s="1"/>
      <c r="O61" s="1"/>
      <c r="P61" s="1"/>
      <c r="Q61" s="1"/>
      <c r="R61" s="1"/>
      <c r="S61" s="1"/>
      <c r="T61" s="1"/>
      <c r="U61" s="1"/>
      <c r="V61" s="1"/>
    </row>
    <row r="62" spans="1:80" s="12" customFormat="1" ht="16.5" customHeight="1">
      <c r="B62" s="10" t="s">
        <v>512</v>
      </c>
      <c r="C62" s="10" t="s">
        <v>513</v>
      </c>
      <c r="D62" s="10"/>
      <c r="E62" s="10"/>
      <c r="F62" s="10"/>
      <c r="G62" s="10"/>
      <c r="H62" s="10"/>
      <c r="I62" s="10"/>
      <c r="J62" s="66"/>
      <c r="K62" s="2"/>
      <c r="L62" s="2"/>
      <c r="M62" s="2"/>
      <c r="N62" s="2"/>
      <c r="O62" s="2"/>
      <c r="P62" s="2"/>
      <c r="Q62" s="2"/>
      <c r="R62" s="2"/>
      <c r="S62" s="2"/>
      <c r="T62" s="2"/>
      <c r="U62" s="2"/>
      <c r="V62" s="2"/>
    </row>
    <row r="63" spans="1:80" s="17" customFormat="1">
      <c r="B63" s="10" t="s">
        <v>514</v>
      </c>
      <c r="C63" s="10" t="s">
        <v>515</v>
      </c>
      <c r="D63" s="12"/>
      <c r="E63" s="12"/>
      <c r="F63" s="12"/>
      <c r="G63" s="12"/>
      <c r="H63" s="12"/>
      <c r="I63" s="12"/>
      <c r="J63" s="66"/>
      <c r="K63" s="6"/>
      <c r="L63" s="24"/>
      <c r="M63" s="24"/>
      <c r="N63" s="24"/>
      <c r="O63" s="24"/>
      <c r="P63" s="24"/>
      <c r="Q63" s="24"/>
      <c r="R63" s="24"/>
      <c r="S63" s="24"/>
      <c r="T63" s="24"/>
      <c r="U63" s="24"/>
      <c r="V63" s="1"/>
    </row>
    <row r="64" spans="1:80" s="72" customFormat="1">
      <c r="A64" s="1"/>
      <c r="B64" s="66" t="s">
        <v>516</v>
      </c>
      <c r="C64" s="12"/>
      <c r="D64" s="12"/>
      <c r="E64" s="12"/>
      <c r="F64" s="12"/>
      <c r="G64" s="12"/>
      <c r="H64" s="12"/>
      <c r="I64" s="12"/>
      <c r="J64" s="66"/>
      <c r="K64" s="24"/>
      <c r="L64" s="24"/>
      <c r="M64" s="24"/>
      <c r="N64" s="24"/>
      <c r="O64" s="24"/>
      <c r="P64" s="24"/>
      <c r="Q64" s="24"/>
      <c r="R64" s="24"/>
      <c r="S64" s="24"/>
      <c r="T64" s="24"/>
      <c r="U64" s="24"/>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1"/>
      <c r="CA64" s="71"/>
      <c r="CB64" s="71"/>
    </row>
    <row r="65" spans="2:10" s="17" customFormat="1">
      <c r="B65" s="66"/>
      <c r="C65" s="12"/>
      <c r="D65" s="12"/>
      <c r="E65" s="12"/>
      <c r="F65" s="12"/>
      <c r="G65" s="12"/>
      <c r="H65" s="12"/>
      <c r="I65" s="12"/>
      <c r="J65" s="64"/>
    </row>
    <row r="66" spans="2:10" s="17" customFormat="1">
      <c r="B66" s="73" t="s">
        <v>272</v>
      </c>
      <c r="C66" s="12"/>
      <c r="D66" s="12"/>
      <c r="E66" s="12"/>
      <c r="F66" s="12"/>
      <c r="G66" s="12"/>
      <c r="H66" s="12"/>
      <c r="I66" s="12"/>
      <c r="J66" s="74"/>
    </row>
    <row r="67" spans="2:10" s="17" customFormat="1">
      <c r="B67" s="75" t="s">
        <v>273</v>
      </c>
      <c r="C67" s="12"/>
      <c r="D67" s="12"/>
      <c r="E67" s="12"/>
      <c r="F67" s="12"/>
      <c r="G67" s="12"/>
      <c r="H67" s="12"/>
      <c r="I67" s="12"/>
      <c r="J67" s="76"/>
    </row>
    <row r="68" spans="2:10" s="17" customFormat="1" ht="9.75" customHeight="1">
      <c r="B68" s="77" t="s">
        <v>517</v>
      </c>
      <c r="C68" s="12"/>
      <c r="D68" s="12"/>
      <c r="E68" s="12"/>
      <c r="F68" s="12"/>
      <c r="G68" s="12"/>
      <c r="H68" s="12"/>
      <c r="I68" s="12"/>
      <c r="J68" s="78"/>
    </row>
    <row r="69" spans="2:10" s="17" customFormat="1" ht="13.5" customHeight="1">
      <c r="B69" s="29" t="s">
        <v>518</v>
      </c>
      <c r="C69" s="12"/>
      <c r="D69" s="12"/>
      <c r="E69" s="12"/>
      <c r="F69" s="12"/>
      <c r="G69" s="12"/>
      <c r="H69" s="12"/>
      <c r="I69" s="12"/>
      <c r="J69" s="78"/>
    </row>
    <row r="70" spans="2:10" s="17" customFormat="1">
      <c r="B70" s="29" t="s">
        <v>276</v>
      </c>
      <c r="C70" s="12"/>
      <c r="D70" s="12"/>
      <c r="E70" s="12"/>
      <c r="F70" s="12"/>
      <c r="G70" s="12"/>
      <c r="H70" s="12"/>
      <c r="I70" s="12"/>
      <c r="J70" s="78"/>
    </row>
    <row r="71" spans="2:10" s="17" customFormat="1" ht="13.5" customHeight="1">
      <c r="B71" s="29" t="s">
        <v>277</v>
      </c>
      <c r="C71" s="12"/>
      <c r="D71" s="12"/>
      <c r="E71" s="12"/>
      <c r="F71" s="12"/>
      <c r="G71" s="12"/>
      <c r="H71" s="12"/>
      <c r="I71" s="12"/>
      <c r="J71" s="78"/>
    </row>
    <row r="72" spans="2:10" s="17" customFormat="1" ht="13.5" customHeight="1">
      <c r="B72" s="77" t="s">
        <v>280</v>
      </c>
      <c r="C72" s="12"/>
      <c r="D72" s="12"/>
      <c r="E72" s="12"/>
      <c r="F72" s="12"/>
      <c r="G72" s="12"/>
      <c r="H72" s="12"/>
      <c r="I72" s="12"/>
      <c r="J72" s="78"/>
    </row>
    <row r="73" spans="2:10" s="17" customFormat="1" ht="13.5" customHeight="1">
      <c r="B73" s="29" t="s">
        <v>281</v>
      </c>
      <c r="C73" s="12"/>
      <c r="D73" s="12"/>
      <c r="E73" s="12"/>
      <c r="F73" s="12"/>
      <c r="G73" s="12"/>
      <c r="H73" s="12"/>
      <c r="I73" s="12"/>
      <c r="J73" s="78"/>
    </row>
    <row r="74" spans="2:10" s="17" customFormat="1" ht="8.25" customHeight="1">
      <c r="B74" s="6" t="s">
        <v>287</v>
      </c>
      <c r="C74" s="10"/>
      <c r="D74" s="10"/>
      <c r="E74" s="10"/>
      <c r="F74" s="10"/>
      <c r="G74" s="10"/>
      <c r="H74" s="10"/>
      <c r="I74" s="12"/>
      <c r="J74" s="78"/>
    </row>
    <row r="75" spans="2:10" s="17" customFormat="1" ht="13.5" customHeight="1">
      <c r="B75" s="79"/>
      <c r="C75" s="80"/>
      <c r="D75" s="10"/>
      <c r="E75" s="10"/>
      <c r="F75" s="10"/>
      <c r="G75" s="10"/>
      <c r="H75" s="10"/>
      <c r="I75" s="12"/>
    </row>
    <row r="76" spans="2:10" s="3" customFormat="1" ht="15">
      <c r="B76" s="47" t="s">
        <v>293</v>
      </c>
    </row>
  </sheetData>
  <mergeCells count="73">
    <mergeCell ref="C4:J4"/>
    <mergeCell ref="C5:I5"/>
    <mergeCell ref="B18:B19"/>
    <mergeCell ref="C18:C19"/>
    <mergeCell ref="G18:J18"/>
    <mergeCell ref="Q18:T18"/>
    <mergeCell ref="V18:V19"/>
    <mergeCell ref="Q24:S26"/>
    <mergeCell ref="C27:D27"/>
    <mergeCell ref="E27:F27"/>
    <mergeCell ref="L27:M27"/>
    <mergeCell ref="L18:O18"/>
    <mergeCell ref="C28:D28"/>
    <mergeCell ref="E28:F28"/>
    <mergeCell ref="L28:M28"/>
    <mergeCell ref="C29:D29"/>
    <mergeCell ref="E29:F29"/>
    <mergeCell ref="L29:M29"/>
    <mergeCell ref="C30:D30"/>
    <mergeCell ref="E30:F30"/>
    <mergeCell ref="L30:M30"/>
    <mergeCell ref="B31:B32"/>
    <mergeCell ref="C31:D32"/>
    <mergeCell ref="E31:F31"/>
    <mergeCell ref="L31:M31"/>
    <mergeCell ref="E32:F32"/>
    <mergeCell ref="L32:M32"/>
    <mergeCell ref="B33:B34"/>
    <mergeCell ref="C33:D34"/>
    <mergeCell ref="E33:F33"/>
    <mergeCell ref="L33:M33"/>
    <mergeCell ref="E34:F34"/>
    <mergeCell ref="L34:M34"/>
    <mergeCell ref="B35:B36"/>
    <mergeCell ref="C35:D36"/>
    <mergeCell ref="E35:F35"/>
    <mergeCell ref="L35:M35"/>
    <mergeCell ref="E36:F36"/>
    <mergeCell ref="L36:M36"/>
    <mergeCell ref="B39:B40"/>
    <mergeCell ref="C39:D40"/>
    <mergeCell ref="E39:F39"/>
    <mergeCell ref="L39:L40"/>
    <mergeCell ref="E40:F40"/>
    <mergeCell ref="B37:B38"/>
    <mergeCell ref="C37:D38"/>
    <mergeCell ref="E37:F37"/>
    <mergeCell ref="L37:M38"/>
    <mergeCell ref="E38:F38"/>
    <mergeCell ref="P48:S48"/>
    <mergeCell ref="B41:B42"/>
    <mergeCell ref="C41:D42"/>
    <mergeCell ref="E41:F41"/>
    <mergeCell ref="L41:L42"/>
    <mergeCell ref="E42:F42"/>
    <mergeCell ref="B43:B44"/>
    <mergeCell ref="C43:D44"/>
    <mergeCell ref="E43:F43"/>
    <mergeCell ref="E44:F44"/>
    <mergeCell ref="B45:B46"/>
    <mergeCell ref="C45:D46"/>
    <mergeCell ref="E45:F45"/>
    <mergeCell ref="L45:M46"/>
    <mergeCell ref="E46:F46"/>
    <mergeCell ref="B49:B50"/>
    <mergeCell ref="C49:C50"/>
    <mergeCell ref="L49:M50"/>
    <mergeCell ref="B52:J52"/>
    <mergeCell ref="B47:B48"/>
    <mergeCell ref="C47:D48"/>
    <mergeCell ref="E47:F47"/>
    <mergeCell ref="L47:M48"/>
    <mergeCell ref="E48:F48"/>
  </mergeCells>
  <hyperlinks>
    <hyperlink ref="B76" location="OCEANIA!A1" display="BACK TO TOP" xr:uid="{F5C398C2-A5BD-4F24-B0CC-00BF04FE19A4}"/>
    <hyperlink ref="L10" r:id="rId1" xr:uid="{7EBC8F00-6337-4272-A7DC-53B62C33B77F}"/>
    <hyperlink ref="L12" r:id="rId2" xr:uid="{3D08D48A-B6CA-49A4-81EA-D44A633485F7}"/>
    <hyperlink ref="C53" r:id="rId3" xr:uid="{53A1093B-C7E7-45B7-A861-BF4630181568}"/>
    <hyperlink ref="C62" r:id="rId4" xr:uid="{A7D523AB-D743-4BC1-98E4-981BCD56E347}"/>
    <hyperlink ref="C63" r:id="rId5" xr:uid="{861C8049-C7C4-4F57-BB89-C4E4EC8A68A5}"/>
  </hyperlink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31D5-4633-4BC8-864E-8A33857E17ED}">
  <sheetPr>
    <tabColor rgb="FFFF0000"/>
  </sheetPr>
  <dimension ref="A1:CB105"/>
  <sheetViews>
    <sheetView topLeftCell="A13" workbookViewId="0">
      <selection activeCell="L40" sqref="L40"/>
    </sheetView>
  </sheetViews>
  <sheetFormatPr baseColWidth="10" defaultColWidth="9.140625" defaultRowHeight="11.25"/>
  <cols>
    <col min="1" max="1" width="6.140625" style="2" customWidth="1"/>
    <col min="2" max="2" width="55.5703125" style="10" customWidth="1"/>
    <col min="3" max="3" width="30" style="10" customWidth="1"/>
    <col min="4" max="4" width="23" style="10" customWidth="1"/>
    <col min="5" max="5" width="12.28515625" style="10" customWidth="1"/>
    <col min="6" max="6" width="10.7109375" style="10" bestFit="1" customWidth="1"/>
    <col min="7" max="9" width="11.85546875" style="10" customWidth="1"/>
    <col min="10" max="10" width="0.42578125" style="10" customWidth="1"/>
    <col min="11" max="11" width="8.140625" style="10" customWidth="1"/>
    <col min="12" max="14" width="11.85546875" style="10" customWidth="1"/>
    <col min="15" max="15" width="0.42578125" style="10" customWidth="1"/>
    <col min="16" max="16" width="25.28515625" style="10" customWidth="1"/>
    <col min="17" max="17" width="33.7109375" style="10" bestFit="1" customWidth="1"/>
    <col min="18" max="19" width="11.85546875" style="10" customWidth="1"/>
    <col min="20" max="20" width="0.42578125" style="10" customWidth="1"/>
    <col min="21" max="21" width="1.5703125" style="10" customWidth="1"/>
    <col min="22" max="22" width="26.5703125" style="3" customWidth="1"/>
    <col min="23" max="80" width="9.140625" style="3"/>
    <col min="81" max="16384" width="9.140625" style="19"/>
  </cols>
  <sheetData>
    <row r="1" spans="1:80">
      <c r="N1" s="3"/>
      <c r="O1" s="3"/>
      <c r="P1" s="3"/>
      <c r="Q1" s="3"/>
      <c r="R1" s="3"/>
      <c r="S1" s="3"/>
      <c r="T1" s="3"/>
      <c r="U1" s="3"/>
      <c r="BU1" s="19"/>
      <c r="BV1" s="19"/>
      <c r="BW1" s="19"/>
      <c r="BX1" s="19"/>
      <c r="BY1" s="19"/>
      <c r="BZ1" s="19"/>
      <c r="CA1" s="19"/>
      <c r="CB1" s="19"/>
    </row>
    <row r="2" spans="1:80" s="12" customFormat="1">
      <c r="A2" s="2"/>
      <c r="B2" s="10"/>
      <c r="C2" s="10"/>
      <c r="D2" s="10"/>
      <c r="E2" s="10"/>
      <c r="F2" s="10"/>
      <c r="G2" s="11"/>
      <c r="H2" s="11"/>
      <c r="I2" s="11"/>
      <c r="J2" s="11"/>
      <c r="K2" s="10"/>
      <c r="L2" s="10"/>
      <c r="M2" s="10"/>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row>
    <row r="3" spans="1:80" s="12" customFormat="1" ht="12.75">
      <c r="A3" s="2"/>
      <c r="B3" s="42"/>
      <c r="C3" s="43" t="s">
        <v>519</v>
      </c>
      <c r="D3" s="44"/>
      <c r="E3" s="44"/>
      <c r="F3" s="44"/>
      <c r="G3" s="44"/>
      <c r="H3" s="44"/>
      <c r="I3" s="45"/>
      <c r="J3" s="1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row>
    <row r="4" spans="1:80" s="12" customFormat="1" ht="12.75">
      <c r="A4" s="2"/>
      <c r="B4" s="42" t="s">
        <v>40</v>
      </c>
      <c r="C4" s="561" t="s">
        <v>520</v>
      </c>
      <c r="D4" s="561"/>
      <c r="E4" s="561"/>
      <c r="F4" s="561"/>
      <c r="G4" s="561"/>
      <c r="H4" s="561"/>
      <c r="I4" s="561"/>
      <c r="J4" s="561"/>
      <c r="L4" s="10"/>
      <c r="M4" s="10"/>
      <c r="N4" s="10"/>
      <c r="O4" s="10"/>
      <c r="P4" s="10"/>
      <c r="Q4" s="10"/>
      <c r="R4" s="10"/>
      <c r="S4" s="10"/>
      <c r="T4" s="10"/>
      <c r="U4" s="10"/>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row>
    <row r="5" spans="1:80" s="12" customFormat="1" ht="12.75">
      <c r="A5" s="2"/>
      <c r="B5" s="42" t="s">
        <v>42</v>
      </c>
      <c r="C5" s="480" t="s">
        <v>43</v>
      </c>
      <c r="D5" s="480"/>
      <c r="E5" s="480"/>
      <c r="F5" s="480"/>
      <c r="G5" s="480"/>
      <c r="H5" s="480"/>
      <c r="I5" s="480"/>
      <c r="J5" s="13"/>
      <c r="L5" s="1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row>
    <row r="6" spans="1:80" s="12" customFormat="1" ht="14.25">
      <c r="A6" s="2"/>
      <c r="B6" s="23" t="s">
        <v>44</v>
      </c>
      <c r="C6" s="14"/>
      <c r="D6" s="14"/>
      <c r="E6" s="22"/>
      <c r="F6" s="15"/>
      <c r="G6" s="13"/>
      <c r="H6" s="13"/>
      <c r="I6" s="13"/>
      <c r="J6" s="13"/>
      <c r="L6" s="1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row>
    <row r="7" spans="1:80" s="12" customFormat="1" ht="14.25">
      <c r="A7" s="2"/>
      <c r="B7" s="23"/>
      <c r="C7" s="14"/>
      <c r="D7" s="14"/>
      <c r="E7" s="22"/>
      <c r="F7" s="15"/>
      <c r="G7" s="13"/>
      <c r="H7" s="13"/>
      <c r="I7" s="13"/>
      <c r="J7" s="21"/>
      <c r="L7" s="1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row>
    <row r="8" spans="1:80" s="12" customFormat="1" ht="15">
      <c r="A8" s="2"/>
      <c r="B8" s="31"/>
      <c r="C8" s="31"/>
      <c r="D8" s="31"/>
      <c r="E8" s="32"/>
      <c r="F8" s="33"/>
      <c r="G8" s="15"/>
      <c r="H8" s="21"/>
      <c r="I8" s="20"/>
      <c r="J8" s="20"/>
      <c r="L8" s="1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row>
    <row r="9" spans="1:80" s="12" customFormat="1" ht="15">
      <c r="A9" s="2"/>
      <c r="B9" s="34"/>
      <c r="C9" s="35"/>
      <c r="D9" s="35"/>
      <c r="E9" s="22"/>
      <c r="F9" s="35"/>
      <c r="G9" s="35"/>
      <c r="H9" s="21"/>
      <c r="I9" s="20"/>
      <c r="J9" s="20"/>
      <c r="L9" s="1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row>
    <row r="10" spans="1:80" s="12" customFormat="1" ht="15">
      <c r="A10" s="2"/>
      <c r="B10" s="311"/>
      <c r="C10" s="312"/>
      <c r="D10" s="22"/>
      <c r="E10" s="22"/>
      <c r="F10" s="312"/>
      <c r="G10" s="313"/>
      <c r="H10" s="38"/>
      <c r="I10" s="21"/>
      <c r="J10" s="21"/>
      <c r="L10" s="1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row>
    <row r="11" spans="1:80" s="12" customFormat="1" ht="15">
      <c r="A11" s="2"/>
      <c r="B11" s="311"/>
      <c r="C11"/>
      <c r="D11" s="312"/>
      <c r="E11" s="313"/>
      <c r="F11" s="313"/>
      <c r="G11" s="38"/>
      <c r="H11" s="21"/>
      <c r="I11" s="21"/>
      <c r="J11" s="20"/>
      <c r="L11" s="31" t="s">
        <v>45</v>
      </c>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row>
    <row r="12" spans="1:80" s="12" customFormat="1" ht="15">
      <c r="A12" s="2"/>
      <c r="B12" s="311"/>
      <c r="C12" s="312"/>
      <c r="D12" s="312"/>
      <c r="E12" s="313"/>
      <c r="F12" s="313"/>
      <c r="G12" s="38"/>
      <c r="H12" s="21"/>
      <c r="I12" s="21"/>
      <c r="J12" s="20"/>
      <c r="L12" s="21"/>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row>
    <row r="13" spans="1:80" ht="15">
      <c r="K13" s="12"/>
      <c r="L13" s="37" t="s">
        <v>46</v>
      </c>
      <c r="M13" s="12"/>
      <c r="N13" s="12"/>
      <c r="O13" s="12"/>
      <c r="P13" s="12"/>
      <c r="Q13" s="12"/>
      <c r="R13" s="12"/>
      <c r="S13" s="12"/>
      <c r="T13" s="12"/>
      <c r="U13" s="12"/>
      <c r="V13" s="12"/>
      <c r="BT13" s="19"/>
      <c r="BU13" s="19"/>
      <c r="BV13" s="19"/>
      <c r="BW13" s="19"/>
      <c r="BX13" s="19"/>
      <c r="BY13" s="19"/>
      <c r="BZ13" s="19"/>
      <c r="CA13" s="19"/>
      <c r="CB13" s="19"/>
    </row>
    <row r="14" spans="1:80" ht="15">
      <c r="L14" s="37"/>
      <c r="M14" s="12"/>
      <c r="N14" s="12"/>
      <c r="O14" s="12"/>
      <c r="P14" s="12"/>
      <c r="Q14" s="12"/>
      <c r="R14" s="12"/>
      <c r="S14" s="12"/>
      <c r="T14" s="12"/>
      <c r="U14" s="12"/>
      <c r="V14" s="12"/>
      <c r="CB14" s="19"/>
    </row>
    <row r="15" spans="1:80" ht="15">
      <c r="L15" s="37" t="s">
        <v>47</v>
      </c>
      <c r="M15" s="12"/>
      <c r="N15" s="12"/>
      <c r="O15" s="12"/>
      <c r="P15" s="12"/>
      <c r="Q15" s="12"/>
      <c r="R15" s="12"/>
      <c r="S15" s="12"/>
      <c r="T15" s="12"/>
      <c r="U15" s="12"/>
      <c r="V15" s="12"/>
      <c r="CB15" s="19"/>
    </row>
    <row r="16" spans="1:80">
      <c r="U16" s="3"/>
      <c r="CB16" s="19"/>
    </row>
    <row r="17" spans="2:80">
      <c r="U17" s="3"/>
      <c r="CB17" s="19"/>
    </row>
    <row r="18" spans="2:80">
      <c r="B18" s="558" t="s">
        <v>48</v>
      </c>
      <c r="C18" s="558" t="s">
        <v>50</v>
      </c>
      <c r="D18" s="50" t="s">
        <v>51</v>
      </c>
      <c r="E18" s="25"/>
      <c r="F18" s="557" t="s">
        <v>53</v>
      </c>
      <c r="G18" s="557"/>
      <c r="H18" s="557"/>
      <c r="I18" s="557"/>
      <c r="J18" s="16"/>
      <c r="K18" s="557" t="s">
        <v>54</v>
      </c>
      <c r="L18" s="557"/>
      <c r="M18" s="557"/>
      <c r="N18" s="557"/>
      <c r="O18" s="51"/>
      <c r="P18" s="558" t="s">
        <v>444</v>
      </c>
      <c r="Q18" s="3"/>
      <c r="R18" s="3"/>
      <c r="S18" s="3"/>
      <c r="T18" s="3"/>
      <c r="U18" s="3"/>
      <c r="BW18" s="19"/>
      <c r="BX18" s="19"/>
      <c r="BY18" s="19"/>
      <c r="BZ18" s="19"/>
      <c r="CA18" s="19"/>
      <c r="CB18" s="19"/>
    </row>
    <row r="19" spans="2:80" ht="22.5">
      <c r="B19" s="558"/>
      <c r="C19" s="558"/>
      <c r="D19" s="50"/>
      <c r="E19" s="25"/>
      <c r="F19" s="49" t="s">
        <v>297</v>
      </c>
      <c r="G19" s="49" t="s">
        <v>387</v>
      </c>
      <c r="H19" s="49" t="s">
        <v>388</v>
      </c>
      <c r="I19" s="49" t="s">
        <v>389</v>
      </c>
      <c r="J19" s="16"/>
      <c r="K19" s="49" t="s">
        <v>297</v>
      </c>
      <c r="L19" s="49" t="s">
        <v>387</v>
      </c>
      <c r="M19" s="49" t="s">
        <v>388</v>
      </c>
      <c r="N19" s="49" t="s">
        <v>389</v>
      </c>
      <c r="O19" s="52"/>
      <c r="P19" s="558"/>
      <c r="Q19" s="3"/>
      <c r="R19" s="3"/>
      <c r="S19" s="3"/>
      <c r="T19" s="3"/>
      <c r="U19" s="3"/>
      <c r="BW19" s="19"/>
      <c r="BX19" s="19"/>
      <c r="BY19" s="19"/>
      <c r="BZ19" s="19"/>
      <c r="CA19" s="19"/>
      <c r="CB19" s="19"/>
    </row>
    <row r="20" spans="2:80" ht="22.5">
      <c r="B20" s="41" t="s">
        <v>521</v>
      </c>
      <c r="C20" s="39" t="s">
        <v>522</v>
      </c>
      <c r="D20" s="40" t="s">
        <v>66</v>
      </c>
      <c r="E20" s="25"/>
      <c r="F20" s="46">
        <v>1600</v>
      </c>
      <c r="G20" s="46">
        <v>1750</v>
      </c>
      <c r="H20" s="46">
        <v>1750</v>
      </c>
      <c r="I20" s="40" t="s">
        <v>447</v>
      </c>
      <c r="J20" s="16"/>
      <c r="K20" s="46">
        <v>1600</v>
      </c>
      <c r="L20" s="46">
        <v>1750</v>
      </c>
      <c r="M20" s="46">
        <v>1750</v>
      </c>
      <c r="N20" s="40" t="s">
        <v>447</v>
      </c>
      <c r="O20" s="53"/>
      <c r="P20" s="39" t="s">
        <v>523</v>
      </c>
      <c r="Q20" s="3"/>
      <c r="R20" s="3"/>
      <c r="S20" s="3"/>
      <c r="T20" s="3"/>
      <c r="U20" s="3"/>
      <c r="BW20" s="19"/>
      <c r="BX20" s="19"/>
      <c r="BY20" s="19"/>
      <c r="BZ20" s="19"/>
      <c r="CA20" s="19"/>
      <c r="CB20" s="19"/>
    </row>
    <row r="21" spans="2:80">
      <c r="B21" s="80"/>
      <c r="M21" s="24"/>
      <c r="N21" s="59"/>
      <c r="O21" s="378"/>
      <c r="P21" s="39" t="s">
        <v>524</v>
      </c>
      <c r="Q21" s="3"/>
      <c r="R21" s="3"/>
      <c r="S21" s="3"/>
      <c r="T21" s="3"/>
      <c r="U21" s="3"/>
      <c r="BW21" s="19"/>
      <c r="BX21" s="19"/>
      <c r="BY21" s="19"/>
      <c r="BZ21" s="19"/>
      <c r="CA21" s="19"/>
      <c r="CB21" s="19"/>
    </row>
    <row r="22" spans="2:80" ht="33.75">
      <c r="B22" s="80"/>
      <c r="M22" s="24"/>
      <c r="N22" s="59"/>
      <c r="O22" s="378"/>
      <c r="P22" s="39" t="s">
        <v>525</v>
      </c>
      <c r="Q22" s="3"/>
      <c r="R22" s="3"/>
      <c r="S22" s="3"/>
      <c r="T22" s="3"/>
      <c r="U22" s="3"/>
      <c r="BW22" s="19"/>
      <c r="BX22" s="19"/>
      <c r="BY22" s="19"/>
      <c r="BZ22" s="19"/>
      <c r="CA22" s="19"/>
      <c r="CB22" s="19"/>
    </row>
    <row r="23" spans="2:80">
      <c r="B23" s="80"/>
      <c r="M23" s="24"/>
      <c r="N23" s="59"/>
      <c r="O23" s="378"/>
      <c r="P23" s="39"/>
      <c r="Q23" s="3"/>
      <c r="R23" s="3"/>
      <c r="S23" s="3"/>
      <c r="T23" s="3"/>
      <c r="U23" s="3"/>
      <c r="BW23" s="19"/>
      <c r="BX23" s="19"/>
      <c r="BY23" s="19"/>
      <c r="BZ23" s="19"/>
      <c r="CA23" s="19"/>
      <c r="CB23" s="19"/>
    </row>
    <row r="24" spans="2:80">
      <c r="B24" s="558" t="s">
        <v>48</v>
      </c>
      <c r="C24" s="558" t="s">
        <v>50</v>
      </c>
      <c r="D24" s="50" t="s">
        <v>51</v>
      </c>
      <c r="E24" s="25"/>
      <c r="F24" s="557" t="s">
        <v>53</v>
      </c>
      <c r="G24" s="557"/>
      <c r="H24" s="557"/>
      <c r="I24" s="557"/>
      <c r="J24" s="16"/>
      <c r="K24" s="557" t="s">
        <v>54</v>
      </c>
      <c r="L24" s="557"/>
      <c r="M24" s="557"/>
      <c r="N24" s="557"/>
      <c r="O24" s="51"/>
      <c r="P24" s="558" t="s">
        <v>444</v>
      </c>
      <c r="Q24" s="3"/>
      <c r="R24" s="3"/>
      <c r="S24" s="3"/>
      <c r="T24" s="3"/>
      <c r="U24" s="3"/>
      <c r="BW24" s="19"/>
      <c r="BX24" s="19"/>
      <c r="BY24" s="19"/>
      <c r="BZ24" s="19"/>
      <c r="CA24" s="19"/>
      <c r="CB24" s="19"/>
    </row>
    <row r="25" spans="2:80">
      <c r="B25" s="558"/>
      <c r="C25" s="558"/>
      <c r="D25" s="50"/>
      <c r="E25" s="25"/>
      <c r="F25" s="49"/>
      <c r="G25" s="49"/>
      <c r="H25" s="471" t="s">
        <v>526</v>
      </c>
      <c r="I25" s="49" t="s">
        <v>389</v>
      </c>
      <c r="J25" s="16"/>
      <c r="K25" s="49"/>
      <c r="L25" s="49"/>
      <c r="M25" s="49" t="s">
        <v>526</v>
      </c>
      <c r="N25" s="49" t="s">
        <v>389</v>
      </c>
      <c r="O25" s="52"/>
      <c r="P25" s="558"/>
      <c r="Q25" s="3"/>
      <c r="R25" s="3"/>
      <c r="S25" s="3"/>
      <c r="T25" s="3"/>
      <c r="U25" s="3"/>
      <c r="BW25" s="19"/>
      <c r="BX25" s="19"/>
      <c r="BY25" s="19"/>
      <c r="BZ25" s="19"/>
      <c r="CA25" s="19"/>
      <c r="CB25" s="19"/>
    </row>
    <row r="26" spans="2:80" ht="22.5">
      <c r="B26" s="41" t="s">
        <v>521</v>
      </c>
      <c r="C26" s="39" t="s">
        <v>522</v>
      </c>
      <c r="D26" s="40" t="s">
        <v>66</v>
      </c>
      <c r="E26" s="25"/>
      <c r="F26" s="46"/>
      <c r="G26" s="46"/>
      <c r="H26" s="46">
        <v>3500</v>
      </c>
      <c r="I26" s="40" t="s">
        <v>447</v>
      </c>
      <c r="J26" s="16"/>
      <c r="K26" s="46"/>
      <c r="L26" s="46"/>
      <c r="M26" s="46">
        <v>3500</v>
      </c>
      <c r="N26" s="40" t="s">
        <v>447</v>
      </c>
      <c r="O26" s="53"/>
      <c r="P26" s="39" t="s">
        <v>523</v>
      </c>
      <c r="Q26" s="3"/>
      <c r="R26" s="3"/>
      <c r="S26" s="3"/>
      <c r="T26" s="3"/>
      <c r="U26" s="3"/>
      <c r="BW26" s="19"/>
      <c r="BX26" s="19"/>
      <c r="BY26" s="19"/>
      <c r="BZ26" s="19"/>
      <c r="CA26" s="19"/>
      <c r="CB26" s="19"/>
    </row>
    <row r="27" spans="2:80">
      <c r="B27" s="80"/>
      <c r="M27" s="24"/>
      <c r="N27" s="59"/>
      <c r="O27" s="378"/>
      <c r="P27" s="39" t="s">
        <v>524</v>
      </c>
      <c r="Q27" s="3"/>
      <c r="R27" s="3"/>
      <c r="S27" s="3"/>
      <c r="T27" s="3"/>
      <c r="U27" s="3"/>
      <c r="BW27" s="19"/>
      <c r="BX27" s="19"/>
      <c r="BY27" s="19"/>
      <c r="BZ27" s="19"/>
      <c r="CA27" s="19"/>
      <c r="CB27" s="19"/>
    </row>
    <row r="28" spans="2:80" ht="33.75">
      <c r="B28" s="80"/>
      <c r="M28" s="24"/>
      <c r="N28" s="59"/>
      <c r="O28" s="378"/>
      <c r="P28" s="39" t="s">
        <v>525</v>
      </c>
      <c r="Q28" s="3"/>
      <c r="R28" s="3"/>
      <c r="S28" s="3"/>
      <c r="T28" s="3"/>
      <c r="U28" s="3"/>
      <c r="BW28" s="19"/>
      <c r="BX28" s="19"/>
      <c r="BY28" s="19"/>
      <c r="BZ28" s="19"/>
      <c r="CA28" s="19"/>
      <c r="CB28" s="19"/>
    </row>
    <row r="29" spans="2:80">
      <c r="B29" s="80"/>
      <c r="M29" s="24"/>
      <c r="N29" s="59"/>
      <c r="O29" s="378"/>
      <c r="P29" s="39"/>
      <c r="Q29" s="3"/>
      <c r="R29" s="3"/>
      <c r="S29" s="3"/>
      <c r="T29" s="3"/>
      <c r="U29" s="3"/>
      <c r="BW29" s="19"/>
      <c r="BX29" s="19"/>
      <c r="BY29" s="19"/>
      <c r="BZ29" s="19"/>
      <c r="CA29" s="19"/>
      <c r="CB29" s="19"/>
    </row>
    <row r="30" spans="2:80">
      <c r="B30" s="376" t="s">
        <v>527</v>
      </c>
      <c r="C30" s="376" t="s">
        <v>528</v>
      </c>
      <c r="D30" s="376" t="s">
        <v>529</v>
      </c>
      <c r="E30" s="376" t="s">
        <v>530</v>
      </c>
      <c r="F30" s="379" t="s">
        <v>51</v>
      </c>
      <c r="N30" s="24"/>
      <c r="O30" s="59"/>
      <c r="P30" s="378"/>
      <c r="Q30" s="58"/>
      <c r="R30" s="3"/>
      <c r="S30" s="3"/>
      <c r="T30" s="3"/>
      <c r="U30" s="3"/>
      <c r="BX30" s="19"/>
      <c r="BY30" s="19"/>
      <c r="BZ30" s="19"/>
      <c r="CA30" s="19"/>
      <c r="CB30" s="19"/>
    </row>
    <row r="31" spans="2:80">
      <c r="B31" s="380" t="s">
        <v>531</v>
      </c>
      <c r="C31" s="381">
        <v>250</v>
      </c>
      <c r="D31" s="381">
        <v>500</v>
      </c>
      <c r="E31" s="381" t="s">
        <v>362</v>
      </c>
      <c r="F31" s="381" t="s">
        <v>66</v>
      </c>
      <c r="N31" s="24"/>
      <c r="O31" s="59"/>
      <c r="P31" s="378"/>
      <c r="Q31" s="58"/>
      <c r="R31" s="3"/>
      <c r="S31" s="3"/>
      <c r="T31" s="3"/>
      <c r="U31" s="3"/>
      <c r="BX31" s="19"/>
      <c r="BY31" s="19"/>
      <c r="BZ31" s="19"/>
      <c r="CA31" s="19"/>
      <c r="CB31" s="19"/>
    </row>
    <row r="32" spans="2:80">
      <c r="B32" s="381" t="s">
        <v>532</v>
      </c>
      <c r="C32" s="381">
        <v>330</v>
      </c>
      <c r="D32" s="381">
        <v>600</v>
      </c>
      <c r="E32" s="381" t="s">
        <v>362</v>
      </c>
      <c r="F32" s="381" t="s">
        <v>66</v>
      </c>
      <c r="N32" s="24"/>
      <c r="O32" s="59"/>
      <c r="P32" s="378"/>
      <c r="Q32" s="58"/>
      <c r="R32" s="3"/>
      <c r="S32" s="3"/>
      <c r="T32" s="3"/>
      <c r="U32" s="3"/>
      <c r="BX32" s="19"/>
      <c r="BY32" s="19"/>
      <c r="BZ32" s="19"/>
      <c r="CA32" s="19"/>
      <c r="CB32" s="19"/>
    </row>
    <row r="33" spans="2:80">
      <c r="B33" s="381" t="s">
        <v>533</v>
      </c>
      <c r="C33" s="381">
        <v>300</v>
      </c>
      <c r="D33" s="381">
        <v>500</v>
      </c>
      <c r="E33" s="381" t="s">
        <v>362</v>
      </c>
      <c r="F33" s="381" t="s">
        <v>66</v>
      </c>
      <c r="N33" s="24"/>
      <c r="O33" s="59"/>
      <c r="P33" s="378"/>
      <c r="Q33" s="58"/>
      <c r="R33" s="3"/>
      <c r="S33" s="3"/>
      <c r="T33" s="3"/>
      <c r="U33" s="3"/>
      <c r="BX33" s="19"/>
      <c r="BY33" s="19"/>
      <c r="BZ33" s="19"/>
      <c r="CA33" s="19"/>
      <c r="CB33" s="19"/>
    </row>
    <row r="34" spans="2:80">
      <c r="M34" s="24"/>
      <c r="N34" s="59"/>
      <c r="O34" s="378"/>
      <c r="P34" s="58"/>
      <c r="Q34" s="3"/>
      <c r="R34" s="3"/>
      <c r="S34" s="3"/>
      <c r="T34" s="3"/>
      <c r="U34" s="3"/>
      <c r="BW34" s="19"/>
      <c r="BX34" s="19"/>
      <c r="BY34" s="19"/>
      <c r="BZ34" s="19"/>
      <c r="CA34" s="19"/>
      <c r="CB34" s="19"/>
    </row>
    <row r="35" spans="2:80">
      <c r="B35" s="382" t="s">
        <v>534</v>
      </c>
      <c r="C35" s="376" t="s">
        <v>528</v>
      </c>
      <c r="D35" s="376" t="s">
        <v>529</v>
      </c>
      <c r="E35" s="376" t="s">
        <v>530</v>
      </c>
      <c r="F35" s="379" t="s">
        <v>51</v>
      </c>
      <c r="M35" s="24"/>
      <c r="N35" s="59"/>
      <c r="O35" s="378"/>
      <c r="P35" s="58"/>
      <c r="Q35" s="3"/>
      <c r="R35" s="3"/>
      <c r="S35" s="3"/>
      <c r="T35" s="3"/>
      <c r="U35" s="3"/>
      <c r="BW35" s="19"/>
      <c r="BX35" s="19"/>
      <c r="BY35" s="19"/>
      <c r="BZ35" s="19"/>
      <c r="CA35" s="19"/>
      <c r="CB35" s="19"/>
    </row>
    <row r="36" spans="2:80">
      <c r="B36" s="469" t="s">
        <v>535</v>
      </c>
      <c r="C36" s="470">
        <v>900</v>
      </c>
      <c r="D36" s="470">
        <v>1200</v>
      </c>
      <c r="E36" s="470">
        <v>1950</v>
      </c>
      <c r="F36" s="470" t="s">
        <v>66</v>
      </c>
      <c r="G36" s="10" t="s">
        <v>536</v>
      </c>
      <c r="M36" s="24"/>
      <c r="N36" s="59"/>
      <c r="O36" s="378"/>
      <c r="P36" s="58"/>
      <c r="Q36" s="3"/>
      <c r="R36" s="3"/>
      <c r="S36" s="3"/>
      <c r="T36" s="3"/>
      <c r="U36" s="3"/>
      <c r="BW36" s="19"/>
      <c r="BX36" s="19"/>
      <c r="BY36" s="19"/>
      <c r="BZ36" s="19"/>
      <c r="CA36" s="19"/>
      <c r="CB36" s="19"/>
    </row>
    <row r="37" spans="2:80">
      <c r="B37" s="470" t="s">
        <v>537</v>
      </c>
      <c r="C37" s="470">
        <v>1050</v>
      </c>
      <c r="D37" s="470">
        <v>1450</v>
      </c>
      <c r="E37" s="470">
        <v>2575</v>
      </c>
      <c r="F37" s="470" t="s">
        <v>66</v>
      </c>
      <c r="G37" s="10" t="s">
        <v>536</v>
      </c>
      <c r="M37" s="24"/>
      <c r="N37" s="59"/>
      <c r="O37" s="378"/>
      <c r="P37" s="58"/>
      <c r="Q37" s="3"/>
      <c r="R37" s="3"/>
      <c r="S37" s="3"/>
      <c r="T37" s="3"/>
      <c r="U37" s="3"/>
      <c r="BW37" s="19"/>
      <c r="BX37" s="19"/>
      <c r="BY37" s="19"/>
      <c r="BZ37" s="19"/>
      <c r="CA37" s="19"/>
      <c r="CB37" s="19"/>
    </row>
    <row r="38" spans="2:80">
      <c r="B38" s="469" t="s">
        <v>538</v>
      </c>
      <c r="C38" s="470">
        <v>2100</v>
      </c>
      <c r="D38" s="470">
        <v>3000</v>
      </c>
      <c r="E38" s="470" t="s">
        <v>539</v>
      </c>
      <c r="F38" s="470" t="s">
        <v>66</v>
      </c>
      <c r="G38" s="10" t="s">
        <v>536</v>
      </c>
      <c r="M38" s="24"/>
      <c r="N38" s="59"/>
      <c r="O38" s="378"/>
      <c r="P38" s="58"/>
      <c r="Q38" s="3"/>
      <c r="R38" s="3"/>
      <c r="S38" s="3"/>
      <c r="T38" s="3"/>
      <c r="U38" s="3"/>
      <c r="BW38" s="19"/>
      <c r="BX38" s="19"/>
      <c r="BY38" s="19"/>
      <c r="BZ38" s="19"/>
      <c r="CA38" s="19"/>
      <c r="CB38" s="19"/>
    </row>
    <row r="39" spans="2:80">
      <c r="B39" s="470" t="s">
        <v>540</v>
      </c>
      <c r="C39" s="470">
        <v>2600</v>
      </c>
      <c r="D39" s="470">
        <v>3800</v>
      </c>
      <c r="E39" s="470" t="s">
        <v>539</v>
      </c>
      <c r="F39" s="470" t="s">
        <v>66</v>
      </c>
      <c r="G39" s="10" t="s">
        <v>536</v>
      </c>
      <c r="M39" s="24"/>
      <c r="N39" s="59"/>
      <c r="O39" s="378"/>
      <c r="P39" s="58"/>
      <c r="Q39" s="3"/>
      <c r="R39" s="3"/>
      <c r="S39" s="3"/>
      <c r="T39" s="3"/>
      <c r="U39" s="3"/>
      <c r="BW39" s="19"/>
      <c r="BX39" s="19"/>
      <c r="BY39" s="19"/>
      <c r="BZ39" s="19"/>
      <c r="CA39" s="19"/>
      <c r="CB39" s="19"/>
    </row>
    <row r="40" spans="2:80">
      <c r="B40" s="469" t="s">
        <v>541</v>
      </c>
      <c r="C40" s="470">
        <v>2600</v>
      </c>
      <c r="D40" s="470">
        <v>3800</v>
      </c>
      <c r="E40" s="470" t="s">
        <v>539</v>
      </c>
      <c r="F40" s="470" t="s">
        <v>66</v>
      </c>
      <c r="G40" s="10" t="s">
        <v>536</v>
      </c>
      <c r="M40" s="24"/>
      <c r="N40" s="59"/>
      <c r="O40" s="378"/>
      <c r="P40" s="58"/>
      <c r="Q40" s="3"/>
      <c r="R40" s="3"/>
      <c r="S40" s="3"/>
      <c r="T40" s="3"/>
      <c r="U40" s="3"/>
      <c r="BW40" s="19"/>
      <c r="BX40" s="19"/>
      <c r="BY40" s="19"/>
      <c r="BZ40" s="19"/>
      <c r="CA40" s="19"/>
      <c r="CB40" s="19"/>
    </row>
    <row r="41" spans="2:80">
      <c r="B41" s="470" t="s">
        <v>542</v>
      </c>
      <c r="C41" s="470">
        <v>2600</v>
      </c>
      <c r="D41" s="470">
        <v>3800</v>
      </c>
      <c r="E41" s="470" t="s">
        <v>539</v>
      </c>
      <c r="F41" s="470" t="s">
        <v>66</v>
      </c>
      <c r="G41" s="10" t="s">
        <v>536</v>
      </c>
      <c r="M41" s="24"/>
      <c r="N41" s="59"/>
      <c r="O41" s="378"/>
      <c r="P41" s="58"/>
      <c r="Q41" s="3"/>
      <c r="R41" s="3"/>
      <c r="S41" s="3"/>
      <c r="T41" s="3"/>
      <c r="U41" s="3"/>
      <c r="BW41" s="19"/>
      <c r="BX41" s="19"/>
      <c r="BY41" s="19"/>
      <c r="BZ41" s="19"/>
      <c r="CA41" s="19"/>
      <c r="CB41" s="19"/>
    </row>
    <row r="42" spans="2:80">
      <c r="M42" s="24"/>
      <c r="N42" s="59"/>
      <c r="O42" s="378"/>
      <c r="P42" s="58"/>
      <c r="Q42" s="3"/>
      <c r="R42" s="3"/>
      <c r="S42" s="3"/>
      <c r="T42" s="3"/>
      <c r="U42" s="3"/>
      <c r="BW42" s="19"/>
      <c r="BX42" s="19"/>
      <c r="BY42" s="19"/>
      <c r="BZ42" s="19"/>
      <c r="CA42" s="19"/>
      <c r="CB42" s="19"/>
    </row>
    <row r="43" spans="2:80">
      <c r="M43" s="24"/>
      <c r="N43" s="59"/>
      <c r="O43" s="378"/>
      <c r="P43" s="58"/>
      <c r="Q43" s="3"/>
      <c r="R43" s="3"/>
      <c r="S43" s="3"/>
      <c r="T43" s="3"/>
      <c r="U43" s="3"/>
      <c r="BW43" s="19"/>
      <c r="BX43" s="19"/>
      <c r="BY43" s="19"/>
      <c r="BZ43" s="19"/>
      <c r="CA43" s="19"/>
      <c r="CB43" s="19"/>
    </row>
    <row r="44" spans="2:80" ht="12" thickBot="1">
      <c r="M44" s="24"/>
      <c r="N44" s="59"/>
      <c r="O44" s="378"/>
      <c r="P44" s="58"/>
      <c r="Q44" s="3"/>
      <c r="R44" s="3"/>
      <c r="S44" s="3"/>
      <c r="T44" s="3"/>
      <c r="U44" s="3"/>
      <c r="BW44" s="19"/>
      <c r="BX44" s="19"/>
      <c r="BY44" s="19"/>
      <c r="BZ44" s="19"/>
      <c r="CA44" s="19"/>
      <c r="CB44" s="19"/>
    </row>
    <row r="45" spans="2:80" ht="15.75" thickTop="1">
      <c r="B45" s="427" t="s">
        <v>543</v>
      </c>
      <c r="C45" s="428"/>
      <c r="D45" s="428"/>
      <c r="E45" s="429"/>
      <c r="F45" s="429"/>
      <c r="G45" s="430"/>
      <c r="H45" s="430"/>
      <c r="I45" s="430"/>
      <c r="J45" s="430"/>
      <c r="K45" s="430"/>
      <c r="L45" s="431"/>
      <c r="M45" s="24"/>
      <c r="N45" s="59"/>
      <c r="O45" s="378"/>
      <c r="P45" s="58"/>
      <c r="Q45" s="3"/>
      <c r="R45" s="3"/>
      <c r="S45" s="3"/>
      <c r="T45" s="3"/>
      <c r="U45" s="3"/>
      <c r="BW45" s="19"/>
      <c r="BX45" s="19"/>
      <c r="BY45" s="19"/>
      <c r="BZ45" s="19"/>
      <c r="CA45" s="19"/>
      <c r="CB45" s="19"/>
    </row>
    <row r="46" spans="2:80" ht="15">
      <c r="B46" s="432" t="s">
        <v>544</v>
      </c>
      <c r="C46" s="433"/>
      <c r="D46" s="433"/>
      <c r="E46" s="434"/>
      <c r="F46" s="434"/>
      <c r="G46" s="435"/>
      <c r="H46" s="435"/>
      <c r="I46" s="435"/>
      <c r="J46" s="435"/>
      <c r="K46" s="435"/>
      <c r="L46" s="436"/>
      <c r="M46" s="24"/>
      <c r="N46" s="59"/>
      <c r="O46" s="378"/>
      <c r="P46" s="58"/>
      <c r="Q46" s="3"/>
      <c r="R46" s="3"/>
      <c r="S46" s="3"/>
      <c r="T46" s="3"/>
      <c r="U46" s="3"/>
      <c r="BW46" s="19"/>
      <c r="BX46" s="19"/>
      <c r="BY46" s="19"/>
      <c r="BZ46" s="19"/>
      <c r="CA46" s="19"/>
      <c r="CB46" s="19"/>
    </row>
    <row r="47" spans="2:80" ht="15">
      <c r="B47" s="432" t="s">
        <v>545</v>
      </c>
      <c r="C47" s="433"/>
      <c r="D47" s="433"/>
      <c r="E47" s="434"/>
      <c r="F47" s="434"/>
      <c r="G47" s="435"/>
      <c r="H47" s="435"/>
      <c r="I47" s="435"/>
      <c r="J47" s="435"/>
      <c r="K47" s="435"/>
      <c r="L47" s="436"/>
      <c r="M47" s="24"/>
      <c r="N47" s="59"/>
      <c r="O47" s="378"/>
      <c r="P47" s="58"/>
      <c r="Q47" s="3"/>
      <c r="R47" s="3"/>
      <c r="S47" s="3"/>
      <c r="T47" s="3"/>
      <c r="U47" s="3"/>
      <c r="BW47" s="19"/>
      <c r="BX47" s="19"/>
      <c r="BY47" s="19"/>
      <c r="BZ47" s="19"/>
      <c r="CA47" s="19"/>
      <c r="CB47" s="19"/>
    </row>
    <row r="48" spans="2:80" ht="15">
      <c r="B48" s="432"/>
      <c r="C48" s="433"/>
      <c r="D48" s="433"/>
      <c r="E48" s="434"/>
      <c r="F48" s="434"/>
      <c r="G48" s="435"/>
      <c r="H48" s="435"/>
      <c r="I48" s="435"/>
      <c r="J48" s="435"/>
      <c r="K48" s="435"/>
      <c r="L48" s="436"/>
      <c r="M48" s="24"/>
      <c r="N48" s="59"/>
      <c r="O48" s="378"/>
      <c r="P48" s="58"/>
      <c r="Q48" s="3"/>
      <c r="R48" s="3"/>
      <c r="S48" s="3"/>
      <c r="T48" s="3"/>
      <c r="U48" s="3"/>
      <c r="BW48" s="19"/>
      <c r="BX48" s="19"/>
      <c r="BY48" s="19"/>
      <c r="BZ48" s="19"/>
      <c r="CA48" s="19"/>
      <c r="CB48" s="19"/>
    </row>
    <row r="49" spans="2:80" ht="15">
      <c r="B49" s="432" t="s">
        <v>546</v>
      </c>
      <c r="C49" s="452"/>
      <c r="D49" s="433"/>
      <c r="E49" s="434"/>
      <c r="F49" s="434"/>
      <c r="G49" s="435"/>
      <c r="H49" s="435"/>
      <c r="I49" s="435"/>
      <c r="J49" s="435"/>
      <c r="K49" s="435"/>
      <c r="L49" s="436"/>
      <c r="M49" s="24"/>
      <c r="N49" s="59"/>
      <c r="O49" s="378"/>
      <c r="P49" s="58"/>
      <c r="Q49" s="3"/>
      <c r="R49" s="3"/>
      <c r="S49" s="3"/>
      <c r="T49" s="3"/>
      <c r="U49" s="3"/>
      <c r="BW49" s="19"/>
      <c r="BX49" s="19"/>
      <c r="BY49" s="19"/>
      <c r="BZ49" s="19"/>
      <c r="CA49" s="19"/>
      <c r="CB49" s="19"/>
    </row>
    <row r="50" spans="2:80" ht="15">
      <c r="B50" s="432" t="s">
        <v>547</v>
      </c>
      <c r="C50" s="452"/>
      <c r="D50" s="452"/>
      <c r="E50" s="452"/>
      <c r="F50" s="434"/>
      <c r="G50" s="435"/>
      <c r="H50" s="435"/>
      <c r="I50" s="435"/>
      <c r="J50" s="435"/>
      <c r="K50" s="435"/>
      <c r="L50" s="436"/>
      <c r="M50" s="24"/>
      <c r="N50" s="59"/>
      <c r="O50" s="378"/>
      <c r="P50" s="58"/>
      <c r="Q50" s="3"/>
      <c r="R50" s="3"/>
      <c r="S50" s="3"/>
      <c r="T50" s="3"/>
      <c r="U50" s="3"/>
      <c r="BW50" s="19"/>
      <c r="BX50" s="19"/>
      <c r="BY50" s="19"/>
      <c r="BZ50" s="19"/>
      <c r="CA50" s="19"/>
      <c r="CB50" s="19"/>
    </row>
    <row r="51" spans="2:80" ht="15">
      <c r="B51" s="432"/>
      <c r="C51" s="452"/>
      <c r="D51" s="452"/>
      <c r="E51" s="452"/>
      <c r="F51" s="434"/>
      <c r="G51" s="435"/>
      <c r="H51" s="435"/>
      <c r="I51" s="435"/>
      <c r="J51" s="435"/>
      <c r="K51" s="435"/>
      <c r="L51" s="436"/>
      <c r="M51" s="24"/>
      <c r="N51" s="59"/>
      <c r="O51" s="378"/>
      <c r="P51" s="58"/>
      <c r="Q51" s="3"/>
      <c r="R51" s="3"/>
      <c r="S51" s="3"/>
      <c r="T51" s="3"/>
      <c r="U51" s="3"/>
      <c r="BW51" s="19"/>
      <c r="BX51" s="19"/>
      <c r="BY51" s="19"/>
      <c r="BZ51" s="19"/>
      <c r="CA51" s="19"/>
      <c r="CB51" s="19"/>
    </row>
    <row r="52" spans="2:80" ht="15">
      <c r="B52" s="432" t="s">
        <v>548</v>
      </c>
      <c r="C52" s="437"/>
      <c r="D52" s="437"/>
      <c r="E52" s="438"/>
      <c r="F52" s="438"/>
      <c r="G52" s="435"/>
      <c r="H52" s="435"/>
      <c r="I52" s="435"/>
      <c r="J52" s="435"/>
      <c r="K52" s="435"/>
      <c r="L52" s="436"/>
      <c r="M52" s="24"/>
      <c r="N52" s="59"/>
      <c r="O52" s="378"/>
      <c r="P52" s="58"/>
      <c r="Q52" s="3"/>
      <c r="R52" s="3"/>
      <c r="S52" s="3"/>
      <c r="T52" s="3"/>
      <c r="U52" s="3"/>
      <c r="BW52" s="19"/>
      <c r="BX52" s="19"/>
      <c r="BY52" s="19"/>
      <c r="BZ52" s="19"/>
      <c r="CA52" s="19"/>
      <c r="CB52" s="19"/>
    </row>
    <row r="53" spans="2:80" ht="15">
      <c r="B53" s="432"/>
      <c r="C53" s="437"/>
      <c r="D53" s="437"/>
      <c r="E53" s="438"/>
      <c r="F53" s="438"/>
      <c r="G53" s="435"/>
      <c r="H53" s="435"/>
      <c r="I53" s="435"/>
      <c r="J53" s="435"/>
      <c r="K53" s="435"/>
      <c r="L53" s="436"/>
      <c r="M53" s="24"/>
      <c r="N53" s="59"/>
      <c r="O53" s="378"/>
      <c r="P53" s="58"/>
      <c r="Q53" s="3"/>
      <c r="R53" s="3"/>
      <c r="S53" s="3"/>
      <c r="T53" s="3"/>
      <c r="U53" s="3"/>
      <c r="BW53" s="19"/>
      <c r="BX53" s="19"/>
      <c r="BY53" s="19"/>
      <c r="BZ53" s="19"/>
      <c r="CA53" s="19"/>
      <c r="CB53" s="19"/>
    </row>
    <row r="54" spans="2:80" ht="15">
      <c r="B54" s="439" t="s">
        <v>549</v>
      </c>
      <c r="C54" s="437"/>
      <c r="D54" s="437"/>
      <c r="E54" s="438"/>
      <c r="F54" s="438"/>
      <c r="G54" s="435"/>
      <c r="H54" s="435"/>
      <c r="I54" s="435"/>
      <c r="J54" s="435"/>
      <c r="K54" s="435"/>
      <c r="L54" s="436"/>
      <c r="M54" s="24"/>
      <c r="N54" s="59"/>
      <c r="O54" s="378"/>
      <c r="P54" s="58"/>
      <c r="Q54" s="3"/>
      <c r="R54" s="3"/>
      <c r="S54" s="3"/>
      <c r="T54" s="3"/>
      <c r="U54" s="3"/>
      <c r="BW54" s="19"/>
      <c r="BX54" s="19"/>
      <c r="BY54" s="19"/>
      <c r="BZ54" s="19"/>
      <c r="CA54" s="19"/>
      <c r="CB54" s="19"/>
    </row>
    <row r="55" spans="2:80" ht="15">
      <c r="B55" s="440" t="s">
        <v>550</v>
      </c>
      <c r="C55" s="441"/>
      <c r="D55" s="435"/>
      <c r="E55" s="435"/>
      <c r="F55" s="435"/>
      <c r="G55" s="435"/>
      <c r="H55" s="435"/>
      <c r="I55" s="435"/>
      <c r="J55" s="435"/>
      <c r="K55" s="435"/>
      <c r="L55" s="436"/>
      <c r="M55" s="24"/>
      <c r="N55" s="59"/>
      <c r="O55" s="378"/>
      <c r="P55" s="58"/>
      <c r="Q55" s="3"/>
      <c r="R55" s="3"/>
      <c r="S55" s="3"/>
      <c r="T55" s="3"/>
      <c r="U55" s="3"/>
      <c r="BW55" s="19"/>
      <c r="BX55" s="19"/>
      <c r="BY55" s="19"/>
      <c r="BZ55" s="19"/>
      <c r="CA55" s="19"/>
      <c r="CB55" s="19"/>
    </row>
    <row r="56" spans="2:80" ht="15">
      <c r="B56" s="442"/>
      <c r="C56" s="443"/>
      <c r="D56" s="435"/>
      <c r="E56" s="435"/>
      <c r="F56" s="435"/>
      <c r="G56" s="435"/>
      <c r="H56" s="435"/>
      <c r="I56" s="435"/>
      <c r="J56" s="435"/>
      <c r="K56" s="435"/>
      <c r="L56" s="436"/>
      <c r="M56" s="24"/>
      <c r="N56" s="59"/>
      <c r="O56" s="378"/>
      <c r="P56" s="58"/>
      <c r="Q56" s="3"/>
      <c r="R56" s="3"/>
      <c r="S56" s="3"/>
      <c r="T56" s="3"/>
      <c r="U56" s="3"/>
      <c r="BW56" s="19"/>
      <c r="BX56" s="19"/>
      <c r="BY56" s="19"/>
      <c r="BZ56" s="19"/>
      <c r="CA56" s="19"/>
      <c r="CB56" s="19"/>
    </row>
    <row r="57" spans="2:80" ht="15">
      <c r="B57" s="444" t="s">
        <v>551</v>
      </c>
      <c r="C57" s="443"/>
      <c r="D57" s="435"/>
      <c r="E57" s="435"/>
      <c r="F57" s="435"/>
      <c r="G57" s="435"/>
      <c r="H57" s="435"/>
      <c r="I57" s="435"/>
      <c r="J57" s="435"/>
      <c r="K57" s="435"/>
      <c r="L57" s="436"/>
      <c r="M57" s="24"/>
      <c r="N57" s="59"/>
      <c r="O57" s="378"/>
      <c r="P57" s="58"/>
      <c r="Q57" s="3"/>
      <c r="R57" s="3"/>
      <c r="S57" s="3"/>
      <c r="T57" s="3"/>
      <c r="U57" s="3"/>
      <c r="BW57" s="19"/>
      <c r="BX57" s="19"/>
      <c r="BY57" s="19"/>
      <c r="BZ57" s="19"/>
      <c r="CA57" s="19"/>
      <c r="CB57" s="19"/>
    </row>
    <row r="58" spans="2:80" ht="15">
      <c r="B58" s="567" t="s">
        <v>552</v>
      </c>
      <c r="C58" s="568"/>
      <c r="D58" s="435"/>
      <c r="E58" s="435"/>
      <c r="F58" s="435"/>
      <c r="G58" s="435"/>
      <c r="H58" s="435"/>
      <c r="I58" s="435"/>
      <c r="J58" s="435"/>
      <c r="K58" s="435"/>
      <c r="L58" s="436"/>
      <c r="M58" s="24"/>
      <c r="N58" s="59"/>
      <c r="O58" s="378"/>
      <c r="P58" s="58"/>
      <c r="Q58" s="3"/>
      <c r="R58" s="3"/>
      <c r="S58" s="3"/>
      <c r="T58" s="3"/>
      <c r="U58" s="3"/>
      <c r="BW58" s="19"/>
      <c r="BX58" s="19"/>
      <c r="BY58" s="19"/>
      <c r="BZ58" s="19"/>
      <c r="CA58" s="19"/>
      <c r="CB58" s="19"/>
    </row>
    <row r="59" spans="2:80" ht="15">
      <c r="B59" s="442"/>
      <c r="C59" s="443"/>
      <c r="D59" s="435"/>
      <c r="E59" s="435"/>
      <c r="F59" s="435"/>
      <c r="G59" s="435"/>
      <c r="H59" s="435"/>
      <c r="I59" s="435"/>
      <c r="J59" s="435"/>
      <c r="K59" s="435"/>
      <c r="L59" s="436"/>
      <c r="M59" s="24"/>
      <c r="N59" s="59"/>
      <c r="O59" s="378"/>
      <c r="P59" s="58"/>
      <c r="Q59" s="3"/>
      <c r="R59" s="3"/>
      <c r="S59" s="3"/>
      <c r="T59" s="3"/>
      <c r="U59" s="3"/>
      <c r="BW59" s="19"/>
      <c r="BX59" s="19"/>
      <c r="BY59" s="19"/>
      <c r="BZ59" s="19"/>
      <c r="CA59" s="19"/>
      <c r="CB59" s="19"/>
    </row>
    <row r="60" spans="2:80" ht="15.75" thickBot="1">
      <c r="B60" s="569" t="s">
        <v>553</v>
      </c>
      <c r="C60" s="570"/>
      <c r="D60" s="570"/>
      <c r="E60" s="570"/>
      <c r="F60" s="570"/>
      <c r="G60" s="570"/>
      <c r="H60" s="570"/>
      <c r="I60" s="570"/>
      <c r="J60" s="570"/>
      <c r="K60" s="570"/>
      <c r="L60" s="571"/>
      <c r="M60" s="24"/>
      <c r="N60" s="59"/>
      <c r="O60" s="378"/>
      <c r="P60" s="58"/>
      <c r="Q60" s="3"/>
      <c r="R60" s="3"/>
      <c r="S60" s="3"/>
      <c r="T60" s="3"/>
      <c r="U60" s="3"/>
      <c r="BW60" s="19"/>
      <c r="BX60" s="19"/>
      <c r="BY60" s="19"/>
      <c r="BZ60" s="19"/>
      <c r="CA60" s="19"/>
      <c r="CB60" s="19"/>
    </row>
    <row r="61" spans="2:80" ht="12" thickTop="1">
      <c r="M61" s="24"/>
      <c r="N61" s="59"/>
      <c r="O61" s="378"/>
      <c r="P61" s="58"/>
      <c r="Q61" s="3"/>
      <c r="R61" s="3"/>
      <c r="S61" s="3"/>
      <c r="T61" s="3"/>
      <c r="U61" s="3"/>
      <c r="BW61" s="19"/>
      <c r="BX61" s="19"/>
      <c r="BY61" s="19"/>
      <c r="BZ61" s="19"/>
      <c r="CA61" s="19"/>
      <c r="CB61" s="19"/>
    </row>
    <row r="62" spans="2:80">
      <c r="P62" s="58"/>
      <c r="U62" s="3"/>
      <c r="CB62" s="19"/>
    </row>
    <row r="63" spans="2:80">
      <c r="B63" s="26" t="s">
        <v>453</v>
      </c>
      <c r="P63" s="58"/>
      <c r="U63" s="3"/>
      <c r="CB63" s="19"/>
    </row>
    <row r="64" spans="2:80">
      <c r="U64" s="3"/>
      <c r="CB64" s="19"/>
    </row>
    <row r="65" spans="2:22" ht="22.5" customHeight="1">
      <c r="B65" s="54" t="s">
        <v>454</v>
      </c>
      <c r="C65" s="560" t="s">
        <v>455</v>
      </c>
      <c r="D65" s="560"/>
      <c r="E65" s="560" t="s">
        <v>456</v>
      </c>
      <c r="F65" s="560"/>
      <c r="G65" s="54" t="s">
        <v>457</v>
      </c>
      <c r="H65" s="54" t="s">
        <v>458</v>
      </c>
      <c r="I65" s="54" t="s">
        <v>459</v>
      </c>
      <c r="J65" s="560" t="s">
        <v>460</v>
      </c>
      <c r="K65" s="560"/>
    </row>
    <row r="66" spans="2:22">
      <c r="B66" s="41" t="s">
        <v>461</v>
      </c>
      <c r="C66" s="543" t="s">
        <v>462</v>
      </c>
      <c r="D66" s="543"/>
      <c r="E66" s="543" t="s">
        <v>463</v>
      </c>
      <c r="F66" s="543"/>
      <c r="G66" s="46">
        <v>40</v>
      </c>
      <c r="H66" s="39" t="s">
        <v>464</v>
      </c>
      <c r="I66" s="39" t="s">
        <v>465</v>
      </c>
      <c r="J66" s="543"/>
      <c r="K66" s="543"/>
    </row>
    <row r="67" spans="2:22">
      <c r="B67" s="41" t="s">
        <v>466</v>
      </c>
      <c r="C67" s="543" t="s">
        <v>467</v>
      </c>
      <c r="D67" s="543"/>
      <c r="E67" s="543" t="s">
        <v>463</v>
      </c>
      <c r="F67" s="543"/>
      <c r="G67" s="46">
        <v>25</v>
      </c>
      <c r="H67" s="39" t="s">
        <v>464</v>
      </c>
      <c r="I67" s="39" t="s">
        <v>465</v>
      </c>
      <c r="J67" s="543"/>
      <c r="K67" s="543"/>
    </row>
    <row r="68" spans="2:22">
      <c r="B68" s="542" t="s">
        <v>472</v>
      </c>
      <c r="C68" s="543" t="s">
        <v>554</v>
      </c>
      <c r="D68" s="543"/>
      <c r="E68" s="543" t="s">
        <v>474</v>
      </c>
      <c r="F68" s="543"/>
      <c r="G68" s="46">
        <v>172</v>
      </c>
      <c r="H68" s="39" t="s">
        <v>464</v>
      </c>
      <c r="I68" s="39" t="s">
        <v>471</v>
      </c>
      <c r="J68" s="39"/>
      <c r="K68" s="39"/>
    </row>
    <row r="69" spans="2:22">
      <c r="B69" s="542"/>
      <c r="C69" s="543"/>
      <c r="D69" s="543"/>
      <c r="E69" s="543" t="s">
        <v>475</v>
      </c>
      <c r="F69" s="543"/>
      <c r="G69" s="46">
        <v>344</v>
      </c>
      <c r="H69" s="39" t="s">
        <v>464</v>
      </c>
      <c r="I69" s="39" t="s">
        <v>471</v>
      </c>
      <c r="J69" s="39"/>
      <c r="K69" s="39"/>
    </row>
    <row r="70" spans="2:22" ht="14.25" customHeight="1">
      <c r="B70" s="41" t="s">
        <v>555</v>
      </c>
      <c r="C70" s="543" t="s">
        <v>556</v>
      </c>
      <c r="D70" s="543"/>
      <c r="E70" s="543" t="s">
        <v>463</v>
      </c>
      <c r="F70" s="543"/>
      <c r="G70" s="55" t="s">
        <v>557</v>
      </c>
      <c r="H70" s="39" t="s">
        <v>464</v>
      </c>
      <c r="I70" s="39" t="s">
        <v>465</v>
      </c>
      <c r="J70" s="543"/>
      <c r="K70" s="543"/>
    </row>
    <row r="71" spans="2:22" ht="13.5" customHeight="1">
      <c r="B71" s="41" t="s">
        <v>558</v>
      </c>
      <c r="C71" s="543" t="s">
        <v>559</v>
      </c>
      <c r="D71" s="543"/>
      <c r="E71" s="543" t="s">
        <v>463</v>
      </c>
      <c r="F71" s="543"/>
      <c r="G71" s="39" t="s">
        <v>560</v>
      </c>
      <c r="H71" s="39" t="s">
        <v>464</v>
      </c>
      <c r="I71" s="39" t="s">
        <v>471</v>
      </c>
      <c r="J71" s="39"/>
      <c r="K71" s="39"/>
    </row>
    <row r="72" spans="2:22">
      <c r="B72" s="542" t="s">
        <v>478</v>
      </c>
      <c r="C72" s="543" t="s">
        <v>479</v>
      </c>
      <c r="D72" s="543"/>
      <c r="E72" s="543" t="s">
        <v>474</v>
      </c>
      <c r="F72" s="543"/>
      <c r="G72" s="46" t="s">
        <v>480</v>
      </c>
      <c r="H72" s="39" t="s">
        <v>464</v>
      </c>
      <c r="I72" s="39" t="s">
        <v>465</v>
      </c>
      <c r="J72" s="552"/>
      <c r="K72" s="552"/>
    </row>
    <row r="73" spans="2:22">
      <c r="B73" s="542"/>
      <c r="C73" s="543"/>
      <c r="D73" s="543"/>
      <c r="E73" s="543" t="s">
        <v>475</v>
      </c>
      <c r="F73" s="543"/>
      <c r="G73" s="46" t="s">
        <v>481</v>
      </c>
      <c r="H73" s="39" t="s">
        <v>464</v>
      </c>
      <c r="I73" s="39" t="s">
        <v>465</v>
      </c>
      <c r="J73" s="552"/>
      <c r="K73" s="552"/>
    </row>
    <row r="74" spans="2:22">
      <c r="B74" s="542" t="s">
        <v>486</v>
      </c>
      <c r="C74" s="543" t="s">
        <v>487</v>
      </c>
      <c r="D74" s="543"/>
      <c r="E74" s="543" t="s">
        <v>474</v>
      </c>
      <c r="F74" s="543"/>
      <c r="G74" s="46">
        <v>0</v>
      </c>
      <c r="H74" s="39" t="s">
        <v>464</v>
      </c>
      <c r="I74" s="39" t="s">
        <v>465</v>
      </c>
      <c r="J74" s="542"/>
      <c r="K74" s="39"/>
    </row>
    <row r="75" spans="2:22">
      <c r="B75" s="542"/>
      <c r="C75" s="543"/>
      <c r="D75" s="543"/>
      <c r="E75" s="543" t="s">
        <v>475</v>
      </c>
      <c r="F75" s="543"/>
      <c r="G75" s="46">
        <v>0</v>
      </c>
      <c r="H75" s="39" t="s">
        <v>464</v>
      </c>
      <c r="I75" s="39" t="s">
        <v>465</v>
      </c>
      <c r="J75" s="542"/>
      <c r="K75" s="39"/>
    </row>
    <row r="76" spans="2:22">
      <c r="B76" s="542" t="s">
        <v>488</v>
      </c>
      <c r="C76" s="543" t="s">
        <v>489</v>
      </c>
      <c r="D76" s="543"/>
      <c r="E76" s="543" t="s">
        <v>474</v>
      </c>
      <c r="F76" s="543"/>
      <c r="G76" s="46" t="s">
        <v>490</v>
      </c>
      <c r="H76" s="39" t="s">
        <v>464</v>
      </c>
      <c r="I76" s="39" t="s">
        <v>465</v>
      </c>
      <c r="J76" s="39"/>
      <c r="K76" s="39"/>
    </row>
    <row r="77" spans="2:22">
      <c r="B77" s="542"/>
      <c r="C77" s="543"/>
      <c r="D77" s="543"/>
      <c r="E77" s="543" t="s">
        <v>475</v>
      </c>
      <c r="F77" s="543"/>
      <c r="G77" s="55" t="s">
        <v>491</v>
      </c>
      <c r="H77" s="39" t="s">
        <v>464</v>
      </c>
      <c r="I77" s="39" t="s">
        <v>465</v>
      </c>
      <c r="J77" s="39"/>
      <c r="K77" s="39"/>
    </row>
    <row r="78" spans="2:22" ht="12.75" customHeight="1">
      <c r="B78" s="533" t="s">
        <v>496</v>
      </c>
      <c r="C78" s="535" t="s">
        <v>497</v>
      </c>
      <c r="D78" s="535"/>
      <c r="E78" s="535" t="s">
        <v>474</v>
      </c>
      <c r="F78" s="535"/>
      <c r="G78" s="454" t="s">
        <v>498</v>
      </c>
      <c r="H78" s="453" t="s">
        <v>464</v>
      </c>
      <c r="I78" s="453" t="s">
        <v>465</v>
      </c>
      <c r="J78" s="453"/>
      <c r="K78" s="453"/>
      <c r="L78" s="563" t="s">
        <v>561</v>
      </c>
      <c r="M78" s="564"/>
    </row>
    <row r="79" spans="2:22">
      <c r="B79" s="534"/>
      <c r="C79" s="536"/>
      <c r="D79" s="536"/>
      <c r="E79" s="536" t="s">
        <v>475</v>
      </c>
      <c r="F79" s="536"/>
      <c r="G79" s="456" t="s">
        <v>500</v>
      </c>
      <c r="H79" s="455" t="s">
        <v>464</v>
      </c>
      <c r="I79" s="455" t="s">
        <v>465</v>
      </c>
      <c r="J79" s="455"/>
      <c r="K79" s="455"/>
      <c r="L79" s="565"/>
      <c r="M79" s="566"/>
    </row>
    <row r="80" spans="2:22" s="17" customFormat="1" ht="12.75" customHeight="1">
      <c r="B80" s="41" t="s">
        <v>501</v>
      </c>
      <c r="C80" s="543" t="s">
        <v>562</v>
      </c>
      <c r="D80" s="543"/>
      <c r="E80" s="39"/>
      <c r="F80" s="543" t="s">
        <v>563</v>
      </c>
      <c r="G80" s="543"/>
      <c r="H80" s="543"/>
      <c r="I80" s="39" t="s">
        <v>465</v>
      </c>
      <c r="J80" s="82"/>
      <c r="K80" s="82"/>
      <c r="L80" s="10"/>
      <c r="M80" s="10"/>
      <c r="N80" s="10"/>
      <c r="O80" s="25"/>
      <c r="P80" s="81"/>
      <c r="Q80" s="81"/>
      <c r="R80" s="81"/>
      <c r="S80" s="81"/>
      <c r="T80" s="25"/>
      <c r="U80" s="56"/>
      <c r="V80" s="56"/>
    </row>
    <row r="81" spans="1:80" s="17" customFormat="1">
      <c r="B81" s="532" t="s">
        <v>251</v>
      </c>
      <c r="C81" s="532"/>
      <c r="D81" s="532"/>
      <c r="E81" s="532"/>
      <c r="F81" s="532"/>
      <c r="G81" s="532"/>
      <c r="H81" s="532"/>
      <c r="I81" s="532"/>
      <c r="J81" s="532"/>
      <c r="K81" s="61"/>
      <c r="L81" s="61"/>
      <c r="M81" s="61"/>
      <c r="N81" s="59"/>
      <c r="O81" s="63"/>
      <c r="P81" s="61"/>
      <c r="Q81" s="61"/>
      <c r="R81" s="61"/>
      <c r="S81" s="59"/>
      <c r="T81" s="25"/>
      <c r="U81" s="58"/>
      <c r="V81" s="58"/>
    </row>
    <row r="82" spans="1:80" s="17" customFormat="1">
      <c r="B82" s="18"/>
      <c r="C82" s="10" t="s">
        <v>252</v>
      </c>
      <c r="D82" s="10"/>
      <c r="E82" s="10"/>
      <c r="F82" s="10"/>
      <c r="G82" s="10"/>
      <c r="H82" s="10"/>
      <c r="I82" s="10"/>
      <c r="J82" s="48"/>
      <c r="K82" s="61"/>
      <c r="L82" s="61"/>
      <c r="M82" s="61"/>
      <c r="N82" s="59"/>
      <c r="O82" s="63"/>
      <c r="P82" s="61"/>
      <c r="Q82" s="61"/>
      <c r="R82" s="61"/>
      <c r="S82" s="59"/>
      <c r="T82" s="25"/>
      <c r="U82" s="58"/>
      <c r="V82" s="58"/>
    </row>
    <row r="83" spans="1:80" s="17" customFormat="1">
      <c r="B83" s="18"/>
      <c r="C83" s="10"/>
      <c r="D83" s="10"/>
      <c r="E83" s="10"/>
      <c r="F83" s="10"/>
      <c r="G83" s="10"/>
      <c r="H83" s="10"/>
      <c r="I83" s="10"/>
      <c r="J83" s="64"/>
      <c r="K83" s="61"/>
      <c r="L83" s="61"/>
      <c r="M83" s="61"/>
      <c r="N83" s="59"/>
      <c r="O83" s="63"/>
      <c r="P83" s="61"/>
      <c r="Q83" s="61"/>
      <c r="R83" s="61"/>
      <c r="S83" s="59"/>
      <c r="T83" s="25"/>
      <c r="U83" s="58"/>
      <c r="V83" s="58"/>
    </row>
    <row r="84" spans="1:80" s="17" customFormat="1">
      <c r="B84" s="65" t="s">
        <v>505</v>
      </c>
      <c r="C84" s="10"/>
      <c r="D84" s="10"/>
      <c r="E84" s="10"/>
      <c r="F84" s="10"/>
      <c r="G84" s="10"/>
      <c r="H84" s="10"/>
      <c r="I84" s="10"/>
      <c r="J84" s="66"/>
      <c r="K84" s="61"/>
      <c r="L84" s="61"/>
      <c r="M84" s="61"/>
      <c r="N84" s="59"/>
      <c r="O84" s="63"/>
      <c r="P84" s="61"/>
      <c r="Q84" s="61"/>
      <c r="R84" s="61"/>
      <c r="S84" s="59"/>
      <c r="T84" s="25"/>
      <c r="U84" s="58"/>
      <c r="V84" s="58"/>
    </row>
    <row r="85" spans="1:80" s="17" customFormat="1">
      <c r="B85" s="18" t="s">
        <v>506</v>
      </c>
      <c r="C85" s="10"/>
      <c r="D85" s="10"/>
      <c r="E85" s="10"/>
      <c r="F85" s="10"/>
      <c r="G85" s="10"/>
      <c r="H85" s="10"/>
      <c r="I85" s="67"/>
      <c r="J85" s="66"/>
      <c r="K85" s="61"/>
      <c r="L85" s="61"/>
      <c r="M85" s="61"/>
      <c r="N85" s="59"/>
      <c r="O85" s="63"/>
      <c r="P85" s="61"/>
      <c r="Q85" s="61"/>
      <c r="R85" s="61"/>
      <c r="S85" s="59"/>
      <c r="T85" s="25"/>
      <c r="U85" s="58"/>
      <c r="V85" s="58"/>
    </row>
    <row r="86" spans="1:80" s="17" customFormat="1">
      <c r="B86" s="18" t="s">
        <v>507</v>
      </c>
      <c r="C86" s="10"/>
      <c r="D86" s="10"/>
      <c r="E86" s="10"/>
      <c r="F86" s="10"/>
      <c r="G86" s="10"/>
      <c r="H86" s="10"/>
      <c r="I86" s="10"/>
      <c r="J86" s="66"/>
      <c r="K86" s="61"/>
      <c r="L86" s="61"/>
      <c r="M86" s="61"/>
      <c r="N86" s="59"/>
      <c r="O86" s="63"/>
      <c r="P86" s="61"/>
      <c r="Q86" s="61"/>
      <c r="R86" s="61"/>
      <c r="S86" s="59"/>
      <c r="T86" s="25"/>
      <c r="U86" s="58"/>
      <c r="V86" s="58"/>
    </row>
    <row r="87" spans="1:80" s="17" customFormat="1">
      <c r="B87" s="68" t="s">
        <v>508</v>
      </c>
      <c r="C87" s="10"/>
      <c r="D87" s="10"/>
      <c r="E87" s="10"/>
      <c r="F87" s="10"/>
      <c r="G87" s="10"/>
      <c r="H87" s="10"/>
      <c r="I87" s="10"/>
      <c r="J87" s="66"/>
      <c r="K87" s="61"/>
      <c r="L87" s="61"/>
      <c r="M87" s="61"/>
      <c r="N87" s="59"/>
      <c r="O87" s="63"/>
      <c r="P87" s="61"/>
      <c r="Q87" s="61"/>
      <c r="R87" s="61"/>
      <c r="S87" s="59"/>
      <c r="T87" s="63"/>
      <c r="U87" s="58"/>
      <c r="V87" s="58"/>
    </row>
    <row r="88" spans="1:80" s="17" customFormat="1">
      <c r="B88" s="6" t="s">
        <v>564</v>
      </c>
      <c r="C88" s="10"/>
      <c r="D88" s="10"/>
      <c r="E88" s="10"/>
      <c r="F88" s="10"/>
      <c r="G88" s="10"/>
      <c r="H88" s="10"/>
      <c r="I88" s="10"/>
      <c r="J88" s="66"/>
      <c r="K88" s="61"/>
      <c r="L88" s="61"/>
      <c r="M88" s="61"/>
      <c r="N88" s="59"/>
      <c r="O88" s="63"/>
      <c r="P88" s="61"/>
      <c r="Q88" s="61"/>
      <c r="R88" s="61"/>
      <c r="S88" s="59"/>
      <c r="T88" s="63"/>
      <c r="U88" s="58"/>
      <c r="V88" s="58"/>
    </row>
    <row r="89" spans="1:80" s="17" customFormat="1">
      <c r="B89" s="6" t="s">
        <v>510</v>
      </c>
      <c r="C89" s="10"/>
      <c r="D89" s="10"/>
      <c r="E89" s="10"/>
      <c r="F89" s="10"/>
      <c r="G89" s="10"/>
      <c r="H89" s="10"/>
      <c r="I89" s="10"/>
      <c r="J89" s="66"/>
      <c r="K89" s="61"/>
      <c r="L89" s="61"/>
      <c r="M89" s="61"/>
      <c r="N89" s="59"/>
      <c r="O89" s="63"/>
      <c r="P89" s="61"/>
      <c r="Q89" s="61"/>
      <c r="R89" s="61"/>
      <c r="S89" s="59"/>
      <c r="T89" s="63"/>
      <c r="U89" s="58"/>
      <c r="V89" s="58"/>
    </row>
    <row r="90" spans="1:80" s="17" customFormat="1">
      <c r="B90" s="6" t="s">
        <v>511</v>
      </c>
      <c r="C90" s="69"/>
      <c r="D90" s="66"/>
      <c r="E90" s="66"/>
      <c r="F90" s="66"/>
      <c r="G90" s="66"/>
      <c r="H90" s="70"/>
      <c r="I90" s="70"/>
      <c r="J90" s="66"/>
      <c r="K90" s="1"/>
      <c r="L90" s="1"/>
      <c r="M90" s="1"/>
      <c r="N90" s="1"/>
      <c r="O90" s="1"/>
      <c r="P90" s="1"/>
      <c r="Q90" s="1"/>
      <c r="R90" s="1"/>
      <c r="S90" s="1"/>
      <c r="T90" s="1"/>
      <c r="U90" s="1"/>
      <c r="V90" s="1"/>
    </row>
    <row r="91" spans="1:80" s="12" customFormat="1">
      <c r="B91" s="10" t="s">
        <v>512</v>
      </c>
      <c r="C91" s="10" t="s">
        <v>513</v>
      </c>
      <c r="D91" s="10"/>
      <c r="E91" s="10"/>
      <c r="F91" s="10"/>
      <c r="G91" s="10"/>
      <c r="H91" s="10"/>
      <c r="I91" s="10"/>
      <c r="J91" s="66"/>
      <c r="K91" s="2"/>
      <c r="L91" s="2"/>
      <c r="M91" s="2"/>
      <c r="N91" s="2"/>
      <c r="O91" s="2"/>
      <c r="P91" s="2"/>
      <c r="Q91" s="2"/>
      <c r="R91" s="2"/>
      <c r="S91" s="2"/>
      <c r="T91" s="2"/>
      <c r="U91" s="2"/>
      <c r="V91" s="2"/>
    </row>
    <row r="92" spans="1:80" s="17" customFormat="1">
      <c r="B92" s="10" t="s">
        <v>514</v>
      </c>
      <c r="C92" s="10" t="s">
        <v>515</v>
      </c>
      <c r="D92" s="12"/>
      <c r="E92" s="12"/>
      <c r="F92" s="12"/>
      <c r="G92" s="12"/>
      <c r="H92" s="12"/>
      <c r="I92" s="12"/>
      <c r="J92" s="66"/>
      <c r="K92" s="6"/>
      <c r="L92" s="24"/>
      <c r="M92" s="24"/>
      <c r="N92" s="24"/>
      <c r="O92" s="24"/>
      <c r="P92" s="24"/>
      <c r="Q92" s="24"/>
      <c r="R92" s="24"/>
      <c r="S92" s="24"/>
      <c r="T92" s="24"/>
      <c r="U92" s="24"/>
      <c r="V92" s="1"/>
    </row>
    <row r="93" spans="1:80" s="72" customFormat="1">
      <c r="A93" s="1"/>
      <c r="B93" s="66" t="s">
        <v>516</v>
      </c>
      <c r="C93" s="12"/>
      <c r="D93" s="12"/>
      <c r="E93" s="12"/>
      <c r="F93" s="12"/>
      <c r="G93" s="12"/>
      <c r="H93" s="12"/>
      <c r="I93" s="12"/>
      <c r="J93" s="66"/>
      <c r="K93" s="24"/>
      <c r="L93" s="24"/>
      <c r="M93" s="24"/>
      <c r="N93" s="24"/>
      <c r="O93" s="24"/>
      <c r="P93" s="24"/>
      <c r="Q93" s="24"/>
      <c r="R93" s="24"/>
      <c r="S93" s="24"/>
      <c r="T93" s="24"/>
      <c r="U93" s="24"/>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1"/>
      <c r="BZ93" s="71"/>
      <c r="CA93" s="71"/>
      <c r="CB93" s="71"/>
    </row>
    <row r="94" spans="1:80" s="17" customFormat="1">
      <c r="B94" s="66"/>
      <c r="C94" s="12"/>
      <c r="D94" s="12"/>
      <c r="E94" s="12"/>
      <c r="F94" s="12"/>
      <c r="G94" s="12"/>
      <c r="H94" s="12"/>
      <c r="I94" s="12"/>
      <c r="J94" s="64"/>
    </row>
    <row r="95" spans="1:80" s="17" customFormat="1">
      <c r="B95" s="73" t="s">
        <v>272</v>
      </c>
      <c r="C95" s="12"/>
      <c r="D95" s="12"/>
      <c r="E95" s="12"/>
      <c r="F95" s="12"/>
      <c r="G95" s="12"/>
      <c r="H95" s="12"/>
      <c r="I95" s="12"/>
      <c r="J95" s="74"/>
    </row>
    <row r="96" spans="1:80" s="17" customFormat="1">
      <c r="B96" s="75" t="s">
        <v>273</v>
      </c>
      <c r="C96" s="12"/>
      <c r="D96" s="12"/>
      <c r="E96" s="12"/>
      <c r="F96" s="12"/>
      <c r="G96" s="12"/>
      <c r="H96" s="12"/>
      <c r="I96" s="12"/>
      <c r="J96" s="76"/>
    </row>
    <row r="97" spans="1:80" s="17" customFormat="1">
      <c r="A97" s="2"/>
      <c r="B97" s="383" t="s">
        <v>517</v>
      </c>
      <c r="C97" s="12"/>
      <c r="D97" s="12"/>
      <c r="E97" s="12"/>
      <c r="F97" s="12"/>
      <c r="G97" s="12"/>
      <c r="H97" s="12"/>
      <c r="I97" s="12"/>
      <c r="J97" s="78"/>
      <c r="K97" s="10"/>
      <c r="L97" s="10"/>
      <c r="M97" s="10"/>
      <c r="N97" s="10"/>
      <c r="O97" s="10"/>
      <c r="P97" s="10"/>
      <c r="Q97" s="10"/>
      <c r="R97" s="10"/>
      <c r="S97" s="10"/>
      <c r="T97" s="10"/>
      <c r="U97" s="10"/>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row>
    <row r="98" spans="1:80" s="17" customFormat="1">
      <c r="A98" s="2"/>
      <c r="B98" s="29" t="s">
        <v>518</v>
      </c>
      <c r="C98" s="12"/>
      <c r="D98" s="12"/>
      <c r="E98" s="12"/>
      <c r="F98" s="12"/>
      <c r="G98" s="12"/>
      <c r="H98" s="12"/>
      <c r="I98" s="12"/>
      <c r="J98" s="78"/>
      <c r="K98" s="10"/>
      <c r="L98" s="10"/>
      <c r="M98" s="10"/>
      <c r="N98" s="10"/>
      <c r="O98" s="10"/>
      <c r="P98" s="10"/>
      <c r="Q98" s="10"/>
      <c r="R98" s="10"/>
      <c r="S98" s="10"/>
      <c r="T98" s="10"/>
      <c r="U98" s="10"/>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row>
    <row r="99" spans="1:80" s="17" customFormat="1">
      <c r="A99" s="2"/>
      <c r="B99" s="29" t="s">
        <v>276</v>
      </c>
      <c r="C99" s="12"/>
      <c r="D99" s="12"/>
      <c r="E99" s="12"/>
      <c r="F99" s="12"/>
      <c r="G99" s="12"/>
      <c r="H99" s="12"/>
      <c r="I99" s="12"/>
      <c r="J99" s="78"/>
      <c r="K99" s="10"/>
      <c r="L99" s="10"/>
      <c r="M99" s="10"/>
      <c r="N99" s="10"/>
      <c r="O99" s="10"/>
      <c r="P99" s="10"/>
      <c r="Q99" s="10"/>
      <c r="R99" s="10"/>
      <c r="S99" s="10"/>
      <c r="T99" s="10"/>
      <c r="U99" s="10"/>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row>
    <row r="100" spans="1:80" s="17" customFormat="1">
      <c r="A100" s="2"/>
      <c r="B100" s="29" t="s">
        <v>277</v>
      </c>
      <c r="C100" s="12"/>
      <c r="D100" s="12"/>
      <c r="E100" s="12"/>
      <c r="F100" s="12"/>
      <c r="G100" s="12"/>
      <c r="H100" s="12"/>
      <c r="I100" s="12"/>
      <c r="J100" s="78"/>
      <c r="K100" s="10"/>
      <c r="L100" s="10"/>
      <c r="M100" s="10"/>
      <c r="N100" s="10"/>
      <c r="O100" s="10"/>
      <c r="P100" s="10"/>
      <c r="Q100" s="10"/>
      <c r="R100" s="10"/>
      <c r="S100" s="10"/>
      <c r="T100" s="10"/>
      <c r="U100" s="10"/>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row>
    <row r="101" spans="1:80" s="17" customFormat="1">
      <c r="A101" s="2"/>
      <c r="B101" s="383" t="s">
        <v>280</v>
      </c>
      <c r="C101" s="12"/>
      <c r="D101" s="12"/>
      <c r="E101" s="12"/>
      <c r="F101" s="12"/>
      <c r="G101" s="12"/>
      <c r="H101" s="12"/>
      <c r="I101" s="12"/>
      <c r="J101" s="78"/>
      <c r="K101" s="10"/>
      <c r="L101" s="10"/>
      <c r="M101" s="10"/>
      <c r="N101" s="10"/>
      <c r="O101" s="10"/>
      <c r="P101" s="10"/>
      <c r="Q101" s="10"/>
      <c r="R101" s="10"/>
      <c r="S101" s="10"/>
      <c r="T101" s="10"/>
      <c r="U101" s="10"/>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2" spans="1:80" s="17" customFormat="1">
      <c r="A102" s="2"/>
      <c r="B102" s="29" t="s">
        <v>281</v>
      </c>
      <c r="C102" s="12"/>
      <c r="D102" s="12"/>
      <c r="E102" s="12"/>
      <c r="F102" s="12"/>
      <c r="G102" s="12"/>
      <c r="H102" s="12"/>
      <c r="I102" s="12"/>
      <c r="J102" s="78"/>
      <c r="K102" s="10"/>
      <c r="L102" s="10"/>
      <c r="M102" s="10"/>
      <c r="N102" s="10"/>
      <c r="O102" s="10"/>
      <c r="P102" s="10"/>
      <c r="Q102" s="10"/>
      <c r="R102" s="10"/>
      <c r="S102" s="10"/>
      <c r="T102" s="10"/>
      <c r="U102" s="10"/>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row>
    <row r="103" spans="1:80" s="17" customFormat="1">
      <c r="A103" s="2"/>
      <c r="B103" s="6" t="s">
        <v>287</v>
      </c>
      <c r="C103" s="10"/>
      <c r="D103" s="10"/>
      <c r="E103" s="10"/>
      <c r="F103" s="10"/>
      <c r="G103" s="10"/>
      <c r="H103" s="10"/>
      <c r="I103" s="12"/>
      <c r="J103" s="78"/>
      <c r="K103" s="10"/>
      <c r="L103" s="10"/>
      <c r="M103" s="10"/>
      <c r="N103" s="10"/>
      <c r="O103" s="10"/>
      <c r="P103" s="10"/>
      <c r="Q103" s="10"/>
      <c r="R103" s="10"/>
      <c r="S103" s="10"/>
      <c r="T103" s="10"/>
      <c r="U103" s="10"/>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row>
    <row r="104" spans="1:80" s="17" customFormat="1">
      <c r="A104" s="2"/>
      <c r="B104" s="79"/>
      <c r="C104" s="80"/>
      <c r="D104" s="10"/>
      <c r="E104" s="10"/>
      <c r="F104" s="10"/>
      <c r="G104" s="10"/>
      <c r="H104" s="10"/>
      <c r="I104" s="12"/>
      <c r="K104" s="10"/>
      <c r="L104" s="10"/>
      <c r="M104" s="10"/>
      <c r="N104" s="10"/>
      <c r="O104" s="10"/>
      <c r="P104" s="10"/>
      <c r="Q104" s="10"/>
      <c r="R104" s="10"/>
      <c r="S104" s="10"/>
      <c r="T104" s="10"/>
      <c r="U104" s="10"/>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row>
    <row r="105" spans="1:80" s="3" customFormat="1" ht="15">
      <c r="A105" s="2"/>
      <c r="B105" s="47" t="s">
        <v>293</v>
      </c>
      <c r="K105" s="10"/>
      <c r="L105" s="10"/>
      <c r="M105" s="10"/>
      <c r="N105" s="10"/>
      <c r="O105" s="10"/>
      <c r="P105" s="10"/>
      <c r="Q105" s="10"/>
      <c r="R105" s="10"/>
      <c r="S105" s="10"/>
      <c r="T105" s="10"/>
      <c r="U105" s="10"/>
    </row>
  </sheetData>
  <mergeCells count="54">
    <mergeCell ref="C70:D70"/>
    <mergeCell ref="C4:J4"/>
    <mergeCell ref="C5:I5"/>
    <mergeCell ref="B18:B19"/>
    <mergeCell ref="C18:C19"/>
    <mergeCell ref="F18:I18"/>
    <mergeCell ref="B58:C58"/>
    <mergeCell ref="B60:L60"/>
    <mergeCell ref="B24:B25"/>
    <mergeCell ref="P18:P19"/>
    <mergeCell ref="C65:D65"/>
    <mergeCell ref="E65:F65"/>
    <mergeCell ref="J65:K65"/>
    <mergeCell ref="C66:D66"/>
    <mergeCell ref="E66:F66"/>
    <mergeCell ref="J66:K66"/>
    <mergeCell ref="K18:N18"/>
    <mergeCell ref="C24:C25"/>
    <mergeCell ref="F24:I24"/>
    <mergeCell ref="K24:N24"/>
    <mergeCell ref="P24:P25"/>
    <mergeCell ref="B81:J81"/>
    <mergeCell ref="B78:B79"/>
    <mergeCell ref="C78:D79"/>
    <mergeCell ref="E78:F78"/>
    <mergeCell ref="E79:F79"/>
    <mergeCell ref="C80:D80"/>
    <mergeCell ref="F80:H80"/>
    <mergeCell ref="J74:J75"/>
    <mergeCell ref="B74:B75"/>
    <mergeCell ref="C74:D75"/>
    <mergeCell ref="E74:F74"/>
    <mergeCell ref="E75:F75"/>
    <mergeCell ref="E73:F73"/>
    <mergeCell ref="B72:B73"/>
    <mergeCell ref="J67:K67"/>
    <mergeCell ref="E68:F68"/>
    <mergeCell ref="E71:F71"/>
    <mergeCell ref="C68:D69"/>
    <mergeCell ref="C72:D73"/>
    <mergeCell ref="J70:K70"/>
    <mergeCell ref="E70:F70"/>
    <mergeCell ref="J72:K73"/>
    <mergeCell ref="E72:F72"/>
    <mergeCell ref="B68:B69"/>
    <mergeCell ref="C71:D71"/>
    <mergeCell ref="C67:D67"/>
    <mergeCell ref="E67:F67"/>
    <mergeCell ref="E69:F69"/>
    <mergeCell ref="B76:B77"/>
    <mergeCell ref="C76:D77"/>
    <mergeCell ref="E76:F76"/>
    <mergeCell ref="E77:F77"/>
    <mergeCell ref="L78:M79"/>
  </mergeCells>
  <hyperlinks>
    <hyperlink ref="B105" location="OCEANIA!A1" display="BACK TO TOP" xr:uid="{A7EDC277-83DD-48A0-8AE4-B057208BA9F8}"/>
    <hyperlink ref="C82" r:id="rId1" xr:uid="{A114EABC-87ED-4043-89FD-487E0142D0E2}"/>
    <hyperlink ref="C91" r:id="rId2" xr:uid="{1D777043-E845-4600-A82F-443347A0A50A}"/>
    <hyperlink ref="C92" r:id="rId3" xr:uid="{A4590B77-5673-4D40-9110-8D7D84CF0AA6}"/>
    <hyperlink ref="L13" r:id="rId4" xr:uid="{71392096-0585-4CBC-A4CF-8DF29B05BC33}"/>
    <hyperlink ref="L15" r:id="rId5" xr:uid="{126D4D29-1C2B-4CD3-A32C-793953719BD0}"/>
    <hyperlink ref="B55" r:id="rId6" xr:uid="{D37147C0-053D-4422-AAAA-A32D85BE6334}"/>
    <hyperlink ref="B58" r:id="rId7" xr:uid="{10B1DCB6-038E-420A-9869-E87858B4AA31}"/>
  </hyperlinks>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A5C27-D272-485B-8B5A-4F4B1389FDF3}">
  <sheetPr>
    <tabColor rgb="FFCCECFF"/>
  </sheetPr>
  <dimension ref="A1:W92"/>
  <sheetViews>
    <sheetView showGridLines="0" workbookViewId="0">
      <selection activeCell="L48" sqref="L48"/>
    </sheetView>
  </sheetViews>
  <sheetFormatPr baseColWidth="10" defaultColWidth="11.5703125" defaultRowHeight="15"/>
  <cols>
    <col min="1" max="1" width="6.140625" customWidth="1"/>
    <col min="2" max="2" width="22.42578125" customWidth="1"/>
    <col min="3" max="3" width="18.7109375" customWidth="1"/>
    <col min="4" max="4" width="14.85546875" customWidth="1"/>
    <col min="5" max="5" width="0.42578125" customWidth="1"/>
    <col min="6" max="9" width="11.85546875" customWidth="1"/>
    <col min="10" max="10" width="0.42578125" customWidth="1"/>
    <col min="11" max="14" width="11.85546875" customWidth="1"/>
    <col min="15" max="15" width="0.42578125" customWidth="1"/>
    <col min="16" max="19" width="11.85546875" customWidth="1"/>
    <col min="20" max="20" width="0.42578125" customWidth="1"/>
    <col min="21" max="21" width="32.85546875" customWidth="1"/>
    <col min="22" max="22" width="23.140625" customWidth="1"/>
  </cols>
  <sheetData>
    <row r="1" spans="1:23">
      <c r="A1" s="2"/>
      <c r="B1" s="10"/>
      <c r="C1" s="10"/>
      <c r="D1" s="10"/>
      <c r="E1" s="10"/>
      <c r="F1" s="10"/>
      <c r="G1" s="11"/>
      <c r="H1" s="11"/>
      <c r="I1" s="11"/>
      <c r="J1" s="10"/>
      <c r="K1" s="11"/>
      <c r="L1" s="11"/>
      <c r="M1" s="11"/>
      <c r="N1" s="10"/>
      <c r="O1" s="11"/>
      <c r="P1" s="11"/>
      <c r="Q1" s="11"/>
      <c r="R1" s="11"/>
      <c r="S1" s="11"/>
      <c r="T1" s="11"/>
      <c r="U1" s="11"/>
      <c r="V1" s="308"/>
      <c r="W1" s="2"/>
    </row>
    <row r="2" spans="1:23">
      <c r="A2" s="2"/>
      <c r="B2" s="10"/>
      <c r="C2" s="10"/>
      <c r="D2" s="10"/>
      <c r="E2" s="10"/>
      <c r="F2" s="10"/>
      <c r="G2" s="11"/>
      <c r="H2" s="11"/>
      <c r="I2" s="11"/>
      <c r="J2" s="11"/>
      <c r="K2" s="13" t="s">
        <v>382</v>
      </c>
      <c r="L2" s="13"/>
      <c r="M2" s="13"/>
      <c r="N2" s="13"/>
      <c r="O2" s="13"/>
      <c r="P2" s="13"/>
      <c r="Q2" s="13"/>
      <c r="R2" s="21"/>
      <c r="S2" s="2"/>
      <c r="T2" s="2"/>
      <c r="U2" s="2"/>
      <c r="V2" s="2"/>
      <c r="W2" s="2"/>
    </row>
    <row r="3" spans="1:23">
      <c r="A3" s="2"/>
      <c r="B3" s="42"/>
      <c r="C3" s="43" t="s">
        <v>565</v>
      </c>
      <c r="D3" s="44"/>
      <c r="E3" s="44"/>
      <c r="F3" s="44"/>
      <c r="G3" s="44"/>
      <c r="H3" s="44"/>
      <c r="I3" s="45"/>
      <c r="J3" s="13"/>
      <c r="K3" s="13"/>
      <c r="L3" s="13"/>
      <c r="M3" s="13"/>
      <c r="N3" s="13"/>
      <c r="O3" s="261"/>
      <c r="P3" s="2"/>
      <c r="Q3" s="2"/>
      <c r="R3" s="2"/>
      <c r="S3" s="2"/>
      <c r="T3" s="2"/>
      <c r="U3" s="2"/>
      <c r="V3" s="2"/>
      <c r="W3" s="2"/>
    </row>
    <row r="4" spans="1:23" ht="15" customHeight="1">
      <c r="A4" s="2"/>
      <c r="B4" s="309" t="s">
        <v>40</v>
      </c>
      <c r="C4" s="475" t="s">
        <v>41</v>
      </c>
      <c r="D4" s="475"/>
      <c r="E4" s="475"/>
      <c r="F4" s="475"/>
      <c r="G4" s="475"/>
      <c r="H4" s="475"/>
      <c r="I4" s="476"/>
      <c r="J4" s="13"/>
      <c r="K4" s="13"/>
      <c r="L4" s="13"/>
      <c r="M4" s="13"/>
      <c r="N4" s="13"/>
      <c r="O4" s="25"/>
      <c r="P4" s="2"/>
      <c r="Q4" s="2"/>
      <c r="R4" s="2"/>
      <c r="S4" s="2"/>
      <c r="T4" s="2"/>
      <c r="U4" s="2"/>
      <c r="V4" s="2"/>
      <c r="W4" s="2"/>
    </row>
    <row r="5" spans="1:23">
      <c r="A5" s="2"/>
      <c r="B5" s="42" t="s">
        <v>42</v>
      </c>
      <c r="C5" s="480" t="s">
        <v>384</v>
      </c>
      <c r="D5" s="481"/>
      <c r="E5" s="481"/>
      <c r="F5" s="481"/>
      <c r="G5" s="481"/>
      <c r="H5" s="481"/>
      <c r="I5" s="482"/>
      <c r="J5" s="13"/>
      <c r="K5" s="13"/>
      <c r="L5" s="13"/>
      <c r="M5" s="13"/>
      <c r="N5" s="13"/>
      <c r="O5" s="25"/>
      <c r="P5" s="2"/>
      <c r="Q5" s="2"/>
      <c r="R5" s="2"/>
      <c r="S5" s="2"/>
      <c r="T5" s="2"/>
      <c r="U5" s="2"/>
      <c r="V5" s="2"/>
      <c r="W5" s="2"/>
    </row>
    <row r="6" spans="1:23">
      <c r="A6" s="2"/>
      <c r="B6" s="23" t="s">
        <v>44</v>
      </c>
      <c r="C6" s="14"/>
      <c r="D6" s="14"/>
      <c r="E6" s="22"/>
      <c r="F6" s="15"/>
      <c r="G6" s="13"/>
      <c r="H6" s="13"/>
      <c r="I6" s="13"/>
      <c r="J6" s="13"/>
      <c r="K6" s="13"/>
      <c r="L6" s="13"/>
      <c r="M6" s="13"/>
      <c r="N6" s="13"/>
      <c r="O6" s="13"/>
      <c r="P6" s="13"/>
      <c r="Q6" s="13"/>
      <c r="R6" s="13"/>
      <c r="S6" s="13"/>
      <c r="T6" s="21"/>
      <c r="U6" s="13"/>
      <c r="V6" s="2"/>
      <c r="W6" s="2"/>
    </row>
    <row r="7" spans="1:23">
      <c r="A7" s="2"/>
      <c r="B7" s="23"/>
      <c r="C7" s="14"/>
      <c r="D7" s="14"/>
      <c r="E7" s="22"/>
      <c r="F7" s="15"/>
      <c r="G7" s="13"/>
      <c r="H7" s="13"/>
      <c r="I7" s="13"/>
      <c r="J7" s="21"/>
      <c r="K7" s="13"/>
      <c r="L7" s="13"/>
      <c r="M7" s="13"/>
      <c r="N7" s="13"/>
      <c r="O7" s="21"/>
      <c r="P7" s="13"/>
      <c r="Q7" s="13"/>
      <c r="R7" s="13"/>
      <c r="S7" s="13"/>
      <c r="T7" s="21"/>
      <c r="U7" s="13"/>
      <c r="V7" s="2"/>
      <c r="W7" s="2"/>
    </row>
    <row r="8" spans="1:23">
      <c r="A8" s="2"/>
      <c r="B8" s="31"/>
      <c r="C8" s="31"/>
      <c r="D8" s="31"/>
      <c r="E8" s="32"/>
      <c r="F8" s="33"/>
      <c r="G8" s="15"/>
      <c r="H8" s="21"/>
      <c r="I8" s="20"/>
      <c r="J8" s="20"/>
      <c r="K8" s="20"/>
      <c r="L8" s="31" t="s">
        <v>45</v>
      </c>
      <c r="M8" s="31"/>
      <c r="N8" s="85"/>
      <c r="O8" s="21"/>
      <c r="P8" s="21"/>
      <c r="Q8" s="21"/>
      <c r="R8" s="21"/>
      <c r="S8" s="21"/>
      <c r="T8" s="21"/>
      <c r="U8" s="13"/>
      <c r="V8" s="2"/>
      <c r="W8" s="2"/>
    </row>
    <row r="9" spans="1:23">
      <c r="A9" s="2"/>
      <c r="B9" s="34" t="s">
        <v>566</v>
      </c>
      <c r="C9" s="35"/>
      <c r="D9" s="35"/>
      <c r="E9" s="22"/>
      <c r="F9" s="35"/>
      <c r="G9" s="35"/>
      <c r="H9" s="21"/>
      <c r="I9" s="20"/>
      <c r="J9" s="20"/>
      <c r="K9" s="20"/>
      <c r="L9" s="21"/>
      <c r="M9" s="21"/>
      <c r="N9" s="85"/>
      <c r="O9" s="21"/>
      <c r="P9" s="21"/>
      <c r="Q9" s="21"/>
      <c r="R9" s="310"/>
      <c r="S9" s="13"/>
      <c r="T9" s="21"/>
      <c r="U9" s="13"/>
      <c r="V9" s="2"/>
      <c r="W9" s="2"/>
    </row>
    <row r="10" spans="1:23">
      <c r="A10" s="2"/>
      <c r="B10" s="311"/>
      <c r="C10" s="312"/>
      <c r="D10" s="22"/>
      <c r="E10" s="22"/>
      <c r="F10" s="312"/>
      <c r="G10" s="313"/>
      <c r="H10" s="38"/>
      <c r="I10" s="21"/>
      <c r="J10" s="21"/>
      <c r="K10" s="20"/>
      <c r="L10" s="313" t="s">
        <v>46</v>
      </c>
      <c r="M10" s="38"/>
      <c r="N10" s="313"/>
      <c r="O10" s="38"/>
      <c r="P10" s="313"/>
      <c r="Q10" s="313"/>
      <c r="R10" s="310"/>
      <c r="S10" s="13"/>
      <c r="T10" s="21"/>
      <c r="U10" s="13"/>
      <c r="V10" s="2"/>
      <c r="W10" s="2"/>
    </row>
    <row r="11" spans="1:23">
      <c r="A11" s="2"/>
      <c r="B11" s="311"/>
      <c r="D11" s="312"/>
      <c r="E11" s="22"/>
      <c r="F11" s="313"/>
      <c r="G11" s="313"/>
      <c r="H11" s="38"/>
      <c r="I11" s="21"/>
      <c r="J11" s="21"/>
      <c r="K11" s="20"/>
      <c r="L11" s="313"/>
      <c r="M11" s="38"/>
      <c r="N11" s="313"/>
      <c r="O11" s="21"/>
      <c r="P11" s="313"/>
      <c r="Q11" s="313"/>
      <c r="R11" s="310"/>
      <c r="S11" s="13"/>
      <c r="T11" s="21"/>
      <c r="U11" s="13"/>
      <c r="V11" s="2"/>
      <c r="W11" s="2"/>
    </row>
    <row r="12" spans="1:23">
      <c r="A12" s="2"/>
      <c r="B12" s="311"/>
      <c r="C12" s="312"/>
      <c r="D12" s="312"/>
      <c r="E12" s="22"/>
      <c r="F12" s="313"/>
      <c r="G12" s="313"/>
      <c r="H12" s="38"/>
      <c r="I12" s="21"/>
      <c r="J12" s="21"/>
      <c r="K12" s="20"/>
      <c r="L12" s="313" t="s">
        <v>47</v>
      </c>
      <c r="M12" s="38"/>
      <c r="N12" s="313"/>
      <c r="O12" s="21"/>
      <c r="P12" s="21"/>
      <c r="Q12" s="21"/>
      <c r="R12" s="13"/>
      <c r="S12" s="13"/>
      <c r="T12" s="21"/>
      <c r="U12" s="13"/>
      <c r="V12" s="2"/>
      <c r="W12" s="2"/>
    </row>
    <row r="13" spans="1:23">
      <c r="A13" s="2"/>
      <c r="B13" s="34"/>
      <c r="C13" s="22"/>
      <c r="D13" s="312"/>
      <c r="E13" s="22"/>
      <c r="F13" s="313"/>
      <c r="G13" s="311"/>
      <c r="H13" s="38"/>
      <c r="I13" s="314"/>
      <c r="J13" s="21"/>
      <c r="K13" s="20"/>
      <c r="L13" s="21"/>
      <c r="M13" s="21"/>
      <c r="N13" s="21"/>
      <c r="O13" s="21"/>
      <c r="P13" s="21"/>
      <c r="Q13" s="21"/>
      <c r="R13" s="13"/>
      <c r="S13" s="13"/>
      <c r="T13" s="21"/>
      <c r="U13" s="13"/>
      <c r="V13" s="2"/>
      <c r="W13" s="2"/>
    </row>
    <row r="14" spans="1:23">
      <c r="A14" s="2"/>
      <c r="B14" s="34"/>
      <c r="C14" s="22"/>
      <c r="D14" s="22"/>
      <c r="E14" s="20"/>
      <c r="F14" s="313"/>
      <c r="G14" s="313"/>
      <c r="H14" s="38"/>
      <c r="I14" s="314"/>
      <c r="J14" s="20"/>
      <c r="K14" s="20"/>
      <c r="L14" s="13"/>
      <c r="M14" s="13"/>
      <c r="N14" s="13"/>
      <c r="O14" s="21"/>
      <c r="P14" s="13"/>
      <c r="Q14" s="13"/>
      <c r="R14" s="13"/>
      <c r="S14" s="13"/>
      <c r="T14" s="21"/>
      <c r="U14" s="13"/>
      <c r="V14" s="2"/>
      <c r="W14" s="2"/>
    </row>
    <row r="15" spans="1:23">
      <c r="A15" s="2"/>
      <c r="B15" s="34"/>
      <c r="C15" s="22"/>
      <c r="D15" s="22"/>
      <c r="E15" s="20"/>
      <c r="F15" s="14"/>
      <c r="G15" s="14"/>
      <c r="H15" s="14"/>
      <c r="I15" s="20"/>
      <c r="J15" s="20"/>
      <c r="K15" s="20"/>
      <c r="L15" s="13"/>
      <c r="M15" s="13"/>
      <c r="N15" s="13"/>
      <c r="O15" s="21"/>
      <c r="P15" s="13"/>
      <c r="Q15" s="13"/>
      <c r="R15" s="13"/>
      <c r="S15" s="13"/>
      <c r="T15" s="21"/>
      <c r="U15" s="13"/>
      <c r="V15" s="2"/>
      <c r="W15" s="2"/>
    </row>
    <row r="16" spans="1:23">
      <c r="A16" s="2"/>
      <c r="B16" s="10"/>
      <c r="C16" s="10"/>
      <c r="D16" s="10"/>
      <c r="E16" s="10"/>
      <c r="F16" s="10"/>
      <c r="G16" s="10"/>
      <c r="H16" s="10"/>
      <c r="I16" s="10"/>
      <c r="J16" s="10"/>
      <c r="K16" s="10"/>
      <c r="L16" s="315"/>
      <c r="M16" s="315"/>
      <c r="N16" s="315"/>
      <c r="O16" s="10"/>
      <c r="P16" s="315"/>
      <c r="Q16" s="315"/>
      <c r="R16" s="315"/>
      <c r="S16" s="315"/>
      <c r="T16" s="10"/>
      <c r="U16" s="315"/>
      <c r="V16" s="2"/>
      <c r="W16" s="2"/>
    </row>
    <row r="17" spans="1:23">
      <c r="A17" s="2"/>
      <c r="B17" s="483" t="s">
        <v>48</v>
      </c>
      <c r="C17" s="483" t="s">
        <v>50</v>
      </c>
      <c r="D17" s="483" t="s">
        <v>51</v>
      </c>
      <c r="E17" s="16"/>
      <c r="F17" s="483" t="s">
        <v>52</v>
      </c>
      <c r="G17" s="483"/>
      <c r="H17" s="483"/>
      <c r="I17" s="483"/>
      <c r="J17" s="24"/>
      <c r="K17" s="483" t="s">
        <v>53</v>
      </c>
      <c r="L17" s="483"/>
      <c r="M17" s="483"/>
      <c r="N17" s="483"/>
      <c r="O17" s="25"/>
      <c r="P17" s="483" t="s">
        <v>54</v>
      </c>
      <c r="Q17" s="483"/>
      <c r="R17" s="483"/>
      <c r="S17" s="483"/>
      <c r="T17" s="25"/>
      <c r="U17" s="477" t="s">
        <v>385</v>
      </c>
      <c r="V17" s="477" t="s">
        <v>386</v>
      </c>
      <c r="W17" s="2"/>
    </row>
    <row r="18" spans="1:23">
      <c r="A18" s="274"/>
      <c r="B18" s="483"/>
      <c r="C18" s="483"/>
      <c r="D18" s="483"/>
      <c r="E18" s="16"/>
      <c r="F18" s="94" t="s">
        <v>297</v>
      </c>
      <c r="G18" s="94" t="s">
        <v>387</v>
      </c>
      <c r="H18" s="94" t="s">
        <v>388</v>
      </c>
      <c r="I18" s="94" t="s">
        <v>389</v>
      </c>
      <c r="J18" s="24"/>
      <c r="K18" s="94" t="s">
        <v>297</v>
      </c>
      <c r="L18" s="94" t="s">
        <v>387</v>
      </c>
      <c r="M18" s="94" t="s">
        <v>388</v>
      </c>
      <c r="N18" s="94" t="s">
        <v>389</v>
      </c>
      <c r="O18" s="25"/>
      <c r="P18" s="94" t="s">
        <v>297</v>
      </c>
      <c r="Q18" s="94" t="s">
        <v>387</v>
      </c>
      <c r="R18" s="94" t="s">
        <v>388</v>
      </c>
      <c r="S18" s="94" t="s">
        <v>389</v>
      </c>
      <c r="T18" s="25"/>
      <c r="U18" s="477"/>
      <c r="V18" s="477"/>
      <c r="W18" s="274"/>
    </row>
    <row r="19" spans="1:23">
      <c r="A19" s="2"/>
      <c r="B19" s="96" t="s">
        <v>567</v>
      </c>
      <c r="C19" s="39" t="s">
        <v>568</v>
      </c>
      <c r="D19" s="40" t="s">
        <v>66</v>
      </c>
      <c r="E19" s="97"/>
      <c r="F19" s="316"/>
      <c r="G19" s="316"/>
      <c r="H19" s="316"/>
      <c r="I19" s="316"/>
      <c r="J19" s="316"/>
      <c r="K19" s="316">
        <v>210</v>
      </c>
      <c r="L19" s="316">
        <v>310</v>
      </c>
      <c r="M19" s="316">
        <v>310</v>
      </c>
      <c r="N19" s="316" t="s">
        <v>569</v>
      </c>
      <c r="O19" s="316"/>
      <c r="P19" s="316">
        <v>210</v>
      </c>
      <c r="Q19" s="316">
        <v>310</v>
      </c>
      <c r="R19" s="316">
        <v>310</v>
      </c>
      <c r="S19" s="40" t="s">
        <v>570</v>
      </c>
      <c r="T19" s="25"/>
      <c r="U19" s="39" t="s">
        <v>571</v>
      </c>
      <c r="V19" s="39"/>
      <c r="W19" s="2"/>
    </row>
    <row r="20" spans="1:23">
      <c r="A20" s="2"/>
      <c r="B20" s="96" t="s">
        <v>572</v>
      </c>
      <c r="C20" s="39" t="s">
        <v>568</v>
      </c>
      <c r="D20" s="40" t="s">
        <v>66</v>
      </c>
      <c r="E20" s="97"/>
      <c r="F20" s="316"/>
      <c r="G20" s="316"/>
      <c r="H20" s="316"/>
      <c r="I20" s="316"/>
      <c r="J20" s="316"/>
      <c r="K20" s="316">
        <v>210</v>
      </c>
      <c r="L20" s="316">
        <v>310</v>
      </c>
      <c r="M20" s="316">
        <v>310</v>
      </c>
      <c r="N20" s="316" t="s">
        <v>569</v>
      </c>
      <c r="O20" s="316"/>
      <c r="P20" s="316">
        <v>210</v>
      </c>
      <c r="Q20" s="316">
        <v>310</v>
      </c>
      <c r="R20" s="316">
        <v>310</v>
      </c>
      <c r="S20" s="40" t="s">
        <v>570</v>
      </c>
      <c r="T20" s="25"/>
      <c r="U20" s="39" t="s">
        <v>571</v>
      </c>
      <c r="V20" s="39"/>
      <c r="W20" s="2"/>
    </row>
    <row r="21" spans="1:23">
      <c r="A21" s="2"/>
      <c r="B21" s="96" t="s">
        <v>573</v>
      </c>
      <c r="C21" s="39" t="s">
        <v>568</v>
      </c>
      <c r="D21" s="40" t="s">
        <v>66</v>
      </c>
      <c r="E21" s="97"/>
      <c r="F21" s="316"/>
      <c r="G21" s="317" t="s">
        <v>574</v>
      </c>
      <c r="H21" s="316"/>
      <c r="I21" s="316"/>
      <c r="J21" s="316"/>
      <c r="K21" s="316">
        <v>710</v>
      </c>
      <c r="L21" s="316">
        <v>810</v>
      </c>
      <c r="M21" s="316">
        <v>810</v>
      </c>
      <c r="N21" s="316" t="s">
        <v>569</v>
      </c>
      <c r="O21" s="316"/>
      <c r="P21" s="316">
        <v>560</v>
      </c>
      <c r="Q21" s="316">
        <v>620</v>
      </c>
      <c r="R21" s="316">
        <v>620</v>
      </c>
      <c r="S21" s="40" t="s">
        <v>570</v>
      </c>
      <c r="T21" s="25"/>
      <c r="U21" s="39" t="s">
        <v>571</v>
      </c>
      <c r="V21" s="39"/>
      <c r="W21" s="2"/>
    </row>
    <row r="22" spans="1:23">
      <c r="A22" s="2"/>
      <c r="B22" s="96" t="s">
        <v>575</v>
      </c>
      <c r="C22" s="39" t="s">
        <v>568</v>
      </c>
      <c r="D22" s="40" t="s">
        <v>66</v>
      </c>
      <c r="E22" s="97"/>
      <c r="F22" s="316"/>
      <c r="G22" s="316"/>
      <c r="H22" s="316"/>
      <c r="I22" s="316"/>
      <c r="J22" s="316"/>
      <c r="K22" s="316">
        <v>210</v>
      </c>
      <c r="L22" s="316">
        <v>310</v>
      </c>
      <c r="M22" s="316">
        <v>310</v>
      </c>
      <c r="N22" s="316" t="s">
        <v>569</v>
      </c>
      <c r="O22" s="316"/>
      <c r="P22" s="316">
        <v>210</v>
      </c>
      <c r="Q22" s="316">
        <v>310</v>
      </c>
      <c r="R22" s="316">
        <v>310</v>
      </c>
      <c r="S22" s="40" t="s">
        <v>570</v>
      </c>
      <c r="T22" s="25"/>
      <c r="U22" s="39" t="s">
        <v>571</v>
      </c>
      <c r="V22" s="39"/>
      <c r="W22" s="2"/>
    </row>
    <row r="23" spans="1:23">
      <c r="A23" s="2"/>
      <c r="B23" s="96" t="s">
        <v>576</v>
      </c>
      <c r="C23" s="39" t="s">
        <v>577</v>
      </c>
      <c r="D23" s="40" t="s">
        <v>66</v>
      </c>
      <c r="E23" s="97"/>
      <c r="F23" s="316"/>
      <c r="G23" s="316"/>
      <c r="H23" s="316"/>
      <c r="I23" s="316"/>
      <c r="J23" s="316"/>
      <c r="K23" s="316">
        <v>210</v>
      </c>
      <c r="L23" s="316">
        <v>310</v>
      </c>
      <c r="M23" s="316">
        <v>310</v>
      </c>
      <c r="N23" s="316" t="s">
        <v>569</v>
      </c>
      <c r="O23" s="316"/>
      <c r="P23" s="316">
        <v>210</v>
      </c>
      <c r="Q23" s="316">
        <v>310</v>
      </c>
      <c r="R23" s="316">
        <v>310</v>
      </c>
      <c r="S23" s="40" t="s">
        <v>570</v>
      </c>
      <c r="T23" s="25"/>
      <c r="U23" s="39" t="s">
        <v>571</v>
      </c>
      <c r="V23" s="39"/>
      <c r="W23" s="2"/>
    </row>
    <row r="24" spans="1:23">
      <c r="A24" s="2"/>
      <c r="B24" s="101" t="s">
        <v>578</v>
      </c>
      <c r="C24" s="101" t="s">
        <v>579</v>
      </c>
      <c r="D24" s="101" t="s">
        <v>66</v>
      </c>
      <c r="E24" s="97"/>
      <c r="F24" s="316"/>
      <c r="G24" s="316"/>
      <c r="H24" s="316"/>
      <c r="I24" s="316"/>
      <c r="J24" s="316"/>
      <c r="K24" s="316">
        <v>710</v>
      </c>
      <c r="L24" s="316">
        <v>810</v>
      </c>
      <c r="M24" s="316">
        <v>810</v>
      </c>
      <c r="N24" s="316" t="s">
        <v>569</v>
      </c>
      <c r="O24" s="316"/>
      <c r="P24" s="316">
        <v>560</v>
      </c>
      <c r="Q24" s="316">
        <v>620</v>
      </c>
      <c r="R24" s="316">
        <v>620</v>
      </c>
      <c r="S24" s="40" t="s">
        <v>570</v>
      </c>
      <c r="T24" s="25"/>
      <c r="U24" s="39" t="s">
        <v>571</v>
      </c>
      <c r="V24" s="39"/>
      <c r="W24" s="2"/>
    </row>
    <row r="25" spans="1:23">
      <c r="A25" s="2"/>
      <c r="B25" s="2"/>
      <c r="C25" s="2"/>
      <c r="D25" s="2"/>
      <c r="E25" s="2"/>
      <c r="F25" s="318"/>
      <c r="G25" s="2"/>
      <c r="H25" s="2"/>
      <c r="I25" s="2"/>
      <c r="J25" s="2"/>
      <c r="K25" s="319" t="s">
        <v>580</v>
      </c>
      <c r="L25" s="319"/>
      <c r="M25" s="319"/>
      <c r="N25" s="319"/>
      <c r="O25" s="320"/>
      <c r="P25" s="2"/>
      <c r="Q25" s="2"/>
      <c r="R25" s="2"/>
      <c r="S25" s="2"/>
      <c r="T25" s="2"/>
      <c r="U25" s="2"/>
      <c r="V25" s="2"/>
      <c r="W25" s="2"/>
    </row>
    <row r="26" spans="1:23">
      <c r="A26" s="2"/>
      <c r="B26" s="2"/>
      <c r="C26" s="2"/>
      <c r="D26" s="2"/>
      <c r="E26" s="2"/>
      <c r="F26" s="2"/>
      <c r="G26" s="2"/>
      <c r="H26" s="2"/>
      <c r="I26" s="2"/>
      <c r="J26" s="2"/>
      <c r="K26" s="2"/>
      <c r="L26" s="2"/>
      <c r="M26" s="2"/>
      <c r="N26" s="2"/>
      <c r="O26" s="2"/>
      <c r="P26" s="2"/>
      <c r="Q26" s="2"/>
      <c r="R26" s="2"/>
      <c r="S26" s="2"/>
      <c r="T26" s="2"/>
      <c r="U26" s="2"/>
      <c r="V26" s="2"/>
      <c r="W26" s="2"/>
    </row>
    <row r="27" spans="1:23">
      <c r="A27" s="2"/>
      <c r="B27" s="103" t="s">
        <v>221</v>
      </c>
      <c r="C27" s="104"/>
      <c r="D27" s="104"/>
      <c r="E27" s="214"/>
      <c r="F27" s="104"/>
      <c r="G27" s="104"/>
      <c r="H27" s="104"/>
      <c r="I27" s="104"/>
      <c r="J27" s="106"/>
      <c r="K27" s="105"/>
      <c r="L27" s="104"/>
      <c r="M27" s="104"/>
      <c r="N27" s="104"/>
      <c r="O27" s="106"/>
      <c r="P27" s="104"/>
      <c r="Q27" s="104"/>
      <c r="R27" s="104"/>
      <c r="S27" s="104"/>
      <c r="T27" s="104"/>
      <c r="U27" s="104"/>
      <c r="V27" s="2"/>
      <c r="W27" s="2"/>
    </row>
    <row r="28" spans="1:23">
      <c r="A28" s="2"/>
      <c r="B28" s="321"/>
      <c r="C28" s="278"/>
      <c r="D28" s="278"/>
      <c r="E28" s="322"/>
      <c r="F28" s="278"/>
      <c r="G28" s="278"/>
      <c r="H28" s="10"/>
      <c r="I28" s="10"/>
      <c r="J28" s="24"/>
      <c r="K28" s="10"/>
      <c r="L28" s="10"/>
      <c r="M28" s="10"/>
      <c r="N28" s="10"/>
      <c r="O28" s="24"/>
      <c r="P28" s="10"/>
      <c r="Q28" s="10"/>
      <c r="R28" s="10"/>
      <c r="S28" s="10"/>
      <c r="T28" s="10"/>
      <c r="U28" s="10"/>
      <c r="V28" s="2"/>
      <c r="W28" s="2"/>
    </row>
    <row r="29" spans="1:23">
      <c r="A29" s="2"/>
      <c r="B29" s="323" t="s">
        <v>581</v>
      </c>
      <c r="C29" s="278"/>
      <c r="D29" s="278"/>
      <c r="E29" s="322"/>
      <c r="F29" s="278"/>
      <c r="G29" s="278"/>
      <c r="H29" s="10"/>
      <c r="I29" s="93"/>
      <c r="J29" s="93"/>
      <c r="K29" s="93"/>
      <c r="L29" s="10"/>
      <c r="M29" s="10"/>
      <c r="N29" s="10"/>
      <c r="O29" s="24"/>
      <c r="P29" s="10"/>
      <c r="Q29" s="10"/>
      <c r="R29" s="10"/>
      <c r="S29" s="10"/>
      <c r="T29" s="10"/>
      <c r="U29" s="10"/>
      <c r="V29" s="2"/>
      <c r="W29" s="2"/>
    </row>
    <row r="30" spans="1:23">
      <c r="A30" s="2"/>
      <c r="B30" s="110"/>
      <c r="C30" s="10"/>
      <c r="D30" s="10"/>
      <c r="E30" s="16"/>
      <c r="F30" s="10"/>
      <c r="G30" s="10"/>
      <c r="H30" s="10"/>
      <c r="I30" s="93"/>
      <c r="J30" s="93"/>
      <c r="K30" s="93"/>
      <c r="L30" s="10"/>
      <c r="M30" s="10"/>
      <c r="N30" s="10"/>
      <c r="O30" s="24"/>
      <c r="P30" s="10"/>
      <c r="Q30" s="10"/>
      <c r="R30" s="10"/>
      <c r="S30" s="10"/>
      <c r="T30" s="10"/>
      <c r="U30" s="10"/>
      <c r="V30" s="2"/>
      <c r="W30" s="2"/>
    </row>
    <row r="31" spans="1:23">
      <c r="A31" s="2"/>
      <c r="B31" s="324" t="s">
        <v>348</v>
      </c>
      <c r="C31" s="324"/>
      <c r="D31" s="324"/>
      <c r="E31" s="324"/>
      <c r="F31" s="324"/>
      <c r="G31" s="324"/>
      <c r="H31" s="324"/>
      <c r="I31" s="112" t="s">
        <v>582</v>
      </c>
      <c r="J31" s="325"/>
      <c r="K31" s="93"/>
      <c r="L31" s="10"/>
      <c r="M31" s="10"/>
      <c r="N31" s="10"/>
      <c r="O31" s="24"/>
      <c r="P31" s="10"/>
      <c r="Q31" s="10"/>
      <c r="R31" s="10"/>
      <c r="S31" s="10"/>
      <c r="T31" s="10"/>
      <c r="U31" s="10"/>
      <c r="V31" s="2"/>
      <c r="W31" s="2"/>
    </row>
    <row r="32" spans="1:23">
      <c r="A32" s="2"/>
      <c r="B32" s="222"/>
      <c r="C32" s="10"/>
      <c r="D32" s="10"/>
      <c r="E32" s="10"/>
      <c r="F32" s="16"/>
      <c r="G32" s="10"/>
      <c r="H32" s="10"/>
      <c r="I32" s="93"/>
      <c r="J32" s="223"/>
      <c r="K32" s="93"/>
      <c r="L32" s="10"/>
      <c r="M32" s="10"/>
      <c r="N32" s="10"/>
      <c r="O32" s="20"/>
      <c r="P32" s="10"/>
      <c r="Q32" s="24"/>
      <c r="R32" s="10"/>
      <c r="S32" s="10"/>
      <c r="T32" s="10"/>
      <c r="U32" s="10"/>
      <c r="V32" s="10"/>
      <c r="W32" s="20"/>
    </row>
    <row r="33" spans="1:23">
      <c r="A33" s="2"/>
      <c r="B33" s="478" t="s">
        <v>227</v>
      </c>
      <c r="C33" s="478"/>
      <c r="D33" s="479" t="s">
        <v>583</v>
      </c>
      <c r="E33" s="479"/>
      <c r="F33" s="479"/>
      <c r="G33" s="479"/>
      <c r="H33" s="326"/>
      <c r="I33" s="326"/>
      <c r="J33" s="326"/>
      <c r="K33" s="24"/>
      <c r="L33" s="10"/>
      <c r="M33" s="10"/>
      <c r="N33" s="10"/>
      <c r="O33" s="10"/>
      <c r="P33" s="24"/>
      <c r="Q33" s="10"/>
      <c r="R33" s="10"/>
      <c r="S33" s="10"/>
      <c r="T33" s="10"/>
      <c r="U33" s="10"/>
      <c r="V33" s="10"/>
      <c r="W33" s="20"/>
    </row>
    <row r="34" spans="1:23">
      <c r="A34" s="2"/>
      <c r="B34" s="118"/>
      <c r="C34" s="10"/>
      <c r="D34" s="10"/>
      <c r="E34" s="16"/>
      <c r="F34" s="10"/>
      <c r="G34" s="10"/>
      <c r="H34" s="10"/>
      <c r="I34" s="10"/>
      <c r="J34" s="24"/>
      <c r="K34" s="10"/>
      <c r="L34" s="10"/>
      <c r="M34" s="10"/>
      <c r="N34" s="10"/>
      <c r="O34" s="24"/>
      <c r="P34" s="10"/>
      <c r="Q34" s="10"/>
      <c r="R34" s="10"/>
      <c r="S34" s="10"/>
      <c r="T34" s="10"/>
      <c r="U34" s="58"/>
      <c r="V34" s="2"/>
      <c r="W34" s="2"/>
    </row>
    <row r="35" spans="1:23">
      <c r="A35" s="2"/>
      <c r="B35" s="65" t="s">
        <v>580</v>
      </c>
      <c r="C35" s="10"/>
      <c r="D35" s="10"/>
      <c r="E35" s="16"/>
      <c r="F35" s="10"/>
      <c r="G35" s="10"/>
      <c r="H35" s="10"/>
      <c r="I35" s="10"/>
      <c r="J35" s="24"/>
      <c r="K35" s="10"/>
      <c r="L35" s="10"/>
      <c r="M35" s="10"/>
      <c r="N35" s="10"/>
      <c r="O35" s="24"/>
      <c r="P35" s="10"/>
      <c r="Q35" s="10"/>
      <c r="R35" s="10"/>
      <c r="S35" s="10"/>
      <c r="T35" s="10"/>
      <c r="U35" s="58"/>
      <c r="V35" s="2"/>
      <c r="W35" s="2"/>
    </row>
    <row r="36" spans="1:23">
      <c r="A36" s="2"/>
      <c r="B36" s="18" t="s">
        <v>415</v>
      </c>
      <c r="C36" s="10"/>
      <c r="D36" s="10"/>
      <c r="E36" s="10"/>
      <c r="F36" s="10"/>
      <c r="G36" s="10"/>
      <c r="H36" s="10"/>
      <c r="I36" s="10"/>
      <c r="J36" s="10"/>
      <c r="K36" s="10"/>
      <c r="L36" s="10"/>
      <c r="M36" s="10"/>
      <c r="N36" s="10"/>
      <c r="O36" s="10"/>
      <c r="P36" s="10"/>
      <c r="Q36" s="10"/>
      <c r="R36" s="10"/>
      <c r="S36" s="10"/>
      <c r="T36" s="10"/>
      <c r="U36" s="58"/>
      <c r="V36" s="2"/>
      <c r="W36" s="2"/>
    </row>
    <row r="37" spans="1:23">
      <c r="A37" s="2"/>
      <c r="B37" s="18" t="s">
        <v>229</v>
      </c>
      <c r="C37" s="10"/>
      <c r="D37" s="10"/>
      <c r="E37" s="10"/>
      <c r="F37" s="10"/>
      <c r="G37" s="10"/>
      <c r="H37" s="10"/>
      <c r="I37" s="10"/>
      <c r="J37" s="10"/>
      <c r="K37" s="10"/>
      <c r="L37" s="10"/>
      <c r="M37" s="10"/>
      <c r="N37" s="10"/>
      <c r="O37" s="10"/>
      <c r="P37" s="10"/>
      <c r="Q37" s="10"/>
      <c r="R37" s="10"/>
      <c r="S37" s="10"/>
      <c r="T37" s="10"/>
      <c r="U37" s="58"/>
      <c r="V37" s="2"/>
      <c r="W37" s="2"/>
    </row>
    <row r="38" spans="1:23">
      <c r="A38" s="2"/>
      <c r="B38" s="327" t="s">
        <v>584</v>
      </c>
      <c r="C38" s="10"/>
      <c r="D38" s="10"/>
      <c r="E38" s="10"/>
      <c r="F38" s="10"/>
      <c r="G38" s="10"/>
      <c r="H38" s="10"/>
      <c r="I38" s="10"/>
      <c r="J38" s="10"/>
      <c r="K38" s="10"/>
      <c r="L38" s="10"/>
      <c r="M38" s="10"/>
      <c r="N38" s="10"/>
      <c r="O38" s="10"/>
      <c r="P38" s="10"/>
      <c r="Q38" s="10"/>
      <c r="R38" s="10"/>
      <c r="S38" s="10"/>
      <c r="T38" s="10"/>
      <c r="U38" s="58"/>
      <c r="V38" s="2"/>
      <c r="W38" s="2"/>
    </row>
    <row r="39" spans="1:23">
      <c r="A39" s="2"/>
      <c r="B39" s="327" t="s">
        <v>585</v>
      </c>
      <c r="C39" s="10"/>
      <c r="D39" s="10"/>
      <c r="E39" s="10"/>
      <c r="F39" s="10"/>
      <c r="G39" s="10"/>
      <c r="H39" s="10"/>
      <c r="I39" s="10"/>
      <c r="J39" s="10"/>
      <c r="K39" s="10"/>
      <c r="L39" s="10"/>
      <c r="M39" s="10"/>
      <c r="N39" s="10"/>
      <c r="O39" s="10"/>
      <c r="P39" s="10"/>
      <c r="Q39" s="10"/>
      <c r="R39" s="10"/>
      <c r="S39" s="10"/>
      <c r="T39" s="10"/>
      <c r="U39" s="58"/>
      <c r="V39" s="2"/>
      <c r="W39" s="2"/>
    </row>
    <row r="40" spans="1:23">
      <c r="A40" s="2"/>
      <c r="B40" s="18" t="s">
        <v>230</v>
      </c>
      <c r="C40" s="10"/>
      <c r="D40" s="10"/>
      <c r="E40" s="10"/>
      <c r="F40" s="10"/>
      <c r="G40" s="10"/>
      <c r="H40" s="10"/>
      <c r="I40" s="10"/>
      <c r="J40" s="10"/>
      <c r="K40" s="10"/>
      <c r="L40" s="10"/>
      <c r="M40" s="10"/>
      <c r="N40" s="10"/>
      <c r="O40" s="10"/>
      <c r="P40" s="10"/>
      <c r="Q40" s="10"/>
      <c r="R40" s="10"/>
      <c r="S40" s="10"/>
      <c r="T40" s="10"/>
      <c r="U40" s="58"/>
      <c r="V40" s="2"/>
      <c r="W40" s="2"/>
    </row>
    <row r="41" spans="1:23">
      <c r="A41" s="2"/>
      <c r="B41" s="18" t="s">
        <v>424</v>
      </c>
      <c r="C41" s="10"/>
      <c r="D41" s="10"/>
      <c r="E41" s="10"/>
      <c r="F41" s="10"/>
      <c r="G41" s="10"/>
      <c r="H41" s="10"/>
      <c r="I41" s="10"/>
      <c r="J41" s="10"/>
      <c r="K41" s="10"/>
      <c r="L41" s="10"/>
      <c r="M41" s="10"/>
      <c r="N41" s="10"/>
      <c r="O41" s="10"/>
      <c r="P41" s="10"/>
      <c r="Q41" s="10"/>
      <c r="R41" s="10"/>
      <c r="S41" s="10"/>
      <c r="T41" s="10"/>
      <c r="U41" s="58"/>
      <c r="V41" s="2"/>
      <c r="W41" s="2"/>
    </row>
    <row r="42" spans="1:23">
      <c r="A42" s="2"/>
      <c r="B42" s="68" t="s">
        <v>235</v>
      </c>
      <c r="C42" s="10"/>
      <c r="D42" s="10"/>
      <c r="E42" s="10"/>
      <c r="F42" s="10"/>
      <c r="G42" s="10"/>
      <c r="H42" s="10"/>
      <c r="I42" s="10"/>
      <c r="J42" s="10"/>
      <c r="K42" s="10"/>
      <c r="L42" s="10"/>
      <c r="M42" s="10"/>
      <c r="N42" s="10"/>
      <c r="O42" s="10"/>
      <c r="P42" s="10"/>
      <c r="Q42" s="10"/>
      <c r="R42" s="10"/>
      <c r="S42" s="10"/>
      <c r="T42" s="10"/>
      <c r="U42" s="58"/>
      <c r="V42" s="2"/>
      <c r="W42" s="2"/>
    </row>
    <row r="43" spans="1:23">
      <c r="A43" s="2"/>
      <c r="B43" s="6" t="s">
        <v>586</v>
      </c>
      <c r="C43" s="10"/>
      <c r="D43" s="10"/>
      <c r="E43" s="10"/>
      <c r="F43" s="10"/>
      <c r="G43" s="10"/>
      <c r="H43" s="10"/>
      <c r="I43" s="10"/>
      <c r="J43" s="10"/>
      <c r="K43" s="10"/>
      <c r="L43" s="10"/>
      <c r="M43" s="10"/>
      <c r="N43" s="10"/>
      <c r="O43" s="10"/>
      <c r="P43" s="10"/>
      <c r="Q43" s="10"/>
      <c r="R43" s="10"/>
      <c r="S43" s="10"/>
      <c r="T43" s="10"/>
      <c r="U43" s="58"/>
      <c r="V43" s="2"/>
      <c r="W43" s="2"/>
    </row>
    <row r="44" spans="1:23">
      <c r="A44" s="2"/>
      <c r="B44" s="66" t="s">
        <v>587</v>
      </c>
      <c r="C44" s="66"/>
      <c r="D44" s="66"/>
      <c r="E44" s="66"/>
      <c r="F44" s="66"/>
      <c r="G44" s="70"/>
      <c r="H44" s="70"/>
      <c r="I44" s="329"/>
      <c r="J44" s="102"/>
      <c r="K44" s="102"/>
      <c r="L44" s="102"/>
      <c r="M44" s="102"/>
      <c r="N44" s="10"/>
      <c r="O44" s="10"/>
      <c r="P44" s="10"/>
      <c r="Q44" s="10"/>
      <c r="R44" s="10"/>
      <c r="S44" s="10"/>
      <c r="T44" s="10"/>
      <c r="U44" s="58"/>
      <c r="V44" s="2"/>
      <c r="W44" s="2"/>
    </row>
    <row r="45" spans="1:23">
      <c r="A45" s="2"/>
      <c r="B45" s="18" t="s">
        <v>588</v>
      </c>
      <c r="C45" s="128"/>
      <c r="D45" s="128"/>
      <c r="E45" s="128"/>
      <c r="F45" s="128"/>
      <c r="G45" s="125"/>
      <c r="H45" s="125"/>
      <c r="I45" s="328"/>
      <c r="J45" s="102"/>
      <c r="K45" s="102"/>
      <c r="L45" s="102"/>
      <c r="M45" s="102"/>
      <c r="N45" s="10"/>
      <c r="O45" s="10"/>
      <c r="P45" s="10"/>
      <c r="Q45" s="10"/>
      <c r="R45" s="10"/>
      <c r="S45" s="10"/>
      <c r="T45" s="10"/>
      <c r="U45" s="58"/>
      <c r="V45" s="2"/>
      <c r="W45" s="2"/>
    </row>
    <row r="46" spans="1:23">
      <c r="A46" s="2"/>
      <c r="B46" s="79"/>
      <c r="C46" s="10"/>
      <c r="D46" s="10"/>
      <c r="E46" s="10"/>
      <c r="F46" s="10"/>
      <c r="G46" s="10"/>
      <c r="H46" s="10"/>
      <c r="I46" s="10"/>
      <c r="J46" s="10"/>
      <c r="K46" s="10"/>
      <c r="L46" s="10"/>
      <c r="M46" s="10"/>
      <c r="N46" s="10"/>
      <c r="O46" s="10"/>
      <c r="P46" s="10"/>
      <c r="Q46" s="10"/>
      <c r="R46" s="10"/>
      <c r="S46" s="10"/>
      <c r="T46" s="10"/>
      <c r="U46" s="58"/>
      <c r="V46" s="2"/>
      <c r="W46" s="2"/>
    </row>
    <row r="47" spans="1:23">
      <c r="A47" s="2"/>
      <c r="B47" s="79" t="s">
        <v>429</v>
      </c>
      <c r="C47" s="10"/>
      <c r="D47" s="10"/>
      <c r="E47" s="10"/>
      <c r="F47" s="10"/>
      <c r="G47" s="10"/>
      <c r="H47" s="10"/>
      <c r="I47" s="10"/>
      <c r="J47" s="10"/>
      <c r="K47" s="10"/>
      <c r="L47" s="10"/>
      <c r="M47" s="10"/>
      <c r="N47" s="10"/>
      <c r="O47" s="10"/>
      <c r="P47" s="10"/>
      <c r="Q47" s="10"/>
      <c r="R47" s="10"/>
      <c r="S47" s="10"/>
      <c r="T47" s="10"/>
      <c r="U47" s="58"/>
      <c r="V47" s="2"/>
      <c r="W47" s="2"/>
    </row>
    <row r="48" spans="1:23">
      <c r="A48" s="2"/>
      <c r="B48" s="79" t="s">
        <v>589</v>
      </c>
      <c r="C48" s="10"/>
      <c r="D48" s="10"/>
      <c r="E48" s="10"/>
      <c r="F48" s="10"/>
      <c r="G48" s="10"/>
      <c r="H48" s="10"/>
      <c r="I48" s="10"/>
      <c r="J48" s="10"/>
      <c r="K48" s="10"/>
      <c r="L48" s="10"/>
      <c r="M48" s="10"/>
      <c r="N48" s="10"/>
      <c r="O48" s="10"/>
      <c r="P48" s="10"/>
      <c r="Q48" s="10"/>
      <c r="R48" s="10"/>
      <c r="S48" s="10"/>
      <c r="T48" s="10"/>
      <c r="U48" s="58"/>
      <c r="V48" s="2"/>
      <c r="W48" s="2"/>
    </row>
    <row r="49" spans="1:23">
      <c r="A49" s="2"/>
      <c r="B49" s="79" t="s">
        <v>590</v>
      </c>
      <c r="C49" s="10"/>
      <c r="D49" s="10"/>
      <c r="E49" s="10"/>
      <c r="F49" s="10"/>
      <c r="G49" s="10"/>
      <c r="H49" s="10"/>
      <c r="I49" s="10"/>
      <c r="J49" s="10"/>
      <c r="K49" s="10"/>
      <c r="L49" s="10"/>
      <c r="M49" s="10"/>
      <c r="N49" s="10"/>
      <c r="O49" s="10"/>
      <c r="P49" s="10"/>
      <c r="Q49" s="10"/>
      <c r="R49" s="10"/>
      <c r="S49" s="10"/>
      <c r="T49" s="10"/>
      <c r="U49" s="58"/>
      <c r="V49" s="2"/>
      <c r="W49" s="2"/>
    </row>
    <row r="50" spans="1:23">
      <c r="A50" s="2"/>
      <c r="B50" s="79" t="s">
        <v>432</v>
      </c>
      <c r="C50" s="80"/>
      <c r="D50" s="10"/>
      <c r="E50" s="10"/>
      <c r="F50" s="10"/>
      <c r="G50" s="10"/>
      <c r="H50" s="10"/>
      <c r="I50" s="10"/>
      <c r="J50" s="10"/>
      <c r="K50" s="10"/>
      <c r="L50" s="10"/>
      <c r="M50" s="10"/>
      <c r="N50" s="10"/>
      <c r="O50" s="10"/>
      <c r="P50" s="10"/>
      <c r="Q50" s="10"/>
      <c r="R50" s="10"/>
      <c r="S50" s="10"/>
      <c r="T50" s="10"/>
      <c r="U50" s="58"/>
      <c r="V50" s="2"/>
      <c r="W50" s="2"/>
    </row>
    <row r="51" spans="1:23">
      <c r="A51" s="2"/>
      <c r="B51" s="79" t="s">
        <v>591</v>
      </c>
      <c r="C51" s="80"/>
      <c r="D51" s="10"/>
      <c r="E51" s="10"/>
      <c r="F51" s="10"/>
      <c r="G51" s="10"/>
      <c r="H51" s="10"/>
      <c r="I51" s="10"/>
      <c r="J51" s="10"/>
      <c r="K51" s="10"/>
      <c r="L51" s="10"/>
      <c r="M51" s="10"/>
      <c r="N51" s="10"/>
      <c r="O51" s="10"/>
      <c r="P51" s="10"/>
      <c r="Q51" s="10"/>
      <c r="R51" s="10"/>
      <c r="S51" s="10"/>
      <c r="T51" s="10"/>
      <c r="U51" s="58"/>
      <c r="V51" s="2"/>
      <c r="W51" s="2"/>
    </row>
    <row r="52" spans="1:23">
      <c r="A52" s="2"/>
      <c r="B52" s="79" t="s">
        <v>592</v>
      </c>
      <c r="C52" s="80"/>
      <c r="D52" s="10"/>
      <c r="E52" s="10"/>
      <c r="F52" s="10"/>
      <c r="G52" s="10"/>
      <c r="H52" s="10"/>
      <c r="I52" s="10"/>
      <c r="J52" s="10"/>
      <c r="K52" s="10"/>
      <c r="L52" s="10"/>
      <c r="M52" s="10"/>
      <c r="N52" s="10"/>
      <c r="O52" s="10"/>
      <c r="P52" s="10"/>
      <c r="Q52" s="10"/>
      <c r="R52" s="10"/>
      <c r="S52" s="10"/>
      <c r="T52" s="10"/>
      <c r="U52" s="58"/>
      <c r="V52" s="2"/>
      <c r="W52" s="2"/>
    </row>
    <row r="53" spans="1:23">
      <c r="A53" s="2"/>
      <c r="B53" s="79" t="s">
        <v>434</v>
      </c>
      <c r="C53" s="80"/>
      <c r="D53" s="10"/>
      <c r="E53" s="10"/>
      <c r="F53" s="10"/>
      <c r="G53" s="10"/>
      <c r="H53" s="10"/>
      <c r="I53" s="10"/>
      <c r="J53" s="10"/>
      <c r="K53" s="10"/>
      <c r="L53" s="10"/>
      <c r="M53" s="10"/>
      <c r="N53" s="10"/>
      <c r="O53" s="10"/>
      <c r="P53" s="10"/>
      <c r="Q53" s="10"/>
      <c r="R53" s="10"/>
      <c r="S53" s="10"/>
      <c r="T53" s="10"/>
      <c r="U53" s="58"/>
      <c r="V53" s="2"/>
      <c r="W53" s="2"/>
    </row>
    <row r="54" spans="1:23">
      <c r="A54" s="2"/>
      <c r="B54" s="79" t="s">
        <v>251</v>
      </c>
      <c r="C54" s="80"/>
      <c r="D54" s="10"/>
      <c r="E54" s="10"/>
      <c r="F54" s="10"/>
      <c r="G54" s="10"/>
      <c r="H54" s="10"/>
      <c r="I54" s="10"/>
      <c r="J54" s="10"/>
      <c r="K54" s="10"/>
      <c r="L54" s="10"/>
      <c r="M54" s="10"/>
      <c r="N54" s="10"/>
      <c r="O54" s="10"/>
      <c r="P54" s="10"/>
      <c r="Q54" s="10"/>
      <c r="R54" s="10"/>
      <c r="S54" s="10"/>
      <c r="T54" s="10"/>
      <c r="U54" s="58"/>
      <c r="V54" s="2"/>
      <c r="W54" s="2"/>
    </row>
    <row r="55" spans="1:23">
      <c r="A55" s="2"/>
      <c r="B55" s="330" t="s">
        <v>252</v>
      </c>
      <c r="C55" s="148"/>
      <c r="D55" s="149"/>
      <c r="E55" s="10"/>
      <c r="F55" s="10"/>
      <c r="G55" s="10"/>
      <c r="H55" s="10"/>
      <c r="I55" s="10"/>
      <c r="J55" s="10"/>
      <c r="K55" s="10"/>
      <c r="L55" s="10"/>
      <c r="M55" s="10"/>
      <c r="N55" s="10"/>
      <c r="O55" s="10"/>
      <c r="P55" s="10"/>
      <c r="Q55" s="10"/>
      <c r="R55" s="10"/>
      <c r="S55" s="10"/>
      <c r="T55" s="10"/>
      <c r="U55" s="58"/>
      <c r="V55" s="2"/>
      <c r="W55" s="2"/>
    </row>
    <row r="56" spans="1:23">
      <c r="A56" s="2"/>
      <c r="B56" s="147"/>
      <c r="C56" s="148"/>
      <c r="D56" s="149"/>
      <c r="E56" s="10"/>
      <c r="F56" s="10"/>
      <c r="G56" s="10"/>
      <c r="H56" s="10"/>
      <c r="I56" s="10"/>
      <c r="J56" s="10"/>
      <c r="K56" s="10"/>
      <c r="L56" s="10"/>
      <c r="M56" s="10"/>
      <c r="N56" s="10"/>
      <c r="O56" s="10"/>
      <c r="P56" s="10"/>
      <c r="Q56" s="10"/>
      <c r="R56" s="10"/>
      <c r="S56" s="10"/>
      <c r="T56" s="10"/>
      <c r="U56" s="58"/>
      <c r="V56" s="2"/>
      <c r="W56" s="2"/>
    </row>
    <row r="57" spans="1:23">
      <c r="A57" s="2"/>
      <c r="B57" s="6"/>
      <c r="C57" s="10"/>
      <c r="D57" s="10"/>
      <c r="E57" s="10"/>
      <c r="F57" s="10"/>
      <c r="G57" s="10"/>
      <c r="H57" s="10"/>
      <c r="I57" s="10"/>
      <c r="J57" s="10"/>
      <c r="K57" s="10"/>
      <c r="L57" s="10"/>
      <c r="M57" s="10"/>
      <c r="N57" s="10"/>
      <c r="O57" s="10"/>
      <c r="P57" s="10"/>
      <c r="Q57" s="10"/>
      <c r="R57" s="10"/>
      <c r="S57" s="10"/>
      <c r="T57" s="10"/>
      <c r="U57" s="58"/>
      <c r="V57" s="2"/>
      <c r="W57" s="2"/>
    </row>
    <row r="58" spans="1:23">
      <c r="A58" s="331"/>
      <c r="B58" s="484" t="s">
        <v>593</v>
      </c>
      <c r="C58" s="484"/>
      <c r="D58" s="484"/>
      <c r="E58" s="484"/>
      <c r="F58" s="484"/>
      <c r="G58" s="484"/>
      <c r="H58" s="332"/>
      <c r="I58" s="333"/>
      <c r="J58" s="334"/>
      <c r="K58" s="334"/>
      <c r="L58" s="334"/>
      <c r="M58" s="334"/>
      <c r="N58" s="334"/>
      <c r="O58" s="334"/>
      <c r="P58" s="334"/>
      <c r="Q58" s="334"/>
      <c r="R58" s="334"/>
      <c r="S58" s="334"/>
      <c r="T58" s="334"/>
      <c r="U58" s="334"/>
      <c r="V58" s="331"/>
      <c r="W58" s="331"/>
    </row>
    <row r="59" spans="1:23">
      <c r="A59" s="331"/>
      <c r="B59" s="6" t="s">
        <v>516</v>
      </c>
      <c r="C59" s="80"/>
      <c r="D59" s="335"/>
      <c r="E59" s="335"/>
      <c r="F59" s="334"/>
      <c r="G59" s="334"/>
      <c r="H59" s="334"/>
      <c r="I59" s="334"/>
      <c r="J59" s="334"/>
      <c r="K59" s="334"/>
      <c r="L59" s="334"/>
      <c r="M59" s="334"/>
      <c r="N59" s="334"/>
      <c r="O59" s="334"/>
      <c r="P59" s="334"/>
      <c r="Q59" s="334"/>
      <c r="R59" s="334"/>
      <c r="S59" s="334"/>
      <c r="T59" s="334"/>
      <c r="U59" s="334"/>
      <c r="V59" s="331"/>
      <c r="W59" s="331"/>
    </row>
    <row r="60" spans="1:23">
      <c r="A60" s="331"/>
      <c r="B60" s="79"/>
      <c r="C60" s="80"/>
      <c r="D60" s="335"/>
      <c r="E60" s="335"/>
      <c r="F60" s="334"/>
      <c r="G60" s="334"/>
      <c r="H60" s="334"/>
      <c r="I60" s="334"/>
      <c r="J60" s="334"/>
      <c r="K60" s="334"/>
      <c r="L60" s="334"/>
      <c r="M60" s="334"/>
      <c r="N60" s="334"/>
      <c r="O60" s="334"/>
      <c r="P60" s="334"/>
      <c r="Q60" s="334"/>
      <c r="R60" s="334"/>
      <c r="S60" s="334"/>
      <c r="T60" s="334"/>
      <c r="U60" s="58"/>
      <c r="V60" s="2"/>
      <c r="W60" s="2"/>
    </row>
    <row r="61" spans="1:23">
      <c r="A61" s="20"/>
      <c r="B61" s="18"/>
      <c r="C61" s="10"/>
      <c r="D61" s="10"/>
      <c r="E61" s="10"/>
      <c r="F61" s="10"/>
      <c r="G61" s="10"/>
      <c r="H61" s="10"/>
      <c r="I61" s="10"/>
      <c r="J61" s="20"/>
      <c r="K61" s="10"/>
      <c r="L61" s="20"/>
      <c r="M61" s="10"/>
      <c r="N61" s="10"/>
      <c r="O61" s="20"/>
      <c r="P61" s="20"/>
      <c r="Q61" s="20"/>
      <c r="R61" s="20"/>
      <c r="S61" s="20"/>
      <c r="T61" s="20"/>
      <c r="U61" s="20"/>
      <c r="V61" s="20"/>
      <c r="W61" s="20"/>
    </row>
    <row r="62" spans="1:23">
      <c r="A62" s="2"/>
      <c r="B62" s="10"/>
      <c r="C62" s="10"/>
      <c r="D62" s="10"/>
      <c r="E62" s="10"/>
      <c r="F62" s="10"/>
      <c r="G62" s="10"/>
      <c r="H62" s="10"/>
      <c r="I62" s="10"/>
      <c r="J62" s="10"/>
      <c r="K62" s="10"/>
      <c r="L62" s="10"/>
      <c r="M62" s="10"/>
      <c r="N62" s="10"/>
      <c r="O62" s="10"/>
      <c r="P62" s="10"/>
      <c r="Q62" s="10"/>
      <c r="R62" s="10"/>
      <c r="S62" s="10"/>
      <c r="T62" s="10"/>
      <c r="U62" s="10"/>
      <c r="V62" s="3"/>
      <c r="W62" s="3"/>
    </row>
    <row r="63" spans="1:23" ht="25.5" customHeight="1">
      <c r="A63" s="20"/>
      <c r="B63" s="485" t="s">
        <v>292</v>
      </c>
      <c r="C63" s="486"/>
      <c r="D63" s="486"/>
      <c r="E63" s="486"/>
      <c r="F63" s="486"/>
      <c r="G63" s="486"/>
      <c r="H63" s="487"/>
      <c r="I63" s="336"/>
      <c r="J63" s="336"/>
      <c r="K63" s="336"/>
      <c r="L63" s="336"/>
      <c r="M63" s="337"/>
      <c r="N63" s="337"/>
      <c r="O63" s="337"/>
      <c r="Q63" s="20"/>
      <c r="R63" s="20"/>
      <c r="S63" s="20"/>
      <c r="T63" s="20"/>
      <c r="U63" s="20"/>
      <c r="V63" s="20"/>
      <c r="W63" s="20"/>
    </row>
    <row r="64" spans="1:23">
      <c r="A64" s="20"/>
      <c r="B64" s="338"/>
      <c r="C64" s="338"/>
      <c r="D64" s="338"/>
      <c r="E64" s="338"/>
      <c r="F64" s="338"/>
      <c r="G64" s="338"/>
      <c r="H64" s="338"/>
      <c r="I64" s="336"/>
      <c r="J64" s="336"/>
      <c r="K64" s="336"/>
      <c r="L64" s="336"/>
      <c r="M64" s="337"/>
      <c r="N64" s="337"/>
      <c r="O64" s="337"/>
      <c r="Q64" s="20"/>
      <c r="R64" s="20"/>
      <c r="S64" s="20"/>
      <c r="T64" s="20"/>
      <c r="U64" s="20"/>
      <c r="V64" s="20"/>
      <c r="W64" s="20"/>
    </row>
    <row r="65" spans="1:23">
      <c r="A65" s="20"/>
      <c r="B65" s="339"/>
      <c r="C65" s="73"/>
      <c r="D65" s="70"/>
      <c r="E65" s="70"/>
      <c r="F65" s="70"/>
      <c r="G65" s="66"/>
      <c r="H65" s="66"/>
      <c r="I65" s="70"/>
      <c r="J65" s="48"/>
      <c r="K65" s="340"/>
      <c r="L65" s="340"/>
      <c r="M65" s="341"/>
      <c r="N65" s="341"/>
      <c r="O65" s="341"/>
      <c r="P65" s="342"/>
      <c r="Q65" s="343"/>
      <c r="R65" s="343"/>
      <c r="S65" s="343"/>
      <c r="T65" s="20"/>
      <c r="U65" s="20"/>
      <c r="V65" s="20"/>
      <c r="W65" s="20"/>
    </row>
    <row r="66" spans="1:23">
      <c r="A66" s="20"/>
      <c r="B66" s="344" t="s">
        <v>272</v>
      </c>
      <c r="C66" s="345"/>
      <c r="D66" s="345"/>
      <c r="E66" s="73"/>
      <c r="F66" s="73"/>
      <c r="G66" s="73"/>
      <c r="H66" s="19"/>
      <c r="I66" s="346"/>
      <c r="J66" s="74"/>
      <c r="K66" s="340"/>
      <c r="L66" s="340"/>
      <c r="M66" s="341"/>
      <c r="N66" s="341"/>
      <c r="O66" s="341"/>
      <c r="P66" s="342"/>
      <c r="Q66" s="343"/>
      <c r="R66" s="343"/>
      <c r="S66" s="343"/>
      <c r="T66" s="20"/>
      <c r="U66" s="20"/>
      <c r="V66" s="20"/>
      <c r="W66" s="20"/>
    </row>
    <row r="67" spans="1:23">
      <c r="A67" s="20"/>
      <c r="B67" s="347" t="s">
        <v>273</v>
      </c>
      <c r="C67" s="348"/>
      <c r="D67" s="348"/>
      <c r="E67" s="348"/>
      <c r="F67" s="348"/>
      <c r="G67" s="348"/>
      <c r="H67" s="348"/>
      <c r="I67" s="349"/>
      <c r="J67" s="74"/>
      <c r="K67" s="340"/>
      <c r="L67" s="340"/>
      <c r="M67" s="341"/>
      <c r="N67" s="341"/>
      <c r="O67" s="341"/>
      <c r="P67" s="342"/>
      <c r="Q67" s="343"/>
      <c r="R67" s="343"/>
      <c r="S67" s="343"/>
      <c r="T67" s="20"/>
      <c r="U67" s="20"/>
      <c r="V67" s="20"/>
      <c r="W67" s="20"/>
    </row>
    <row r="68" spans="1:23">
      <c r="A68" s="20"/>
      <c r="B68" s="347" t="s">
        <v>594</v>
      </c>
      <c r="C68" s="69"/>
      <c r="D68" s="69"/>
      <c r="E68" s="73"/>
      <c r="F68" s="73"/>
      <c r="G68" s="69"/>
      <c r="H68" s="350"/>
      <c r="I68" s="346"/>
      <c r="J68" s="48"/>
      <c r="K68" s="340"/>
      <c r="L68" s="340"/>
      <c r="M68" s="341"/>
      <c r="N68" s="341"/>
      <c r="O68" s="341"/>
      <c r="P68" s="342"/>
      <c r="Q68" s="343"/>
      <c r="R68" s="343"/>
      <c r="S68" s="343"/>
      <c r="T68" s="20"/>
      <c r="U68" s="20"/>
      <c r="V68" s="20"/>
      <c r="W68" s="20"/>
    </row>
    <row r="69" spans="1:23">
      <c r="A69" s="20"/>
      <c r="B69" s="351" t="s">
        <v>436</v>
      </c>
      <c r="C69" s="69"/>
      <c r="D69" s="73"/>
      <c r="E69" s="73"/>
      <c r="F69" s="73"/>
      <c r="G69" s="69"/>
      <c r="H69" s="350"/>
      <c r="I69" s="346"/>
      <c r="J69" s="48"/>
      <c r="K69" s="340"/>
      <c r="L69" s="340"/>
      <c r="M69" s="341"/>
      <c r="N69" s="341"/>
      <c r="O69" s="341"/>
      <c r="P69" s="342"/>
      <c r="Q69" s="343"/>
      <c r="R69" s="343"/>
      <c r="S69" s="343"/>
      <c r="T69" s="20"/>
      <c r="U69" s="20"/>
      <c r="V69" s="20"/>
      <c r="W69" s="20"/>
    </row>
    <row r="70" spans="1:23">
      <c r="A70" s="20"/>
      <c r="B70" s="347" t="s">
        <v>276</v>
      </c>
      <c r="C70" s="69"/>
      <c r="D70" s="73"/>
      <c r="E70" s="73"/>
      <c r="F70" s="73"/>
      <c r="G70" s="69"/>
      <c r="H70" s="350"/>
      <c r="I70" s="346"/>
      <c r="J70" s="48"/>
      <c r="K70" s="340"/>
      <c r="L70" s="340"/>
      <c r="M70" s="341"/>
      <c r="N70" s="341"/>
      <c r="O70" s="341"/>
      <c r="P70" s="342"/>
      <c r="Q70" s="343"/>
      <c r="R70" s="343"/>
      <c r="S70" s="343"/>
      <c r="T70" s="20"/>
      <c r="U70" s="20"/>
      <c r="V70" s="20"/>
      <c r="W70" s="20"/>
    </row>
    <row r="71" spans="1:23">
      <c r="A71" s="20"/>
      <c r="B71" s="347" t="s">
        <v>277</v>
      </c>
      <c r="C71" s="69"/>
      <c r="D71" s="350"/>
      <c r="E71" s="350"/>
      <c r="F71" s="350"/>
      <c r="G71" s="350"/>
      <c r="H71" s="350"/>
      <c r="I71" s="346"/>
      <c r="J71" s="48"/>
      <c r="K71" s="340"/>
      <c r="L71" s="340"/>
      <c r="M71" s="341"/>
      <c r="N71" s="341"/>
      <c r="O71" s="341"/>
      <c r="P71" s="342"/>
      <c r="Q71" s="343"/>
      <c r="R71" s="343"/>
      <c r="S71" s="343"/>
      <c r="T71" s="20"/>
      <c r="U71" s="20"/>
      <c r="V71" s="20"/>
      <c r="W71" s="20"/>
    </row>
    <row r="72" spans="1:23">
      <c r="A72" s="20"/>
      <c r="B72" s="352" t="s">
        <v>278</v>
      </c>
      <c r="C72" s="353"/>
      <c r="D72" s="353"/>
      <c r="E72" s="353"/>
      <c r="F72" s="353"/>
      <c r="G72" s="353"/>
      <c r="H72" s="66"/>
      <c r="I72" s="66"/>
      <c r="J72" s="48"/>
      <c r="K72" s="340"/>
      <c r="L72" s="340"/>
      <c r="M72" s="341"/>
      <c r="N72" s="341"/>
      <c r="O72" s="341"/>
      <c r="P72" s="342"/>
      <c r="Q72" s="343"/>
      <c r="R72" s="343"/>
      <c r="S72" s="343"/>
      <c r="T72" s="20"/>
      <c r="U72" s="20"/>
      <c r="V72" s="20"/>
      <c r="W72" s="20"/>
    </row>
    <row r="73" spans="1:23">
      <c r="A73" s="20"/>
      <c r="B73" s="354" t="s">
        <v>228</v>
      </c>
      <c r="C73" s="69"/>
      <c r="D73" s="355"/>
      <c r="E73" s="355"/>
      <c r="F73" s="355"/>
      <c r="G73" s="355"/>
      <c r="H73" s="66"/>
      <c r="I73" s="66"/>
      <c r="J73" s="48"/>
      <c r="K73" s="340"/>
      <c r="L73" s="340"/>
      <c r="M73" s="341"/>
      <c r="N73" s="341"/>
      <c r="O73" s="341"/>
      <c r="P73" s="342"/>
      <c r="Q73" s="343"/>
      <c r="R73" s="343"/>
      <c r="S73" s="343"/>
      <c r="T73" s="20"/>
      <c r="U73" s="20"/>
      <c r="V73" s="20"/>
      <c r="W73" s="20"/>
    </row>
    <row r="74" spans="1:23">
      <c r="A74" s="20"/>
      <c r="B74" s="356" t="s">
        <v>279</v>
      </c>
      <c r="C74" s="69"/>
      <c r="D74" s="69"/>
      <c r="E74" s="69"/>
      <c r="F74" s="69"/>
      <c r="G74" s="69"/>
      <c r="H74" s="66"/>
      <c r="I74" s="66"/>
      <c r="J74" s="48"/>
      <c r="K74" s="340"/>
      <c r="L74" s="340"/>
      <c r="M74" s="341"/>
      <c r="N74" s="341"/>
      <c r="O74" s="341"/>
      <c r="P74" s="342"/>
      <c r="Q74" s="343"/>
      <c r="R74" s="343"/>
      <c r="S74" s="343"/>
      <c r="T74" s="20"/>
      <c r="U74" s="20"/>
      <c r="V74" s="20"/>
      <c r="W74" s="20"/>
    </row>
    <row r="75" spans="1:23">
      <c r="A75" s="20"/>
      <c r="B75" s="347" t="s">
        <v>280</v>
      </c>
      <c r="C75" s="69"/>
      <c r="D75" s="350"/>
      <c r="E75" s="350"/>
      <c r="F75" s="350"/>
      <c r="G75" s="350"/>
      <c r="H75" s="350"/>
      <c r="I75" s="346"/>
      <c r="J75" s="48"/>
      <c r="K75" s="340"/>
      <c r="L75" s="340"/>
      <c r="M75" s="341"/>
      <c r="N75" s="341"/>
      <c r="O75" s="341"/>
      <c r="P75" s="342"/>
      <c r="Q75" s="343"/>
      <c r="R75" s="343"/>
      <c r="S75" s="343"/>
      <c r="T75" s="20"/>
      <c r="U75" s="20"/>
      <c r="V75" s="20"/>
      <c r="W75" s="20"/>
    </row>
    <row r="76" spans="1:23">
      <c r="A76" s="20"/>
      <c r="B76" s="347" t="s">
        <v>281</v>
      </c>
      <c r="C76" s="69"/>
      <c r="D76" s="350"/>
      <c r="E76" s="350"/>
      <c r="F76" s="350"/>
      <c r="G76" s="350"/>
      <c r="H76" s="350"/>
      <c r="I76" s="346"/>
      <c r="J76" s="48"/>
      <c r="K76" s="340"/>
      <c r="L76" s="340"/>
      <c r="M76" s="341"/>
      <c r="N76" s="341"/>
      <c r="O76" s="341"/>
      <c r="P76" s="342"/>
      <c r="Q76" s="343"/>
      <c r="R76" s="343"/>
      <c r="S76" s="343"/>
      <c r="T76" s="20"/>
      <c r="U76" s="20"/>
      <c r="V76" s="20"/>
      <c r="W76" s="20"/>
    </row>
    <row r="77" spans="1:23">
      <c r="A77" s="20"/>
      <c r="B77" s="354" t="s">
        <v>437</v>
      </c>
      <c r="C77" s="19"/>
      <c r="D77" s="19"/>
      <c r="E77" s="350"/>
      <c r="F77" s="350"/>
      <c r="G77" s="350"/>
      <c r="H77" s="350"/>
      <c r="I77" s="346"/>
      <c r="J77" s="48"/>
      <c r="K77" s="340"/>
      <c r="L77" s="340"/>
      <c r="M77" s="341"/>
      <c r="N77" s="341"/>
      <c r="O77" s="341"/>
      <c r="P77" s="342"/>
      <c r="Q77" s="343"/>
      <c r="R77" s="343"/>
      <c r="S77" s="343"/>
      <c r="T77" s="20"/>
      <c r="U77" s="20"/>
      <c r="V77" s="20"/>
      <c r="W77" s="20"/>
    </row>
    <row r="78" spans="1:23">
      <c r="A78" s="20"/>
      <c r="B78" s="354" t="s">
        <v>438</v>
      </c>
      <c r="C78" s="19"/>
      <c r="D78" s="19"/>
      <c r="E78" s="350"/>
      <c r="F78" s="350"/>
      <c r="G78" s="350"/>
      <c r="H78" s="350"/>
      <c r="I78" s="346"/>
      <c r="J78" s="48"/>
      <c r="K78" s="340"/>
      <c r="L78" s="340"/>
      <c r="M78" s="341"/>
      <c r="N78" s="341"/>
      <c r="O78" s="341"/>
      <c r="P78" s="342"/>
      <c r="Q78" s="343"/>
      <c r="R78" s="343"/>
      <c r="S78" s="343"/>
      <c r="T78" s="20"/>
      <c r="U78" s="20"/>
      <c r="V78" s="20"/>
      <c r="W78" s="20"/>
    </row>
    <row r="79" spans="1:23">
      <c r="A79" s="20"/>
      <c r="B79" s="354" t="s">
        <v>284</v>
      </c>
      <c r="C79" s="19"/>
      <c r="D79" s="19"/>
      <c r="E79" s="350"/>
      <c r="F79" s="350"/>
      <c r="G79" s="350"/>
      <c r="H79" s="350"/>
      <c r="I79" s="346"/>
      <c r="J79" s="48"/>
      <c r="K79" s="340"/>
      <c r="L79" s="340"/>
      <c r="M79" s="341"/>
      <c r="N79" s="341"/>
      <c r="O79" s="341"/>
      <c r="P79" s="342"/>
      <c r="Q79" s="343"/>
      <c r="R79" s="343"/>
      <c r="S79" s="343"/>
      <c r="T79" s="20"/>
      <c r="U79" s="20"/>
      <c r="V79" s="20"/>
      <c r="W79" s="20"/>
    </row>
    <row r="80" spans="1:23">
      <c r="A80" s="20"/>
      <c r="B80" s="354" t="s">
        <v>285</v>
      </c>
      <c r="C80" s="19"/>
      <c r="D80" s="19"/>
      <c r="E80" s="350"/>
      <c r="F80" s="350"/>
      <c r="G80" s="350"/>
      <c r="H80" s="350"/>
      <c r="I80" s="346"/>
      <c r="J80" s="48"/>
      <c r="K80" s="340"/>
      <c r="L80" s="340"/>
      <c r="M80" s="341"/>
      <c r="N80" s="341"/>
      <c r="O80" s="341"/>
      <c r="P80" s="342"/>
      <c r="Q80" s="343"/>
      <c r="R80" s="343"/>
      <c r="S80" s="343"/>
      <c r="T80" s="20"/>
      <c r="U80" s="20"/>
      <c r="V80" s="20"/>
      <c r="W80" s="20"/>
    </row>
    <row r="81" spans="1:23">
      <c r="A81" s="20"/>
      <c r="B81" s="12" t="s">
        <v>286</v>
      </c>
      <c r="C81" s="69"/>
      <c r="D81" s="350"/>
      <c r="E81" s="350"/>
      <c r="F81" s="350"/>
      <c r="G81" s="350"/>
      <c r="H81" s="350"/>
      <c r="I81" s="346"/>
      <c r="J81" s="48"/>
      <c r="K81" s="340"/>
      <c r="L81" s="340"/>
      <c r="M81" s="341"/>
      <c r="N81" s="341"/>
      <c r="O81" s="341"/>
      <c r="P81" s="342"/>
      <c r="Q81" s="343"/>
      <c r="R81" s="343"/>
      <c r="S81" s="343"/>
      <c r="T81" s="20"/>
      <c r="U81" s="20"/>
      <c r="V81" s="20"/>
      <c r="W81" s="20"/>
    </row>
    <row r="82" spans="1:23">
      <c r="A82" s="20"/>
      <c r="B82" s="347" t="s">
        <v>287</v>
      </c>
      <c r="C82" s="69"/>
      <c r="D82" s="350"/>
      <c r="E82" s="350"/>
      <c r="F82" s="350"/>
      <c r="G82" s="350"/>
      <c r="H82" s="350"/>
      <c r="I82" s="346"/>
      <c r="J82" s="48"/>
      <c r="K82" s="340"/>
      <c r="L82" s="340"/>
      <c r="M82" s="341"/>
      <c r="N82" s="341"/>
      <c r="O82" s="341"/>
      <c r="P82" s="342"/>
      <c r="Q82" s="343"/>
      <c r="R82" s="343"/>
      <c r="S82" s="343"/>
      <c r="T82" s="20"/>
      <c r="U82" s="20"/>
      <c r="V82" s="20"/>
      <c r="W82" s="20"/>
    </row>
    <row r="83" spans="1:23">
      <c r="A83" s="20"/>
      <c r="B83" s="357" t="s">
        <v>288</v>
      </c>
      <c r="C83" s="69"/>
      <c r="D83" s="350"/>
      <c r="E83" s="350"/>
      <c r="F83" s="350"/>
      <c r="G83" s="350"/>
      <c r="H83" s="350"/>
      <c r="I83" s="349"/>
      <c r="J83" s="358"/>
      <c r="K83" s="340"/>
      <c r="L83" s="340"/>
      <c r="M83" s="341"/>
      <c r="N83" s="341"/>
      <c r="O83" s="341"/>
      <c r="P83" s="342"/>
      <c r="Q83" s="343"/>
      <c r="R83" s="343"/>
      <c r="S83" s="343"/>
      <c r="T83" s="20"/>
      <c r="U83" s="20"/>
      <c r="V83" s="20"/>
      <c r="W83" s="20"/>
    </row>
    <row r="84" spans="1:23">
      <c r="A84" s="20"/>
      <c r="B84" s="359" t="s">
        <v>289</v>
      </c>
      <c r="C84" s="69"/>
      <c r="D84" s="350"/>
      <c r="E84" s="350"/>
      <c r="F84" s="350"/>
      <c r="G84" s="350"/>
      <c r="H84" s="350"/>
      <c r="I84" s="349"/>
      <c r="J84" s="358"/>
      <c r="K84" s="340"/>
      <c r="L84" s="340"/>
      <c r="M84" s="341"/>
      <c r="N84" s="341"/>
      <c r="O84" s="341"/>
      <c r="P84" s="342"/>
      <c r="Q84" s="343"/>
      <c r="R84" s="343"/>
      <c r="S84" s="343"/>
      <c r="T84" s="20"/>
      <c r="U84" s="20"/>
      <c r="V84" s="20"/>
      <c r="W84" s="20"/>
    </row>
    <row r="85" spans="1:23">
      <c r="A85" s="20"/>
      <c r="B85" s="360" t="s">
        <v>290</v>
      </c>
      <c r="C85" s="361"/>
      <c r="D85" s="361"/>
      <c r="E85" s="362"/>
      <c r="F85" s="350"/>
      <c r="G85" s="350"/>
      <c r="H85" s="350"/>
      <c r="I85" s="349"/>
      <c r="J85" s="358"/>
      <c r="K85" s="340"/>
      <c r="L85" s="340"/>
      <c r="M85" s="341"/>
      <c r="N85" s="341"/>
      <c r="O85" s="341"/>
      <c r="P85" s="342"/>
      <c r="Q85" s="343"/>
      <c r="R85" s="343"/>
      <c r="S85" s="343"/>
      <c r="T85" s="20"/>
      <c r="U85" s="20"/>
      <c r="V85" s="20"/>
      <c r="W85" s="20"/>
    </row>
    <row r="86" spans="1:23">
      <c r="A86" s="20"/>
      <c r="B86" s="363" t="s">
        <v>291</v>
      </c>
      <c r="C86" s="348"/>
      <c r="D86" s="348"/>
      <c r="E86" s="348"/>
      <c r="F86" s="348"/>
      <c r="G86" s="348"/>
      <c r="H86" s="348"/>
      <c r="I86" s="348"/>
      <c r="J86" s="364"/>
      <c r="K86" s="340"/>
      <c r="L86" s="340"/>
      <c r="M86" s="341"/>
      <c r="N86" s="341"/>
      <c r="O86" s="341"/>
      <c r="P86" s="342"/>
      <c r="Q86" s="343"/>
      <c r="R86" s="343"/>
      <c r="S86" s="343"/>
      <c r="T86" s="20"/>
      <c r="U86" s="20"/>
      <c r="V86" s="20"/>
      <c r="W86" s="20"/>
    </row>
    <row r="87" spans="1:23">
      <c r="A87" s="20"/>
      <c r="B87" s="338"/>
      <c r="C87" s="338"/>
      <c r="D87" s="338"/>
      <c r="E87" s="338"/>
      <c r="F87" s="338"/>
      <c r="G87" s="338"/>
      <c r="H87" s="338"/>
      <c r="I87" s="336"/>
      <c r="J87" s="336"/>
      <c r="K87" s="336"/>
      <c r="L87" s="336"/>
      <c r="M87" s="337"/>
      <c r="N87" s="337"/>
      <c r="O87" s="337"/>
      <c r="Q87" s="20"/>
      <c r="R87" s="20"/>
      <c r="S87" s="20"/>
      <c r="T87" s="20"/>
      <c r="U87" s="20"/>
      <c r="V87" s="20"/>
      <c r="W87" s="20"/>
    </row>
    <row r="88" spans="1:23">
      <c r="A88" s="2"/>
      <c r="B88" s="47" t="s">
        <v>293</v>
      </c>
      <c r="C88" s="10"/>
      <c r="D88" s="10"/>
      <c r="E88" s="10"/>
      <c r="F88" s="10"/>
      <c r="G88" s="10"/>
      <c r="H88" s="10"/>
      <c r="I88" s="10"/>
      <c r="J88" s="10"/>
      <c r="K88" s="10"/>
      <c r="L88" s="10"/>
      <c r="M88" s="10"/>
      <c r="N88" s="10"/>
      <c r="O88" s="10"/>
      <c r="P88" s="10"/>
      <c r="Q88" s="10"/>
      <c r="R88" s="10"/>
      <c r="S88" s="10"/>
      <c r="T88" s="10"/>
      <c r="U88" s="10"/>
      <c r="V88" s="3"/>
      <c r="W88" s="3"/>
    </row>
    <row r="89" spans="1:23">
      <c r="A89" s="2"/>
      <c r="B89" s="10"/>
      <c r="C89" s="10"/>
      <c r="D89" s="10"/>
      <c r="E89" s="10"/>
      <c r="F89" s="10"/>
      <c r="G89" s="10"/>
      <c r="H89" s="10"/>
      <c r="I89" s="10"/>
      <c r="J89" s="10"/>
      <c r="K89" s="10"/>
      <c r="L89" s="10"/>
      <c r="M89" s="10"/>
      <c r="N89" s="10"/>
      <c r="O89" s="10"/>
      <c r="P89" s="10"/>
      <c r="Q89" s="10"/>
      <c r="R89" s="10"/>
      <c r="S89" s="10"/>
      <c r="T89" s="10"/>
      <c r="U89" s="10"/>
      <c r="V89" s="3"/>
      <c r="W89" s="3"/>
    </row>
    <row r="90" spans="1:23">
      <c r="A90" s="2"/>
      <c r="B90" s="10"/>
      <c r="C90" s="10"/>
      <c r="D90" s="10"/>
      <c r="E90" s="10"/>
      <c r="F90" s="10"/>
      <c r="G90" s="10"/>
      <c r="H90" s="10"/>
      <c r="I90" s="10"/>
      <c r="J90" s="10"/>
      <c r="K90" s="10"/>
      <c r="L90" s="10"/>
      <c r="M90" s="10"/>
      <c r="N90" s="10"/>
      <c r="O90" s="10"/>
      <c r="P90" s="10"/>
      <c r="Q90" s="10"/>
      <c r="R90" s="10"/>
      <c r="S90" s="10"/>
      <c r="T90" s="10"/>
      <c r="U90" s="10"/>
      <c r="V90" s="3"/>
      <c r="W90" s="3"/>
    </row>
    <row r="91" spans="1:23">
      <c r="A91" s="12"/>
      <c r="B91" s="93"/>
      <c r="C91" s="93"/>
      <c r="D91" s="93"/>
      <c r="E91" s="93"/>
      <c r="F91" s="93"/>
      <c r="G91" s="93"/>
      <c r="H91" s="93"/>
      <c r="I91" s="93"/>
      <c r="J91" s="93"/>
      <c r="K91" s="93"/>
      <c r="L91" s="93"/>
      <c r="M91" s="93"/>
      <c r="N91" s="93"/>
      <c r="O91" s="93"/>
      <c r="P91" s="93"/>
      <c r="Q91" s="93"/>
      <c r="R91" s="93"/>
      <c r="S91" s="93"/>
      <c r="T91" s="93"/>
      <c r="U91" s="93"/>
      <c r="V91" s="19"/>
      <c r="W91" s="19"/>
    </row>
    <row r="92" spans="1:23">
      <c r="A92" s="12"/>
      <c r="B92" s="93"/>
      <c r="C92" s="93"/>
      <c r="D92" s="93"/>
      <c r="E92" s="93"/>
      <c r="F92" s="93"/>
      <c r="G92" s="93"/>
      <c r="H92" s="93"/>
      <c r="I92" s="93"/>
      <c r="J92" s="93"/>
      <c r="K92" s="93"/>
      <c r="L92" s="93"/>
      <c r="M92" s="93"/>
      <c r="N92" s="93"/>
      <c r="O92" s="93"/>
      <c r="P92" s="93"/>
      <c r="Q92" s="93"/>
      <c r="R92" s="93"/>
      <c r="S92" s="93"/>
      <c r="T92" s="93"/>
      <c r="U92" s="93"/>
      <c r="V92" s="19"/>
      <c r="W92" s="19"/>
    </row>
  </sheetData>
  <mergeCells count="14">
    <mergeCell ref="B58:G58"/>
    <mergeCell ref="B63:H63"/>
    <mergeCell ref="K17:N17"/>
    <mergeCell ref="P17:S17"/>
    <mergeCell ref="U17:U18"/>
    <mergeCell ref="C4:I4"/>
    <mergeCell ref="V17:V18"/>
    <mergeCell ref="B33:C33"/>
    <mergeCell ref="D33:G33"/>
    <mergeCell ref="C5:I5"/>
    <mergeCell ref="B17:B18"/>
    <mergeCell ref="C17:C18"/>
    <mergeCell ref="D17:D18"/>
    <mergeCell ref="F17:I17"/>
  </mergeCells>
  <hyperlinks>
    <hyperlink ref="D33" r:id="rId1" display="https://elines.coscoshipping.com/ebusiness/sailingSchedule/searchByCity" xr:uid="{99E54A37-0DB7-4BC5-AFBB-636FEF4C2152}"/>
    <hyperlink ref="B58:F58" r:id="rId2" display="8. Please click here to check our standard free time tariff at destinations." xr:uid="{E38887D0-C530-4B71-8768-972C098803E5}"/>
    <hyperlink ref="B88" location="OCEANIA!A1" display="BACK TO TOP" xr:uid="{B99E9419-5DA8-48B1-89D5-CEFBE5407557}"/>
    <hyperlink ref="I31" location="'Booking desk'!A1" display="Click here for more details" xr:uid="{EC54F427-B9E3-4FD3-9403-1932004897F0}"/>
    <hyperlink ref="L10" r:id="rId3" display="https://world.lines.coscoshipping.com/spain/es/services/Tarifas/1/1" xr:uid="{9D65B94C-6086-409C-8D80-B9CD3C2A1D2C}"/>
    <hyperlink ref="L12" r:id="rId4" display="https://elines.coscoshipping.com/local/sn/schedule/outbound" xr:uid="{64FCF43C-97AE-40E6-8F77-4CE820F51CEB}"/>
    <hyperlink ref="B55" r:id="rId5" xr:uid="{21E070AA-00F1-44C5-AECE-ADA1C0A6C5CB}"/>
    <hyperlink ref="B77:J77" r:id="rId6" display="LINK - Local charges/conditions listed on our homepage coscoshipping.de" xr:uid="{22823DDB-6530-45E1-BFEF-DE367983C19A}"/>
    <hyperlink ref="B86" r:id="rId7" xr:uid="{94FF3E85-BB3D-4517-922F-2754EBDB91A8}"/>
    <hyperlink ref="B84" r:id="rId8" xr:uid="{E479B43B-9CC1-424F-9F03-6E783F72FFA0}"/>
    <hyperlink ref="B77:D77" r:id="rId9" display="LINK - Local charges/conditions listed on our homepage coscoshipping.de" xr:uid="{1C63CDF4-D727-486F-8BF6-878A1D91AF59}"/>
    <hyperlink ref="B77" r:id="rId10" display="https://world.lines.coscoshipping.com/statics/sites/main/local/spain/es/services/Tarifas/PublishingImages/Pages/default/COSCO Transport Conditions 2023 - Espa%C3%B1ol v3.0.pdf" xr:uid="{D987A8BC-2DEB-4D6E-98CE-79E296959A52}"/>
    <hyperlink ref="B78" r:id="rId11" display="https://world.lines.coscoshipping.com/statics/sites/main/local/spain/en/services/tariffs/PublishingImages/Pages/default/COSCO Transport Conditions 2023.pdf" xr:uid="{ACB41E00-F508-43F0-92DA-E51065A75034}"/>
    <hyperlink ref="B79" r:id="rId12" display="https://world.lines.coscoshipping.com/spain/en/services/barcelonaschedules/1/1" xr:uid="{E77B39B0-73A1-4849-98B5-C6B5D55CC2C7}"/>
    <hyperlink ref="B80" r:id="rId13" display="https://world.lines.coscoshipping.com/spain/en/services/tariffs/1/1" xr:uid="{950A3B2A-2758-412B-9E5A-692A234E7ADF}"/>
    <hyperlink ref="B72" r:id="rId14" display="   Demurrage/detention does not include storage at terminal, please click here to check our standard free time at destinations LINK" xr:uid="{12E78060-BACC-4C00-A6C9-32AEBF287087}"/>
    <hyperlink ref="B74:D74" r:id="rId15" display="Local charges/conditions listed on our homepage coscoshipping.es LINK" xr:uid="{08AE112E-28DA-4F39-A8EC-971223E7D6C5}"/>
    <hyperlink ref="B73" r:id="rId16" display="http://elines.coscoshipping.com/ebusiness/demurrageDetentionTariff" xr:uid="{AE8AB7E4-FD07-488C-BF2F-029A732D8C86}"/>
  </hyperlinks>
  <pageMargins left="0.7" right="0.7" top="0.75" bottom="0.75" header="0.3" footer="0.3"/>
  <drawing r:id="rId1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2FEF-6FB9-4FA6-B1C3-78D41DFBF45B}">
  <sheetPr>
    <tabColor rgb="FFCCECFF"/>
  </sheetPr>
  <dimension ref="A1:W84"/>
  <sheetViews>
    <sheetView showGridLines="0" topLeftCell="C1" workbookViewId="0">
      <selection activeCell="U19" sqref="U19"/>
    </sheetView>
  </sheetViews>
  <sheetFormatPr baseColWidth="10" defaultColWidth="11.5703125" defaultRowHeight="15"/>
  <cols>
    <col min="1" max="1" width="6.140625" customWidth="1"/>
    <col min="2" max="2" width="22.42578125" customWidth="1"/>
    <col min="3" max="3" width="18.7109375" customWidth="1"/>
    <col min="4" max="4" width="14.85546875" customWidth="1"/>
    <col min="5" max="5" width="0.42578125" customWidth="1"/>
    <col min="6" max="9" width="11.85546875" customWidth="1"/>
    <col min="10" max="10" width="0.42578125" customWidth="1"/>
    <col min="11" max="14" width="11.85546875" customWidth="1"/>
    <col min="15" max="15" width="0.42578125" customWidth="1"/>
    <col min="16" max="19" width="11.85546875" customWidth="1"/>
    <col min="20" max="20" width="0.42578125" customWidth="1"/>
    <col min="21" max="21" width="32.85546875" customWidth="1"/>
    <col min="22" max="22" width="23.140625" customWidth="1"/>
  </cols>
  <sheetData>
    <row r="1" spans="1:23">
      <c r="A1" s="2"/>
      <c r="B1" s="10"/>
      <c r="C1" s="10"/>
      <c r="D1" s="10"/>
      <c r="E1" s="10"/>
      <c r="F1" s="10"/>
      <c r="G1" s="11"/>
      <c r="H1" s="11"/>
      <c r="I1" s="11"/>
      <c r="J1" s="10"/>
      <c r="K1" s="11"/>
      <c r="L1" s="11"/>
      <c r="M1" s="11"/>
      <c r="N1" s="10"/>
      <c r="O1" s="11"/>
      <c r="P1" s="11"/>
      <c r="Q1" s="11"/>
      <c r="R1" s="11"/>
      <c r="S1" s="11"/>
      <c r="T1" s="11"/>
      <c r="U1" s="11"/>
      <c r="V1" s="308"/>
    </row>
    <row r="2" spans="1:23">
      <c r="A2" s="2"/>
      <c r="B2" s="10"/>
      <c r="C2" s="10"/>
      <c r="D2" s="10"/>
      <c r="E2" s="10"/>
      <c r="F2" s="10"/>
      <c r="G2" s="11"/>
      <c r="H2" s="11"/>
      <c r="I2" s="11"/>
      <c r="J2" s="11"/>
      <c r="K2" s="13" t="s">
        <v>382</v>
      </c>
      <c r="L2" s="13"/>
      <c r="M2" s="13"/>
      <c r="N2" s="13"/>
      <c r="O2" s="13"/>
      <c r="P2" s="13"/>
      <c r="Q2" s="13"/>
      <c r="R2" s="21"/>
      <c r="S2" s="2"/>
      <c r="T2" s="2"/>
      <c r="U2" s="2"/>
      <c r="V2" s="2"/>
    </row>
    <row r="3" spans="1:23">
      <c r="A3" s="2"/>
      <c r="B3" s="42"/>
      <c r="C3" s="43" t="s">
        <v>595</v>
      </c>
      <c r="D3" s="44"/>
      <c r="E3" s="44"/>
      <c r="F3" s="44"/>
      <c r="G3" s="44"/>
      <c r="H3" s="44"/>
      <c r="I3" s="45"/>
      <c r="J3" s="13"/>
      <c r="K3" s="13"/>
      <c r="L3" s="13"/>
      <c r="M3" s="13"/>
      <c r="N3" s="13"/>
      <c r="O3" s="261"/>
      <c r="P3" s="2"/>
      <c r="Q3" s="2"/>
      <c r="R3" s="2"/>
      <c r="S3" s="2"/>
      <c r="T3" s="2"/>
      <c r="U3" s="2"/>
      <c r="V3" s="2"/>
    </row>
    <row r="4" spans="1:23" ht="15" customHeight="1">
      <c r="A4" s="2"/>
      <c r="B4" s="309" t="s">
        <v>40</v>
      </c>
      <c r="C4" s="475" t="s">
        <v>41</v>
      </c>
      <c r="D4" s="475"/>
      <c r="E4" s="475"/>
      <c r="F4" s="475"/>
      <c r="G4" s="475"/>
      <c r="H4" s="475"/>
      <c r="I4" s="476"/>
      <c r="J4" s="13"/>
      <c r="K4" s="13"/>
      <c r="L4" s="13"/>
      <c r="M4" s="13"/>
      <c r="N4" s="13"/>
      <c r="O4" s="25"/>
      <c r="P4" s="2"/>
      <c r="Q4" s="2"/>
      <c r="R4" s="2"/>
      <c r="S4" s="2"/>
      <c r="T4" s="2"/>
      <c r="U4" s="2"/>
      <c r="V4" s="2"/>
      <c r="W4" s="2"/>
    </row>
    <row r="5" spans="1:23">
      <c r="A5" s="2"/>
      <c r="B5" s="42" t="s">
        <v>42</v>
      </c>
      <c r="C5" s="480" t="s">
        <v>384</v>
      </c>
      <c r="D5" s="481"/>
      <c r="E5" s="481"/>
      <c r="F5" s="481"/>
      <c r="G5" s="481"/>
      <c r="H5" s="481"/>
      <c r="I5" s="482"/>
      <c r="J5" s="13"/>
      <c r="K5" s="13"/>
      <c r="L5" s="13"/>
      <c r="M5" s="13"/>
      <c r="N5" s="13"/>
      <c r="O5" s="25"/>
      <c r="P5" s="2"/>
      <c r="Q5" s="2"/>
      <c r="R5" s="2"/>
      <c r="S5" s="2"/>
      <c r="T5" s="2"/>
      <c r="U5" s="2"/>
      <c r="V5" s="2"/>
    </row>
    <row r="6" spans="1:23">
      <c r="A6" s="2"/>
      <c r="B6" s="23" t="s">
        <v>44</v>
      </c>
      <c r="C6" s="14"/>
      <c r="D6" s="14"/>
      <c r="E6" s="22"/>
      <c r="F6" s="15"/>
      <c r="G6" s="13"/>
      <c r="H6" s="13"/>
      <c r="I6" s="13"/>
      <c r="J6" s="13"/>
      <c r="K6" s="13"/>
      <c r="L6" s="13"/>
      <c r="M6" s="13"/>
      <c r="N6" s="13"/>
      <c r="O6" s="13"/>
      <c r="P6" s="13"/>
      <c r="Q6" s="13"/>
      <c r="R6" s="13"/>
      <c r="S6" s="13"/>
      <c r="T6" s="21"/>
      <c r="U6" s="13"/>
      <c r="V6" s="2"/>
    </row>
    <row r="7" spans="1:23">
      <c r="A7" s="2"/>
      <c r="B7" s="23"/>
      <c r="C7" s="14"/>
      <c r="D7" s="14"/>
      <c r="E7" s="22"/>
      <c r="F7" s="15"/>
      <c r="G7" s="13"/>
      <c r="H7" s="13"/>
      <c r="I7" s="13"/>
      <c r="J7" s="21"/>
      <c r="K7" s="13"/>
      <c r="L7" s="13"/>
      <c r="M7" s="13"/>
      <c r="N7" s="13"/>
      <c r="O7" s="21"/>
      <c r="P7" s="13"/>
      <c r="Q7" s="13"/>
      <c r="R7" s="13"/>
      <c r="S7" s="13"/>
      <c r="T7" s="21"/>
      <c r="U7" s="13"/>
      <c r="V7" s="2"/>
    </row>
    <row r="8" spans="1:23">
      <c r="A8" s="2"/>
      <c r="B8" s="31"/>
      <c r="C8" s="31"/>
      <c r="D8" s="31"/>
      <c r="E8" s="32"/>
      <c r="F8" s="33"/>
      <c r="G8" s="15"/>
      <c r="H8" s="21"/>
      <c r="I8" s="20"/>
      <c r="J8" s="20"/>
      <c r="K8" s="20"/>
      <c r="L8" s="31" t="s">
        <v>45</v>
      </c>
      <c r="M8" s="31"/>
      <c r="N8" s="85"/>
      <c r="O8" s="21"/>
      <c r="P8" s="21"/>
      <c r="Q8" s="21"/>
      <c r="R8" s="21"/>
      <c r="S8" s="21"/>
      <c r="T8" s="21"/>
      <c r="U8" s="13"/>
      <c r="V8" s="2"/>
    </row>
    <row r="9" spans="1:23">
      <c r="A9" s="2"/>
      <c r="B9" s="34"/>
      <c r="C9" s="35"/>
      <c r="D9" s="35"/>
      <c r="E9" s="22"/>
      <c r="F9" s="35"/>
      <c r="G9" s="35"/>
      <c r="H9" s="21"/>
      <c r="I9" s="20"/>
      <c r="J9" s="20"/>
      <c r="K9" s="20"/>
      <c r="L9" s="21"/>
      <c r="M9" s="21"/>
      <c r="N9" s="85"/>
      <c r="O9" s="21"/>
      <c r="P9" s="21"/>
      <c r="Q9" s="21"/>
      <c r="R9" s="310"/>
      <c r="S9" s="13"/>
      <c r="T9" s="21"/>
      <c r="U9" s="13"/>
      <c r="V9" s="2"/>
    </row>
    <row r="10" spans="1:23">
      <c r="A10" s="2"/>
      <c r="B10" s="311"/>
      <c r="C10" s="312"/>
      <c r="D10" s="22"/>
      <c r="E10" s="22"/>
      <c r="F10" s="312"/>
      <c r="G10" s="313"/>
      <c r="H10" s="38"/>
      <c r="I10" s="21"/>
      <c r="J10" s="21"/>
      <c r="K10" s="20"/>
      <c r="L10" s="313" t="s">
        <v>46</v>
      </c>
      <c r="M10" s="38"/>
      <c r="N10" s="313"/>
      <c r="O10" s="38"/>
      <c r="P10" s="313"/>
      <c r="Q10" s="313"/>
      <c r="R10" s="310"/>
      <c r="S10" s="13"/>
      <c r="T10" s="21"/>
      <c r="U10" s="13"/>
      <c r="V10" s="2"/>
    </row>
    <row r="11" spans="1:23">
      <c r="A11" s="2"/>
      <c r="B11" s="311"/>
      <c r="D11" s="312"/>
      <c r="E11" s="22"/>
      <c r="F11" s="313"/>
      <c r="G11" s="313"/>
      <c r="H11" s="38"/>
      <c r="I11" s="21"/>
      <c r="J11" s="21"/>
      <c r="K11" s="20"/>
      <c r="L11" s="313"/>
      <c r="M11" s="38"/>
      <c r="N11" s="313"/>
      <c r="O11" s="21"/>
      <c r="P11" s="313"/>
      <c r="Q11" s="313"/>
      <c r="R11" s="310"/>
      <c r="S11" s="13"/>
      <c r="T11" s="21"/>
      <c r="U11" s="13"/>
      <c r="V11" s="2"/>
    </row>
    <row r="12" spans="1:23">
      <c r="A12" s="2"/>
      <c r="B12" s="311"/>
      <c r="C12" s="312"/>
      <c r="D12" s="312"/>
      <c r="E12" s="22"/>
      <c r="F12" s="313"/>
      <c r="G12" s="313"/>
      <c r="H12" s="38"/>
      <c r="I12" s="21"/>
      <c r="J12" s="21"/>
      <c r="K12" s="20"/>
      <c r="L12" s="313" t="s">
        <v>47</v>
      </c>
      <c r="M12" s="38"/>
      <c r="N12" s="313"/>
      <c r="O12" s="21"/>
      <c r="P12" s="21"/>
      <c r="Q12" s="21"/>
      <c r="R12" s="13"/>
      <c r="S12" s="13"/>
      <c r="T12" s="21"/>
      <c r="U12" s="365"/>
      <c r="V12" s="2"/>
    </row>
    <row r="13" spans="1:23">
      <c r="A13" s="2"/>
      <c r="B13" s="34"/>
      <c r="C13" s="22"/>
      <c r="D13" s="312"/>
      <c r="E13" s="22"/>
      <c r="F13" s="313"/>
      <c r="G13" s="311"/>
      <c r="H13" s="38"/>
      <c r="I13" s="314"/>
      <c r="J13" s="21"/>
      <c r="K13" s="20"/>
      <c r="L13" s="21"/>
      <c r="M13" s="21"/>
      <c r="N13" s="21"/>
      <c r="O13" s="21"/>
      <c r="P13" s="21"/>
      <c r="Q13" s="21"/>
      <c r="R13" s="13"/>
      <c r="S13" s="13"/>
      <c r="T13" s="21"/>
      <c r="U13" s="13"/>
      <c r="V13" s="2"/>
    </row>
    <row r="14" spans="1:23">
      <c r="A14" s="2"/>
      <c r="B14" s="34"/>
      <c r="C14" s="22"/>
      <c r="D14" s="22"/>
      <c r="E14" s="20"/>
      <c r="F14" s="313"/>
      <c r="G14" s="313"/>
      <c r="H14" s="38"/>
      <c r="I14" s="314"/>
      <c r="J14" s="20"/>
      <c r="K14" s="20"/>
      <c r="L14" s="13"/>
      <c r="M14" s="13"/>
      <c r="N14" s="13"/>
      <c r="O14" s="21"/>
      <c r="P14" s="13"/>
      <c r="Q14" s="13"/>
      <c r="R14" s="13"/>
      <c r="S14" s="13"/>
      <c r="T14" s="21"/>
      <c r="U14" s="13"/>
      <c r="V14" s="2"/>
    </row>
    <row r="15" spans="1:23">
      <c r="A15" s="2"/>
      <c r="B15" s="34"/>
      <c r="C15" s="22"/>
      <c r="D15" s="22"/>
      <c r="E15" s="20"/>
      <c r="F15" s="14"/>
      <c r="G15" s="14"/>
      <c r="H15" s="14"/>
      <c r="I15" s="20"/>
      <c r="J15" s="20"/>
      <c r="K15" s="20"/>
      <c r="L15" s="13"/>
      <c r="M15" s="13"/>
      <c r="N15" s="13"/>
      <c r="O15" s="21"/>
      <c r="P15" s="13"/>
      <c r="Q15" s="13"/>
      <c r="R15" s="13"/>
      <c r="S15" s="13"/>
      <c r="T15" s="21"/>
      <c r="U15" s="13"/>
      <c r="V15" s="2"/>
    </row>
    <row r="16" spans="1:23">
      <c r="A16" s="2"/>
      <c r="B16" s="10"/>
      <c r="C16" s="10"/>
      <c r="D16" s="10"/>
      <c r="E16" s="10"/>
      <c r="F16" s="10"/>
      <c r="G16" s="10"/>
      <c r="H16" s="10"/>
      <c r="I16" s="10"/>
      <c r="J16" s="10"/>
      <c r="K16" s="10"/>
      <c r="L16" s="315"/>
      <c r="M16" s="315"/>
      <c r="N16" s="315"/>
      <c r="O16" s="10"/>
      <c r="P16" s="315"/>
      <c r="Q16" s="315"/>
      <c r="R16" s="315"/>
      <c r="S16" s="315"/>
      <c r="T16" s="10"/>
      <c r="U16" s="315"/>
      <c r="V16" s="2"/>
    </row>
    <row r="17" spans="1:22">
      <c r="A17" s="2"/>
      <c r="B17" s="483" t="s">
        <v>48</v>
      </c>
      <c r="C17" s="483" t="s">
        <v>50</v>
      </c>
      <c r="D17" s="483" t="s">
        <v>51</v>
      </c>
      <c r="E17" s="16"/>
      <c r="F17" s="483" t="s">
        <v>52</v>
      </c>
      <c r="G17" s="483"/>
      <c r="H17" s="483"/>
      <c r="I17" s="483"/>
      <c r="J17" s="24"/>
      <c r="K17" s="483" t="s">
        <v>53</v>
      </c>
      <c r="L17" s="483"/>
      <c r="M17" s="483"/>
      <c r="N17" s="483"/>
      <c r="O17" s="25"/>
      <c r="P17" s="483" t="s">
        <v>54</v>
      </c>
      <c r="Q17" s="483"/>
      <c r="R17" s="483"/>
      <c r="S17" s="483"/>
      <c r="T17" s="25"/>
      <c r="U17" s="477" t="s">
        <v>385</v>
      </c>
      <c r="V17" s="477" t="s">
        <v>386</v>
      </c>
    </row>
    <row r="18" spans="1:22">
      <c r="A18" s="274"/>
      <c r="B18" s="483"/>
      <c r="C18" s="483"/>
      <c r="D18" s="483"/>
      <c r="E18" s="16"/>
      <c r="F18" s="94" t="s">
        <v>297</v>
      </c>
      <c r="G18" s="94" t="s">
        <v>387</v>
      </c>
      <c r="H18" s="94" t="s">
        <v>388</v>
      </c>
      <c r="I18" s="94" t="s">
        <v>389</v>
      </c>
      <c r="J18" s="24"/>
      <c r="K18" s="94" t="s">
        <v>297</v>
      </c>
      <c r="L18" s="94" t="s">
        <v>387</v>
      </c>
      <c r="M18" s="94" t="s">
        <v>388</v>
      </c>
      <c r="N18" s="94" t="s">
        <v>389</v>
      </c>
      <c r="O18" s="25"/>
      <c r="P18" s="94" t="s">
        <v>297</v>
      </c>
      <c r="Q18" s="94" t="s">
        <v>387</v>
      </c>
      <c r="R18" s="94" t="s">
        <v>388</v>
      </c>
      <c r="S18" s="94" t="s">
        <v>389</v>
      </c>
      <c r="T18" s="25"/>
      <c r="U18" s="477"/>
      <c r="V18" s="477"/>
    </row>
    <row r="19" spans="1:22">
      <c r="A19" s="2"/>
      <c r="B19" s="96" t="s">
        <v>596</v>
      </c>
      <c r="C19" s="39" t="s">
        <v>597</v>
      </c>
      <c r="D19" s="40" t="s">
        <v>66</v>
      </c>
      <c r="E19" s="97"/>
      <c r="F19" s="316"/>
      <c r="G19" s="316"/>
      <c r="H19" s="316"/>
      <c r="I19" s="316"/>
      <c r="J19" s="316">
        <v>1350</v>
      </c>
      <c r="K19" s="316">
        <v>950</v>
      </c>
      <c r="L19" s="316">
        <v>1250</v>
      </c>
      <c r="M19" s="316">
        <v>1250</v>
      </c>
      <c r="N19" s="316" t="s">
        <v>570</v>
      </c>
      <c r="O19" s="316">
        <v>1350</v>
      </c>
      <c r="P19" s="316">
        <v>950</v>
      </c>
      <c r="Q19" s="316">
        <v>1250</v>
      </c>
      <c r="R19" s="316">
        <v>1250</v>
      </c>
      <c r="S19" s="316" t="s">
        <v>570</v>
      </c>
      <c r="T19" s="25"/>
      <c r="U19" s="39" t="s">
        <v>744</v>
      </c>
      <c r="V19" s="39"/>
    </row>
    <row r="20" spans="1:22">
      <c r="A20" s="2"/>
      <c r="B20" s="96" t="s">
        <v>598</v>
      </c>
      <c r="C20" s="39" t="s">
        <v>599</v>
      </c>
      <c r="D20" s="40" t="s">
        <v>66</v>
      </c>
      <c r="E20" s="97"/>
      <c r="F20" s="316"/>
      <c r="G20" s="316"/>
      <c r="H20" s="316"/>
      <c r="I20" s="366"/>
      <c r="J20" s="367"/>
      <c r="K20" s="316">
        <v>750</v>
      </c>
      <c r="L20" s="316">
        <v>950</v>
      </c>
      <c r="M20" s="316">
        <v>950</v>
      </c>
      <c r="N20" s="316" t="s">
        <v>570</v>
      </c>
      <c r="O20" s="368"/>
      <c r="P20" s="316">
        <v>750</v>
      </c>
      <c r="Q20" s="316">
        <v>950</v>
      </c>
      <c r="R20" s="316">
        <v>950</v>
      </c>
      <c r="S20" s="316" t="s">
        <v>570</v>
      </c>
      <c r="T20" s="25"/>
      <c r="U20" s="39" t="s">
        <v>745</v>
      </c>
      <c r="V20" s="39"/>
    </row>
    <row r="21" spans="1:22">
      <c r="A21" s="2"/>
      <c r="B21" s="96" t="s">
        <v>600</v>
      </c>
      <c r="C21" s="39" t="s">
        <v>601</v>
      </c>
      <c r="D21" s="40" t="s">
        <v>66</v>
      </c>
      <c r="E21" s="97"/>
      <c r="F21" s="316"/>
      <c r="G21" s="317" t="s">
        <v>574</v>
      </c>
      <c r="H21" s="316"/>
      <c r="I21" s="366"/>
      <c r="J21" s="367"/>
      <c r="K21" s="316">
        <v>800</v>
      </c>
      <c r="L21" s="316">
        <v>950</v>
      </c>
      <c r="M21" s="316">
        <v>950</v>
      </c>
      <c r="N21" s="316" t="s">
        <v>570</v>
      </c>
      <c r="O21" s="368"/>
      <c r="P21" s="316">
        <v>800</v>
      </c>
      <c r="Q21" s="316">
        <v>950</v>
      </c>
      <c r="R21" s="316">
        <v>950</v>
      </c>
      <c r="S21" s="316" t="s">
        <v>570</v>
      </c>
      <c r="T21" s="25"/>
      <c r="U21" s="39" t="s">
        <v>744</v>
      </c>
      <c r="V21" s="39"/>
    </row>
    <row r="22" spans="1:22">
      <c r="A22" s="2"/>
      <c r="B22" s="96" t="s">
        <v>602</v>
      </c>
      <c r="C22" s="39" t="s">
        <v>603</v>
      </c>
      <c r="D22" s="40" t="s">
        <v>66</v>
      </c>
      <c r="E22" s="97"/>
      <c r="F22" s="316"/>
      <c r="G22" s="316"/>
      <c r="H22" s="316"/>
      <c r="I22" s="366"/>
      <c r="J22" s="367"/>
      <c r="K22" s="316">
        <v>1150</v>
      </c>
      <c r="L22" s="316">
        <v>1600</v>
      </c>
      <c r="M22" s="316">
        <v>1600</v>
      </c>
      <c r="N22" s="316" t="s">
        <v>604</v>
      </c>
      <c r="O22" s="368"/>
      <c r="P22" s="316">
        <v>1150</v>
      </c>
      <c r="Q22" s="316">
        <v>1600</v>
      </c>
      <c r="R22" s="316">
        <v>1600</v>
      </c>
      <c r="S22" s="316" t="s">
        <v>604</v>
      </c>
      <c r="T22" s="25"/>
      <c r="U22" s="39" t="s">
        <v>745</v>
      </c>
      <c r="V22" s="39"/>
    </row>
    <row r="23" spans="1:22">
      <c r="A23" s="2"/>
      <c r="B23" s="96" t="s">
        <v>605</v>
      </c>
      <c r="C23" s="39" t="s">
        <v>606</v>
      </c>
      <c r="D23" s="40" t="s">
        <v>66</v>
      </c>
      <c r="E23" s="97"/>
      <c r="F23" s="316"/>
      <c r="G23" s="316"/>
      <c r="H23" s="316"/>
      <c r="I23" s="366"/>
      <c r="J23" s="367"/>
      <c r="K23" s="316">
        <v>1600</v>
      </c>
      <c r="L23" s="316">
        <v>2000</v>
      </c>
      <c r="M23" s="316">
        <v>2000</v>
      </c>
      <c r="N23" s="316" t="s">
        <v>604</v>
      </c>
      <c r="O23" s="368"/>
      <c r="P23" s="316">
        <v>1600</v>
      </c>
      <c r="Q23" s="316">
        <v>2000</v>
      </c>
      <c r="R23" s="316">
        <v>2000</v>
      </c>
      <c r="S23" s="316" t="s">
        <v>604</v>
      </c>
      <c r="T23" s="25"/>
      <c r="U23" s="39" t="s">
        <v>744</v>
      </c>
      <c r="V23" s="39"/>
    </row>
    <row r="24" spans="1:22">
      <c r="A24" s="2"/>
      <c r="B24" s="2"/>
      <c r="C24" s="2"/>
      <c r="D24" s="2"/>
      <c r="E24" s="2"/>
      <c r="F24" s="318"/>
      <c r="G24" s="2"/>
      <c r="H24" s="2"/>
      <c r="I24" s="2"/>
      <c r="J24" s="2"/>
      <c r="K24" s="2"/>
      <c r="L24" s="2"/>
      <c r="M24" s="2"/>
      <c r="N24" s="2"/>
      <c r="O24" s="2"/>
      <c r="P24" s="2"/>
      <c r="Q24" s="2"/>
      <c r="R24" s="2"/>
      <c r="S24" s="2"/>
      <c r="T24" s="2"/>
      <c r="U24" s="2"/>
      <c r="V24" s="2"/>
    </row>
    <row r="25" spans="1:22">
      <c r="A25" s="2"/>
      <c r="B25" s="2"/>
      <c r="C25" s="2"/>
      <c r="D25" s="2"/>
      <c r="E25" s="2"/>
      <c r="F25" s="2"/>
      <c r="G25" s="2"/>
      <c r="H25" s="2"/>
      <c r="I25" s="2"/>
      <c r="J25" s="2"/>
      <c r="K25" s="2"/>
      <c r="L25" s="2"/>
      <c r="M25" s="2"/>
      <c r="N25" s="2"/>
      <c r="O25" s="2"/>
      <c r="P25" s="2"/>
      <c r="Q25" s="2"/>
      <c r="R25" s="2"/>
      <c r="S25" s="2"/>
      <c r="T25" s="2"/>
      <c r="U25" s="2"/>
      <c r="V25" s="2"/>
    </row>
    <row r="26" spans="1:22">
      <c r="A26" s="2"/>
      <c r="B26" s="103" t="s">
        <v>221</v>
      </c>
      <c r="C26" s="104"/>
      <c r="D26" s="104"/>
      <c r="E26" s="214"/>
      <c r="F26" s="104"/>
      <c r="G26" s="104"/>
      <c r="H26" s="104"/>
      <c r="I26" s="104"/>
      <c r="J26" s="106"/>
      <c r="K26" s="105"/>
      <c r="L26" s="104"/>
      <c r="M26" s="104"/>
      <c r="N26" s="104"/>
      <c r="O26" s="106"/>
      <c r="P26" s="104"/>
      <c r="Q26" s="104"/>
      <c r="R26" s="104"/>
      <c r="S26" s="104"/>
      <c r="T26" s="104"/>
      <c r="U26" s="104"/>
      <c r="V26" s="2"/>
    </row>
    <row r="27" spans="1:22">
      <c r="A27" s="2"/>
      <c r="B27" s="321"/>
      <c r="C27" s="278"/>
      <c r="D27" s="278"/>
      <c r="E27" s="322"/>
      <c r="F27" s="278"/>
      <c r="G27" s="278"/>
      <c r="H27" s="10"/>
      <c r="I27" s="10"/>
      <c r="J27" s="24"/>
      <c r="K27" s="10"/>
      <c r="L27" s="10"/>
      <c r="M27" s="10"/>
      <c r="N27" s="10"/>
      <c r="O27" s="24"/>
      <c r="P27" s="10"/>
      <c r="Q27" s="10"/>
      <c r="R27" s="10"/>
      <c r="S27" s="10"/>
      <c r="T27" s="10"/>
      <c r="U27" s="10"/>
      <c r="V27" s="2"/>
    </row>
    <row r="28" spans="1:22">
      <c r="A28" s="2"/>
      <c r="B28" s="323" t="s">
        <v>581</v>
      </c>
      <c r="C28" s="278"/>
      <c r="D28" s="278"/>
      <c r="E28" s="322"/>
      <c r="F28" s="278"/>
      <c r="G28" s="278"/>
      <c r="H28" s="10"/>
      <c r="I28" s="10"/>
      <c r="J28" s="24"/>
      <c r="K28" s="10"/>
      <c r="L28" s="10"/>
      <c r="M28" s="10"/>
      <c r="N28" s="10"/>
      <c r="O28" s="24"/>
      <c r="P28" s="10"/>
      <c r="Q28" s="10"/>
      <c r="R28" s="10"/>
      <c r="S28" s="10"/>
      <c r="T28" s="10"/>
      <c r="U28" s="10"/>
      <c r="V28" s="2"/>
    </row>
    <row r="29" spans="1:22">
      <c r="A29" s="2"/>
      <c r="B29" s="110"/>
      <c r="C29" s="10"/>
      <c r="D29" s="10"/>
      <c r="E29" s="16"/>
      <c r="F29" s="10"/>
      <c r="G29" s="10"/>
      <c r="H29" s="10"/>
      <c r="I29" s="10"/>
      <c r="J29" s="24"/>
      <c r="K29" s="10"/>
      <c r="L29" s="10"/>
      <c r="M29" s="10"/>
      <c r="N29" s="10"/>
      <c r="O29" s="24"/>
      <c r="P29" s="10"/>
      <c r="Q29" s="10"/>
      <c r="R29" s="10"/>
      <c r="S29" s="10"/>
      <c r="T29" s="10"/>
      <c r="U29" s="10"/>
      <c r="V29" s="2"/>
    </row>
    <row r="30" spans="1:22">
      <c r="A30" s="2"/>
      <c r="B30" s="324" t="s">
        <v>348</v>
      </c>
      <c r="C30" s="324"/>
      <c r="D30" s="324"/>
      <c r="E30" s="324"/>
      <c r="F30" s="324"/>
      <c r="G30" s="324"/>
      <c r="H30" s="324"/>
      <c r="I30" s="10"/>
      <c r="J30" s="24"/>
      <c r="K30" s="10"/>
      <c r="L30" s="10"/>
      <c r="M30" s="10"/>
      <c r="N30" s="10"/>
      <c r="O30" s="24"/>
      <c r="P30" s="10"/>
      <c r="Q30" s="10"/>
      <c r="R30" s="10"/>
      <c r="S30" s="10"/>
      <c r="T30" s="10"/>
      <c r="U30" s="10"/>
      <c r="V30" s="2"/>
    </row>
    <row r="31" spans="1:22" ht="15" customHeight="1">
      <c r="A31" s="2"/>
      <c r="B31" s="222"/>
      <c r="C31" s="10"/>
      <c r="D31" s="10"/>
      <c r="E31" s="10"/>
      <c r="F31" s="16"/>
      <c r="G31" s="10"/>
      <c r="H31" s="10"/>
      <c r="I31" s="10"/>
      <c r="J31" s="24"/>
      <c r="K31" s="10"/>
      <c r="L31" s="10"/>
      <c r="M31" s="10"/>
      <c r="N31" s="10"/>
      <c r="O31" s="20"/>
      <c r="P31" s="10"/>
      <c r="Q31" s="24"/>
      <c r="R31" s="10"/>
      <c r="S31" s="10"/>
      <c r="T31" s="10"/>
      <c r="U31" s="10"/>
      <c r="V31" s="10"/>
    </row>
    <row r="32" spans="1:22">
      <c r="A32" s="2"/>
      <c r="B32" s="478" t="s">
        <v>227</v>
      </c>
      <c r="C32" s="478"/>
      <c r="D32" s="479" t="s">
        <v>583</v>
      </c>
      <c r="E32" s="479"/>
      <c r="F32" s="479"/>
      <c r="G32" s="479"/>
      <c r="H32" s="326"/>
      <c r="I32" s="10"/>
      <c r="J32" s="24"/>
      <c r="K32" s="10"/>
      <c r="L32" s="10"/>
      <c r="M32" s="10"/>
      <c r="N32" s="10"/>
      <c r="O32" s="10"/>
      <c r="P32" s="24"/>
      <c r="Q32" s="10"/>
      <c r="R32" s="10"/>
      <c r="S32" s="10"/>
      <c r="T32" s="10"/>
      <c r="U32" s="10"/>
      <c r="V32" s="10"/>
    </row>
    <row r="33" spans="1:22">
      <c r="A33" s="2"/>
      <c r="B33" s="118"/>
      <c r="C33" s="10"/>
      <c r="D33" s="10"/>
      <c r="E33" s="16"/>
      <c r="F33" s="10"/>
      <c r="G33" s="10"/>
      <c r="H33" s="10"/>
      <c r="I33" s="10"/>
      <c r="J33" s="24"/>
      <c r="K33" s="10"/>
      <c r="L33" s="10"/>
      <c r="M33" s="10"/>
      <c r="N33" s="10"/>
      <c r="O33" s="24"/>
      <c r="P33" s="10"/>
      <c r="Q33" s="10"/>
      <c r="R33" s="10"/>
      <c r="S33" s="10"/>
      <c r="T33" s="10"/>
      <c r="U33" s="58"/>
      <c r="V33" s="2"/>
    </row>
    <row r="34" spans="1:22">
      <c r="A34" s="2"/>
      <c r="B34" s="18" t="s">
        <v>415</v>
      </c>
      <c r="C34" s="10"/>
      <c r="D34" s="10"/>
      <c r="E34" s="10"/>
      <c r="F34" s="10"/>
      <c r="G34" s="10"/>
      <c r="H34" s="10"/>
      <c r="I34" s="10"/>
      <c r="J34" s="24"/>
      <c r="K34" s="10"/>
      <c r="L34" s="10"/>
      <c r="M34" s="10"/>
      <c r="N34" s="10"/>
      <c r="O34" s="10"/>
      <c r="P34" s="10"/>
      <c r="Q34" s="10"/>
      <c r="R34" s="10"/>
      <c r="S34" s="10"/>
      <c r="T34" s="10"/>
      <c r="U34" s="58"/>
      <c r="V34" s="2"/>
    </row>
    <row r="35" spans="1:22">
      <c r="A35" s="2"/>
      <c r="B35" s="18" t="s">
        <v>229</v>
      </c>
      <c r="C35" s="10"/>
      <c r="D35" s="10"/>
      <c r="E35" s="10"/>
      <c r="F35" s="10"/>
      <c r="G35" s="10"/>
      <c r="H35" s="10"/>
      <c r="I35" s="10"/>
      <c r="J35" s="10"/>
      <c r="K35" s="10"/>
      <c r="L35" s="10"/>
      <c r="M35" s="10"/>
      <c r="N35" s="10"/>
      <c r="O35" s="10"/>
      <c r="P35" s="10"/>
      <c r="Q35" s="10"/>
      <c r="R35" s="10"/>
      <c r="S35" s="10"/>
      <c r="T35" s="10"/>
      <c r="U35" s="58"/>
      <c r="V35" s="2"/>
    </row>
    <row r="36" spans="1:22">
      <c r="A36" s="2"/>
      <c r="B36" s="18" t="s">
        <v>230</v>
      </c>
      <c r="C36" s="10"/>
      <c r="D36" s="10"/>
      <c r="E36" s="10"/>
      <c r="F36" s="10"/>
      <c r="G36" s="10"/>
      <c r="H36" s="10"/>
      <c r="I36" s="10"/>
      <c r="J36" s="10"/>
      <c r="K36" s="10"/>
      <c r="L36" s="10"/>
      <c r="M36" s="10"/>
      <c r="N36" s="10"/>
      <c r="O36" s="10"/>
      <c r="P36" s="10"/>
      <c r="Q36" s="10"/>
      <c r="R36" s="10"/>
      <c r="S36" s="10"/>
      <c r="T36" s="10"/>
      <c r="U36" s="58"/>
      <c r="V36" s="2"/>
    </row>
    <row r="37" spans="1:22">
      <c r="A37" s="2"/>
      <c r="B37" s="18" t="s">
        <v>588</v>
      </c>
      <c r="C37" s="10"/>
      <c r="D37" s="10"/>
      <c r="E37" s="10"/>
      <c r="F37" s="10"/>
      <c r="G37" s="10"/>
      <c r="H37" s="10"/>
      <c r="I37" s="10"/>
      <c r="J37" s="10"/>
      <c r="K37" s="10"/>
      <c r="L37" s="10"/>
      <c r="M37" s="10"/>
      <c r="N37" s="10"/>
      <c r="O37" s="10"/>
      <c r="P37" s="10"/>
      <c r="Q37" s="10"/>
      <c r="R37" s="10"/>
      <c r="S37" s="10"/>
      <c r="T37" s="10"/>
      <c r="U37" s="58"/>
      <c r="V37" s="2"/>
    </row>
    <row r="38" spans="1:22">
      <c r="A38" s="2"/>
      <c r="B38" s="6" t="s">
        <v>607</v>
      </c>
      <c r="C38" s="10"/>
      <c r="D38" s="10"/>
      <c r="E38" s="10"/>
      <c r="F38" s="10"/>
      <c r="G38" s="10"/>
      <c r="H38" s="10"/>
      <c r="I38" s="10"/>
      <c r="J38" s="10"/>
      <c r="K38" s="10"/>
      <c r="L38" s="10"/>
      <c r="M38" s="10"/>
      <c r="N38" s="10"/>
      <c r="O38" s="10"/>
      <c r="P38" s="10"/>
      <c r="Q38" s="10"/>
      <c r="R38" s="10"/>
      <c r="S38" s="10"/>
      <c r="T38" s="10"/>
      <c r="U38" s="58"/>
      <c r="V38" s="2"/>
    </row>
    <row r="39" spans="1:22">
      <c r="A39" s="2"/>
      <c r="B39" s="369" t="s">
        <v>235</v>
      </c>
      <c r="C39" s="127"/>
      <c r="D39" s="128"/>
      <c r="E39" s="128"/>
      <c r="F39" s="128"/>
      <c r="G39" s="128"/>
      <c r="H39" s="125"/>
      <c r="I39" s="125"/>
      <c r="J39" s="328"/>
      <c r="K39" s="102"/>
      <c r="L39" s="102"/>
      <c r="M39" s="102"/>
      <c r="N39" s="102"/>
      <c r="O39" s="102"/>
      <c r="P39" s="102"/>
      <c r="Q39" s="102"/>
      <c r="R39" s="102"/>
      <c r="S39" s="102"/>
      <c r="T39" s="10"/>
      <c r="U39" s="58"/>
      <c r="V39" s="2"/>
    </row>
    <row r="40" spans="1:22">
      <c r="A40" s="2"/>
      <c r="B40" s="66" t="s">
        <v>608</v>
      </c>
      <c r="C40" s="128"/>
      <c r="D40" s="128"/>
      <c r="E40" s="128"/>
      <c r="F40" s="128"/>
      <c r="G40" s="125"/>
      <c r="H40" s="125"/>
      <c r="I40" s="328"/>
      <c r="J40" s="102"/>
      <c r="K40" s="102"/>
      <c r="L40" s="102"/>
      <c r="M40" s="102"/>
      <c r="N40" s="10"/>
      <c r="O40" s="10"/>
      <c r="P40" s="10"/>
      <c r="Q40" s="10"/>
      <c r="R40" s="10"/>
      <c r="S40" s="10"/>
      <c r="T40" s="10"/>
      <c r="U40" s="58"/>
      <c r="V40" s="2"/>
    </row>
    <row r="41" spans="1:22">
      <c r="A41" s="2"/>
      <c r="B41" s="79"/>
      <c r="C41" s="10"/>
      <c r="D41" s="10"/>
      <c r="E41" s="10"/>
      <c r="F41" s="10"/>
      <c r="G41" s="10"/>
      <c r="H41" s="10"/>
      <c r="I41" s="10"/>
      <c r="J41" s="10"/>
      <c r="K41" s="10"/>
      <c r="L41" s="10"/>
      <c r="M41" s="10"/>
      <c r="N41" s="10"/>
      <c r="O41" s="10"/>
      <c r="P41" s="10"/>
      <c r="Q41" s="10"/>
      <c r="R41" s="10"/>
      <c r="S41" s="10"/>
      <c r="T41" s="10"/>
      <c r="U41" s="58"/>
      <c r="V41" s="2"/>
    </row>
    <row r="42" spans="1:22">
      <c r="A42" s="2"/>
      <c r="B42" s="79" t="s">
        <v>429</v>
      </c>
      <c r="C42" s="10"/>
      <c r="D42" s="10"/>
      <c r="E42" s="10"/>
      <c r="F42" s="10"/>
      <c r="G42" s="10"/>
      <c r="H42" s="10"/>
      <c r="I42" s="10"/>
      <c r="J42" s="10"/>
      <c r="K42" s="10"/>
      <c r="L42" s="10"/>
      <c r="M42" s="10"/>
      <c r="N42" s="10"/>
      <c r="O42" s="10"/>
      <c r="P42" s="10"/>
      <c r="Q42" s="10"/>
      <c r="R42" s="10"/>
      <c r="S42" s="10"/>
      <c r="T42" s="10"/>
      <c r="U42" s="58"/>
      <c r="V42" s="2"/>
    </row>
    <row r="43" spans="1:22">
      <c r="A43" s="2"/>
      <c r="B43" s="79" t="s">
        <v>589</v>
      </c>
      <c r="C43" s="10"/>
      <c r="D43" s="10"/>
      <c r="E43" s="10"/>
      <c r="F43" s="10"/>
      <c r="G43" s="10"/>
      <c r="H43" s="10"/>
      <c r="I43" s="10"/>
      <c r="J43" s="10"/>
      <c r="K43" s="10"/>
      <c r="L43" s="10"/>
      <c r="M43" s="10"/>
      <c r="N43" s="10"/>
      <c r="O43" s="10"/>
      <c r="P43" s="10"/>
      <c r="Q43" s="10"/>
      <c r="R43" s="10"/>
      <c r="S43" s="10"/>
      <c r="T43" s="10"/>
      <c r="U43" s="58"/>
      <c r="V43" s="2"/>
    </row>
    <row r="44" spans="1:22">
      <c r="A44" s="2"/>
      <c r="B44" s="79" t="s">
        <v>609</v>
      </c>
      <c r="C44" s="10"/>
      <c r="D44" s="10"/>
      <c r="E44" s="10"/>
      <c r="F44" s="10"/>
      <c r="G44" s="10"/>
      <c r="H44" s="10"/>
      <c r="I44" s="10"/>
      <c r="J44" s="10"/>
      <c r="K44" s="10"/>
      <c r="L44" s="10"/>
      <c r="M44" s="10"/>
      <c r="N44" s="10"/>
      <c r="O44" s="10"/>
      <c r="P44" s="10"/>
      <c r="Q44" s="10"/>
      <c r="R44" s="10"/>
      <c r="S44" s="10"/>
      <c r="T44" s="10"/>
      <c r="U44" s="58"/>
      <c r="V44" s="2"/>
    </row>
    <row r="45" spans="1:22">
      <c r="A45" s="2"/>
      <c r="B45" s="79" t="s">
        <v>432</v>
      </c>
      <c r="C45" s="80"/>
      <c r="D45" s="10"/>
      <c r="E45" s="10"/>
      <c r="F45" s="10"/>
      <c r="G45" s="10"/>
      <c r="H45" s="10"/>
      <c r="I45" s="10"/>
      <c r="J45" s="10"/>
      <c r="K45" s="10"/>
      <c r="L45" s="10"/>
      <c r="M45" s="10"/>
      <c r="N45" s="10"/>
      <c r="O45" s="10"/>
      <c r="P45" s="10"/>
      <c r="Q45" s="10"/>
      <c r="R45" s="10"/>
      <c r="S45" s="10"/>
      <c r="T45" s="10"/>
      <c r="U45" s="58"/>
      <c r="V45" s="2"/>
    </row>
    <row r="46" spans="1:22">
      <c r="A46" s="2"/>
      <c r="B46" s="79" t="s">
        <v>610</v>
      </c>
      <c r="C46" s="80"/>
      <c r="D46" s="10"/>
      <c r="E46" s="10"/>
      <c r="F46" s="10"/>
      <c r="G46" s="10"/>
      <c r="H46" s="10"/>
      <c r="I46" s="10"/>
      <c r="J46" s="10"/>
      <c r="K46" s="10"/>
      <c r="L46" s="10"/>
      <c r="M46" s="10"/>
      <c r="N46" s="10"/>
      <c r="O46" s="10"/>
      <c r="P46" s="10"/>
      <c r="Q46" s="10"/>
      <c r="R46" s="10"/>
      <c r="S46" s="10"/>
      <c r="T46" s="10"/>
      <c r="U46" s="58"/>
      <c r="V46" s="2"/>
    </row>
    <row r="47" spans="1:22">
      <c r="A47" s="2"/>
      <c r="B47" s="79" t="s">
        <v>611</v>
      </c>
      <c r="C47" s="80"/>
      <c r="D47" s="10"/>
      <c r="E47" s="10"/>
      <c r="F47" s="10"/>
      <c r="G47" s="10"/>
      <c r="H47" s="10"/>
      <c r="I47" s="10"/>
      <c r="J47" s="10"/>
      <c r="K47" s="10"/>
      <c r="L47" s="10"/>
      <c r="M47" s="10"/>
      <c r="N47" s="10"/>
      <c r="O47" s="10"/>
      <c r="P47" s="10"/>
      <c r="Q47" s="10"/>
      <c r="R47" s="10"/>
      <c r="S47" s="10"/>
      <c r="T47" s="10"/>
      <c r="U47" s="58"/>
      <c r="V47" s="2"/>
    </row>
    <row r="48" spans="1:22">
      <c r="A48" s="2"/>
      <c r="B48" s="79" t="s">
        <v>612</v>
      </c>
      <c r="C48" s="80"/>
      <c r="D48" s="10"/>
      <c r="E48" s="10"/>
      <c r="F48" s="10"/>
      <c r="G48" s="10"/>
      <c r="H48" s="10"/>
      <c r="I48" s="10"/>
      <c r="J48" s="10"/>
      <c r="K48" s="10"/>
      <c r="L48" s="10"/>
      <c r="M48" s="10"/>
      <c r="N48" s="10"/>
      <c r="O48" s="10"/>
      <c r="P48" s="10"/>
      <c r="Q48" s="10"/>
      <c r="R48" s="10"/>
      <c r="S48" s="10"/>
      <c r="T48" s="10"/>
      <c r="U48" s="58"/>
      <c r="V48" s="2"/>
    </row>
    <row r="49" spans="1:22">
      <c r="A49" s="2"/>
      <c r="B49" s="79" t="s">
        <v>434</v>
      </c>
      <c r="C49" s="80"/>
      <c r="D49" s="10"/>
      <c r="E49" s="10"/>
      <c r="F49" s="10"/>
      <c r="G49" s="10"/>
      <c r="H49" s="10"/>
      <c r="I49" s="10"/>
      <c r="J49" s="10"/>
      <c r="K49" s="10"/>
      <c r="L49" s="10"/>
      <c r="M49" s="10"/>
      <c r="N49" s="10"/>
      <c r="O49" s="10"/>
      <c r="P49" s="10"/>
      <c r="Q49" s="10"/>
      <c r="R49" s="10"/>
      <c r="S49" s="10"/>
      <c r="T49" s="10"/>
      <c r="U49" s="58"/>
      <c r="V49" s="2"/>
    </row>
    <row r="50" spans="1:22">
      <c r="A50" s="2"/>
      <c r="B50" s="79" t="s">
        <v>251</v>
      </c>
      <c r="C50" s="80"/>
      <c r="D50" s="10"/>
      <c r="E50" s="10"/>
      <c r="F50" s="10"/>
      <c r="G50" s="10"/>
      <c r="H50" s="10"/>
      <c r="I50" s="10"/>
      <c r="J50" s="10"/>
      <c r="K50" s="10"/>
      <c r="L50" s="10"/>
      <c r="M50" s="10"/>
      <c r="N50" s="10"/>
      <c r="O50" s="10"/>
      <c r="P50" s="10"/>
      <c r="Q50" s="10"/>
      <c r="R50" s="10"/>
      <c r="S50" s="10"/>
      <c r="T50" s="10"/>
      <c r="U50" s="58"/>
      <c r="V50" s="2"/>
    </row>
    <row r="51" spans="1:22">
      <c r="A51" s="2"/>
      <c r="B51" s="330" t="s">
        <v>252</v>
      </c>
      <c r="C51" s="148"/>
      <c r="D51" s="149"/>
      <c r="E51" s="10"/>
      <c r="F51" s="10"/>
      <c r="G51" s="10"/>
      <c r="H51" s="10"/>
      <c r="I51" s="10"/>
      <c r="J51" s="10"/>
      <c r="K51" s="10"/>
      <c r="L51" s="10"/>
      <c r="M51" s="10"/>
      <c r="N51" s="10"/>
      <c r="O51" s="10"/>
      <c r="P51" s="10"/>
      <c r="Q51" s="10"/>
      <c r="R51" s="10"/>
      <c r="S51" s="10"/>
      <c r="T51" s="10"/>
      <c r="U51" s="58"/>
      <c r="V51" s="2"/>
    </row>
    <row r="52" spans="1:22">
      <c r="A52" s="2"/>
      <c r="B52" s="147"/>
      <c r="C52" s="148"/>
      <c r="D52" s="149"/>
      <c r="E52" s="10"/>
      <c r="F52" s="10"/>
      <c r="G52" s="10"/>
      <c r="H52" s="10"/>
      <c r="I52" s="10"/>
      <c r="J52" s="10"/>
      <c r="K52" s="10"/>
      <c r="L52" s="10"/>
      <c r="M52" s="10"/>
      <c r="N52" s="10"/>
      <c r="O52" s="10"/>
      <c r="P52" s="10"/>
      <c r="Q52" s="10"/>
      <c r="R52" s="10"/>
      <c r="S52" s="10"/>
      <c r="T52" s="10"/>
      <c r="U52" s="58"/>
      <c r="V52" s="2"/>
    </row>
    <row r="53" spans="1:22">
      <c r="A53" s="2"/>
      <c r="B53" s="6"/>
      <c r="C53" s="10"/>
      <c r="D53" s="10"/>
      <c r="E53" s="10"/>
      <c r="F53" s="10"/>
      <c r="G53" s="10"/>
      <c r="H53" s="10"/>
      <c r="I53" s="10"/>
      <c r="J53" s="10"/>
      <c r="K53" s="10"/>
      <c r="L53" s="10"/>
      <c r="M53" s="10"/>
      <c r="N53" s="10"/>
      <c r="O53" s="10"/>
      <c r="P53" s="10"/>
      <c r="Q53" s="10"/>
      <c r="R53" s="10"/>
      <c r="S53" s="10"/>
      <c r="T53" s="10"/>
      <c r="U53" s="58"/>
      <c r="V53" s="2"/>
    </row>
    <row r="54" spans="1:22">
      <c r="A54" s="331"/>
      <c r="B54" s="484" t="s">
        <v>593</v>
      </c>
      <c r="C54" s="484"/>
      <c r="D54" s="484"/>
      <c r="E54" s="484"/>
      <c r="F54" s="484"/>
      <c r="G54" s="484"/>
      <c r="H54" s="332"/>
      <c r="I54" s="333"/>
      <c r="J54" s="334"/>
      <c r="K54" s="334"/>
      <c r="L54" s="334"/>
      <c r="M54" s="334"/>
      <c r="N54" s="334"/>
      <c r="O54" s="334"/>
      <c r="P54" s="334"/>
      <c r="Q54" s="334"/>
      <c r="R54" s="334"/>
      <c r="S54" s="334"/>
      <c r="T54" s="334"/>
      <c r="U54" s="334"/>
      <c r="V54" s="331"/>
    </row>
    <row r="55" spans="1:22">
      <c r="A55" s="331"/>
      <c r="B55" s="6" t="s">
        <v>516</v>
      </c>
      <c r="C55" s="80"/>
      <c r="D55" s="335"/>
      <c r="E55" s="335"/>
      <c r="F55" s="334"/>
      <c r="G55" s="334"/>
      <c r="H55" s="334"/>
      <c r="I55" s="334"/>
      <c r="J55" s="334"/>
      <c r="K55" s="334"/>
      <c r="L55" s="334"/>
      <c r="M55" s="334"/>
      <c r="N55" s="334"/>
      <c r="O55" s="334"/>
      <c r="P55" s="334"/>
      <c r="Q55" s="334"/>
      <c r="R55" s="334"/>
      <c r="S55" s="334"/>
      <c r="T55" s="334"/>
      <c r="U55" s="334"/>
      <c r="V55" s="331"/>
    </row>
    <row r="56" spans="1:22">
      <c r="A56" s="331"/>
      <c r="B56" s="79"/>
      <c r="C56" s="80"/>
      <c r="D56" s="335"/>
      <c r="E56" s="335"/>
      <c r="F56" s="334"/>
      <c r="G56" s="334"/>
      <c r="H56" s="334"/>
      <c r="I56" s="334"/>
      <c r="J56" s="334"/>
      <c r="K56" s="334"/>
      <c r="L56" s="334"/>
      <c r="M56" s="334"/>
      <c r="N56" s="334"/>
      <c r="O56" s="334"/>
      <c r="P56" s="334"/>
      <c r="Q56" s="334"/>
      <c r="R56" s="334"/>
      <c r="S56" s="334"/>
      <c r="T56" s="334"/>
      <c r="U56" s="58"/>
      <c r="V56" s="2"/>
    </row>
    <row r="57" spans="1:22">
      <c r="A57" s="20"/>
      <c r="B57" s="18"/>
      <c r="C57" s="10"/>
      <c r="D57" s="10"/>
      <c r="E57" s="10"/>
      <c r="F57" s="10"/>
      <c r="G57" s="10"/>
      <c r="H57" s="10"/>
      <c r="I57" s="10"/>
      <c r="J57" s="20"/>
      <c r="K57" s="10"/>
      <c r="L57" s="20"/>
      <c r="M57" s="10"/>
      <c r="N57" s="10"/>
      <c r="O57" s="20"/>
      <c r="P57" s="20"/>
      <c r="Q57" s="20"/>
      <c r="R57" s="20"/>
      <c r="S57" s="20"/>
      <c r="T57" s="20"/>
      <c r="U57" s="20"/>
      <c r="V57" s="20"/>
    </row>
    <row r="58" spans="1:22">
      <c r="A58" s="2"/>
      <c r="B58" s="10"/>
      <c r="C58" s="10"/>
      <c r="D58" s="10"/>
      <c r="E58" s="10"/>
      <c r="F58" s="10"/>
      <c r="G58" s="10"/>
      <c r="H58" s="10"/>
      <c r="I58" s="10"/>
      <c r="J58" s="10"/>
      <c r="K58" s="10"/>
      <c r="L58" s="10"/>
      <c r="M58" s="10"/>
      <c r="N58" s="10"/>
      <c r="O58" s="10"/>
      <c r="P58" s="10"/>
      <c r="Q58" s="10"/>
      <c r="R58" s="10"/>
      <c r="S58" s="10"/>
      <c r="T58" s="10"/>
      <c r="U58" s="10"/>
      <c r="V58" s="3"/>
    </row>
    <row r="59" spans="1:22" ht="33" customHeight="1">
      <c r="A59" s="20"/>
      <c r="B59" s="485" t="s">
        <v>292</v>
      </c>
      <c r="C59" s="486"/>
      <c r="D59" s="486"/>
      <c r="E59" s="486"/>
      <c r="F59" s="486"/>
      <c r="G59" s="486"/>
      <c r="H59" s="487"/>
      <c r="I59" s="336"/>
      <c r="J59" s="336"/>
      <c r="K59" s="336"/>
      <c r="L59" s="336"/>
      <c r="M59" s="337"/>
      <c r="N59" s="337"/>
      <c r="O59" s="337"/>
      <c r="Q59" s="20"/>
      <c r="R59" s="20"/>
      <c r="S59" s="20"/>
      <c r="T59" s="20"/>
      <c r="U59" s="20"/>
      <c r="V59" s="20"/>
    </row>
    <row r="60" spans="1:22">
      <c r="A60" s="20"/>
      <c r="B60" s="338"/>
      <c r="C60" s="338"/>
      <c r="D60" s="338"/>
      <c r="E60" s="338"/>
      <c r="F60" s="338"/>
      <c r="G60" s="338"/>
      <c r="H60" s="338"/>
      <c r="I60" s="336"/>
      <c r="J60" s="336"/>
      <c r="K60" s="336"/>
      <c r="L60" s="336"/>
      <c r="M60" s="337"/>
      <c r="N60" s="337"/>
      <c r="O60" s="337"/>
      <c r="Q60" s="20"/>
      <c r="R60" s="20"/>
      <c r="S60" s="20"/>
      <c r="T60" s="20"/>
      <c r="U60" s="20"/>
      <c r="V60" s="20"/>
    </row>
    <row r="61" spans="1:22">
      <c r="A61" s="20"/>
      <c r="B61" s="339"/>
      <c r="C61" s="73"/>
      <c r="D61" s="70"/>
      <c r="E61" s="70"/>
      <c r="F61" s="70"/>
      <c r="G61" s="66"/>
      <c r="H61" s="66"/>
      <c r="I61" s="70"/>
      <c r="J61" s="48"/>
      <c r="K61" s="340"/>
      <c r="L61" s="340"/>
      <c r="M61" s="341"/>
      <c r="N61" s="341"/>
      <c r="O61" s="341"/>
      <c r="P61" s="342"/>
      <c r="Q61" s="343"/>
      <c r="R61" s="343"/>
      <c r="S61" s="343"/>
      <c r="T61" s="20"/>
      <c r="U61" s="20"/>
      <c r="V61" s="20"/>
    </row>
    <row r="62" spans="1:22">
      <c r="A62" s="20"/>
      <c r="B62" s="344" t="s">
        <v>272</v>
      </c>
      <c r="C62" s="345"/>
      <c r="D62" s="345"/>
      <c r="E62" s="73"/>
      <c r="F62" s="73"/>
      <c r="G62" s="73"/>
      <c r="H62" s="19"/>
      <c r="I62" s="346"/>
      <c r="J62" s="74"/>
      <c r="K62" s="340"/>
      <c r="L62" s="340"/>
      <c r="M62" s="341"/>
      <c r="N62" s="341"/>
      <c r="O62" s="341"/>
      <c r="P62" s="342"/>
      <c r="Q62" s="343"/>
      <c r="R62" s="343"/>
      <c r="S62" s="343"/>
      <c r="T62" s="20"/>
      <c r="U62" s="20"/>
      <c r="V62" s="20"/>
    </row>
    <row r="63" spans="1:22">
      <c r="A63" s="20"/>
      <c r="B63" s="347" t="s">
        <v>273</v>
      </c>
      <c r="C63" s="348"/>
      <c r="D63" s="348"/>
      <c r="E63" s="348"/>
      <c r="F63" s="348"/>
      <c r="G63" s="348"/>
      <c r="H63" s="348"/>
      <c r="I63" s="349"/>
      <c r="J63" s="74"/>
      <c r="K63" s="340"/>
      <c r="L63" s="340"/>
      <c r="M63" s="341"/>
      <c r="N63" s="341"/>
      <c r="O63" s="341"/>
      <c r="P63" s="342"/>
      <c r="Q63" s="343"/>
      <c r="R63" s="343"/>
      <c r="S63" s="343"/>
      <c r="T63" s="20"/>
      <c r="U63" s="20"/>
      <c r="V63" s="20"/>
    </row>
    <row r="64" spans="1:22">
      <c r="A64" s="20"/>
      <c r="B64" s="347" t="s">
        <v>594</v>
      </c>
      <c r="C64" s="69"/>
      <c r="D64" s="69"/>
      <c r="E64" s="73"/>
      <c r="F64" s="73"/>
      <c r="G64" s="69"/>
      <c r="H64" s="350"/>
      <c r="I64" s="346"/>
      <c r="J64" s="48"/>
      <c r="K64" s="340"/>
      <c r="L64" s="340"/>
      <c r="M64" s="341"/>
      <c r="N64" s="341"/>
      <c r="O64" s="341"/>
      <c r="P64" s="342"/>
      <c r="Q64" s="343"/>
      <c r="R64" s="343"/>
      <c r="S64" s="343"/>
      <c r="T64" s="20"/>
      <c r="U64" s="20"/>
      <c r="V64" s="20"/>
    </row>
    <row r="65" spans="1:22">
      <c r="A65" s="20"/>
      <c r="B65" s="351" t="s">
        <v>436</v>
      </c>
      <c r="C65" s="69"/>
      <c r="D65" s="73"/>
      <c r="E65" s="73"/>
      <c r="F65" s="73"/>
      <c r="G65" s="69"/>
      <c r="H65" s="350"/>
      <c r="I65" s="346"/>
      <c r="J65" s="48"/>
      <c r="K65" s="340"/>
      <c r="L65" s="340"/>
      <c r="M65" s="341"/>
      <c r="N65" s="341"/>
      <c r="O65" s="341"/>
      <c r="P65" s="342"/>
      <c r="Q65" s="343"/>
      <c r="R65" s="343"/>
      <c r="S65" s="343"/>
      <c r="T65" s="20"/>
      <c r="U65" s="20"/>
      <c r="V65" s="20"/>
    </row>
    <row r="66" spans="1:22">
      <c r="A66" s="20"/>
      <c r="B66" s="347" t="s">
        <v>276</v>
      </c>
      <c r="C66" s="69"/>
      <c r="D66" s="73"/>
      <c r="E66" s="73"/>
      <c r="F66" s="73"/>
      <c r="G66" s="69"/>
      <c r="H66" s="350"/>
      <c r="I66" s="346"/>
      <c r="J66" s="48"/>
      <c r="K66" s="340"/>
      <c r="L66" s="340"/>
      <c r="M66" s="341"/>
      <c r="N66" s="341"/>
      <c r="O66" s="341"/>
      <c r="P66" s="342"/>
      <c r="Q66" s="343"/>
      <c r="R66" s="343"/>
      <c r="S66" s="343"/>
      <c r="T66" s="20"/>
      <c r="U66" s="20"/>
      <c r="V66" s="20"/>
    </row>
    <row r="67" spans="1:22">
      <c r="A67" s="20"/>
      <c r="B67" s="347" t="s">
        <v>277</v>
      </c>
      <c r="C67" s="69"/>
      <c r="D67" s="350"/>
      <c r="E67" s="350"/>
      <c r="F67" s="350"/>
      <c r="G67" s="350"/>
      <c r="H67" s="350"/>
      <c r="I67" s="346"/>
      <c r="J67" s="48"/>
      <c r="K67" s="340"/>
      <c r="L67" s="340"/>
      <c r="M67" s="341"/>
      <c r="N67" s="341"/>
      <c r="O67" s="341"/>
      <c r="P67" s="342"/>
      <c r="Q67" s="343"/>
      <c r="R67" s="343"/>
      <c r="S67" s="343"/>
      <c r="T67" s="20"/>
      <c r="U67" s="20"/>
      <c r="V67" s="20"/>
    </row>
    <row r="68" spans="1:22">
      <c r="A68" s="20"/>
      <c r="B68" s="352" t="s">
        <v>278</v>
      </c>
      <c r="C68" s="353"/>
      <c r="D68" s="353"/>
      <c r="E68" s="353"/>
      <c r="F68" s="353"/>
      <c r="G68" s="353"/>
      <c r="H68" s="66"/>
      <c r="I68" s="66"/>
      <c r="J68" s="48"/>
      <c r="K68" s="340"/>
      <c r="L68" s="340"/>
      <c r="M68" s="341"/>
      <c r="N68" s="341"/>
      <c r="O68" s="341"/>
      <c r="P68" s="342"/>
      <c r="Q68" s="343"/>
      <c r="R68" s="343"/>
      <c r="S68" s="343"/>
      <c r="T68" s="20"/>
      <c r="U68" s="20"/>
      <c r="V68" s="20"/>
    </row>
    <row r="69" spans="1:22">
      <c r="A69" s="20"/>
      <c r="B69" s="354" t="s">
        <v>228</v>
      </c>
      <c r="C69" s="69"/>
      <c r="D69" s="355"/>
      <c r="E69" s="355"/>
      <c r="F69" s="355"/>
      <c r="G69" s="355"/>
      <c r="H69" s="66"/>
      <c r="I69" s="66"/>
      <c r="J69" s="48"/>
      <c r="K69" s="340"/>
      <c r="L69" s="340"/>
      <c r="M69" s="341"/>
      <c r="N69" s="341"/>
      <c r="O69" s="341"/>
      <c r="P69" s="342"/>
      <c r="Q69" s="343"/>
      <c r="R69" s="343"/>
      <c r="S69" s="343"/>
      <c r="T69" s="20"/>
      <c r="U69" s="20"/>
      <c r="V69" s="20"/>
    </row>
    <row r="70" spans="1:22">
      <c r="A70" s="20"/>
      <c r="B70" s="356" t="s">
        <v>279</v>
      </c>
      <c r="C70" s="69"/>
      <c r="D70" s="69"/>
      <c r="E70" s="69"/>
      <c r="F70" s="69"/>
      <c r="G70" s="69"/>
      <c r="H70" s="66"/>
      <c r="I70" s="66"/>
      <c r="J70" s="48"/>
      <c r="K70" s="340"/>
      <c r="L70" s="340"/>
      <c r="M70" s="341"/>
      <c r="N70" s="341"/>
      <c r="O70" s="341"/>
      <c r="P70" s="342"/>
      <c r="Q70" s="343"/>
      <c r="R70" s="343"/>
      <c r="S70" s="343"/>
      <c r="T70" s="20"/>
      <c r="U70" s="20"/>
      <c r="V70" s="20"/>
    </row>
    <row r="71" spans="1:22">
      <c r="A71" s="20"/>
      <c r="B71" s="347" t="s">
        <v>280</v>
      </c>
      <c r="C71" s="69"/>
      <c r="D71" s="350"/>
      <c r="E71" s="350"/>
      <c r="F71" s="350"/>
      <c r="G71" s="350"/>
      <c r="H71" s="350"/>
      <c r="I71" s="346"/>
      <c r="J71" s="48"/>
      <c r="K71" s="340"/>
      <c r="L71" s="340"/>
      <c r="M71" s="341"/>
      <c r="N71" s="341"/>
      <c r="O71" s="341"/>
      <c r="P71" s="342"/>
      <c r="Q71" s="343"/>
      <c r="R71" s="343"/>
      <c r="S71" s="343"/>
      <c r="T71" s="20"/>
      <c r="U71" s="20"/>
      <c r="V71" s="20"/>
    </row>
    <row r="72" spans="1:22">
      <c r="A72" s="20"/>
      <c r="B72" s="347" t="s">
        <v>281</v>
      </c>
      <c r="C72" s="69"/>
      <c r="D72" s="350"/>
      <c r="E72" s="350"/>
      <c r="F72" s="350"/>
      <c r="G72" s="350"/>
      <c r="H72" s="350"/>
      <c r="I72" s="346"/>
      <c r="J72" s="48"/>
      <c r="K72" s="340"/>
      <c r="L72" s="340"/>
      <c r="M72" s="341"/>
      <c r="N72" s="341"/>
      <c r="O72" s="341"/>
      <c r="P72" s="342"/>
      <c r="Q72" s="343"/>
      <c r="R72" s="343"/>
      <c r="S72" s="343"/>
      <c r="T72" s="20"/>
      <c r="U72" s="20"/>
      <c r="V72" s="20"/>
    </row>
    <row r="73" spans="1:22">
      <c r="A73" s="20"/>
      <c r="B73" s="354" t="s">
        <v>437</v>
      </c>
      <c r="C73" s="19"/>
      <c r="D73" s="19"/>
      <c r="E73" s="350"/>
      <c r="F73" s="350"/>
      <c r="G73" s="350"/>
      <c r="H73" s="350"/>
      <c r="I73" s="346"/>
      <c r="J73" s="48"/>
      <c r="K73" s="340"/>
      <c r="L73" s="340"/>
      <c r="M73" s="341"/>
      <c r="N73" s="341"/>
      <c r="O73" s="341"/>
      <c r="P73" s="342"/>
      <c r="Q73" s="343"/>
      <c r="R73" s="343"/>
      <c r="S73" s="343"/>
      <c r="T73" s="20"/>
      <c r="U73" s="20"/>
      <c r="V73" s="20"/>
    </row>
    <row r="74" spans="1:22">
      <c r="A74" s="20"/>
      <c r="B74" s="354" t="s">
        <v>438</v>
      </c>
      <c r="C74" s="19"/>
      <c r="D74" s="19"/>
      <c r="E74" s="350"/>
      <c r="F74" s="350"/>
      <c r="G74" s="350"/>
      <c r="H74" s="350"/>
      <c r="I74" s="346"/>
      <c r="J74" s="48"/>
      <c r="K74" s="340"/>
      <c r="L74" s="340"/>
      <c r="M74" s="341"/>
      <c r="N74" s="341"/>
      <c r="O74" s="341"/>
      <c r="P74" s="342"/>
      <c r="Q74" s="343"/>
      <c r="R74" s="343"/>
      <c r="S74" s="343"/>
      <c r="T74" s="20"/>
      <c r="U74" s="20"/>
      <c r="V74" s="20"/>
    </row>
    <row r="75" spans="1:22">
      <c r="A75" s="20"/>
      <c r="B75" s="354" t="s">
        <v>284</v>
      </c>
      <c r="C75" s="19"/>
      <c r="D75" s="19"/>
      <c r="E75" s="350"/>
      <c r="F75" s="350"/>
      <c r="G75" s="350"/>
      <c r="H75" s="350"/>
      <c r="I75" s="346"/>
      <c r="J75" s="48"/>
      <c r="K75" s="340"/>
      <c r="L75" s="340"/>
      <c r="M75" s="341"/>
      <c r="N75" s="341"/>
      <c r="O75" s="341"/>
      <c r="P75" s="342"/>
      <c r="Q75" s="343"/>
      <c r="R75" s="343"/>
      <c r="S75" s="343"/>
      <c r="T75" s="20"/>
      <c r="U75" s="20"/>
      <c r="V75" s="20"/>
    </row>
    <row r="76" spans="1:22">
      <c r="A76" s="20"/>
      <c r="B76" s="354" t="s">
        <v>285</v>
      </c>
      <c r="C76" s="19"/>
      <c r="D76" s="19"/>
      <c r="E76" s="350"/>
      <c r="F76" s="350"/>
      <c r="G76" s="350"/>
      <c r="H76" s="350"/>
      <c r="I76" s="346"/>
      <c r="J76" s="48"/>
      <c r="K76" s="340"/>
      <c r="L76" s="340"/>
      <c r="M76" s="341"/>
      <c r="N76" s="341"/>
      <c r="O76" s="341"/>
      <c r="P76" s="342"/>
      <c r="Q76" s="343"/>
      <c r="R76" s="343"/>
      <c r="S76" s="343"/>
      <c r="T76" s="20"/>
      <c r="U76" s="20"/>
      <c r="V76" s="20"/>
    </row>
    <row r="77" spans="1:22">
      <c r="A77" s="20"/>
      <c r="B77" s="12" t="s">
        <v>286</v>
      </c>
      <c r="C77" s="69"/>
      <c r="D77" s="350"/>
      <c r="E77" s="350"/>
      <c r="F77" s="350"/>
      <c r="G77" s="350"/>
      <c r="H77" s="350"/>
      <c r="I77" s="346"/>
      <c r="J77" s="48"/>
      <c r="K77" s="340"/>
      <c r="L77" s="340"/>
      <c r="M77" s="341"/>
      <c r="N77" s="341"/>
      <c r="O77" s="341"/>
      <c r="P77" s="342"/>
      <c r="Q77" s="343"/>
      <c r="R77" s="343"/>
      <c r="S77" s="343"/>
      <c r="T77" s="20"/>
      <c r="U77" s="20"/>
      <c r="V77" s="20"/>
    </row>
    <row r="78" spans="1:22">
      <c r="A78" s="20"/>
      <c r="B78" s="347" t="s">
        <v>287</v>
      </c>
      <c r="C78" s="69"/>
      <c r="D78" s="350"/>
      <c r="E78" s="350"/>
      <c r="F78" s="350"/>
      <c r="G78" s="350"/>
      <c r="H78" s="350"/>
      <c r="I78" s="346"/>
      <c r="J78" s="48"/>
      <c r="K78" s="340"/>
      <c r="L78" s="340"/>
      <c r="M78" s="341"/>
      <c r="N78" s="341"/>
      <c r="O78" s="341"/>
      <c r="P78" s="342"/>
      <c r="Q78" s="343"/>
      <c r="R78" s="343"/>
      <c r="S78" s="343"/>
      <c r="T78" s="20"/>
      <c r="U78" s="20"/>
      <c r="V78" s="20"/>
    </row>
    <row r="79" spans="1:22">
      <c r="A79" s="20"/>
      <c r="B79" s="357" t="s">
        <v>288</v>
      </c>
      <c r="C79" s="69"/>
      <c r="D79" s="350"/>
      <c r="E79" s="350"/>
      <c r="F79" s="350"/>
      <c r="G79" s="350"/>
      <c r="H79" s="350"/>
      <c r="I79" s="349"/>
      <c r="J79" s="358"/>
      <c r="K79" s="340"/>
      <c r="L79" s="340"/>
      <c r="M79" s="341"/>
      <c r="N79" s="341"/>
      <c r="O79" s="341"/>
      <c r="P79" s="342"/>
      <c r="Q79" s="343"/>
      <c r="R79" s="343"/>
      <c r="S79" s="343"/>
      <c r="T79" s="20"/>
      <c r="U79" s="20"/>
      <c r="V79" s="20"/>
    </row>
    <row r="80" spans="1:22">
      <c r="A80" s="20"/>
      <c r="B80" s="359" t="s">
        <v>289</v>
      </c>
      <c r="C80" s="69"/>
      <c r="D80" s="350"/>
      <c r="E80" s="350"/>
      <c r="F80" s="350"/>
      <c r="G80" s="350"/>
      <c r="H80" s="350"/>
      <c r="I80" s="349"/>
      <c r="J80" s="358"/>
      <c r="K80" s="340"/>
      <c r="L80" s="340"/>
      <c r="M80" s="341"/>
      <c r="N80" s="341"/>
      <c r="O80" s="341"/>
      <c r="P80" s="342"/>
      <c r="Q80" s="343"/>
      <c r="R80" s="343"/>
      <c r="S80" s="343"/>
      <c r="T80" s="20"/>
      <c r="U80" s="20"/>
      <c r="V80" s="20"/>
    </row>
    <row r="81" spans="1:22">
      <c r="A81" s="20"/>
      <c r="B81" s="360" t="s">
        <v>290</v>
      </c>
      <c r="C81" s="361"/>
      <c r="D81" s="361"/>
      <c r="E81" s="362"/>
      <c r="F81" s="350"/>
      <c r="G81" s="350"/>
      <c r="H81" s="350"/>
      <c r="I81" s="349"/>
      <c r="J81" s="358"/>
      <c r="K81" s="340"/>
      <c r="L81" s="340"/>
      <c r="M81" s="341"/>
      <c r="N81" s="341"/>
      <c r="O81" s="341"/>
      <c r="P81" s="342"/>
      <c r="Q81" s="343"/>
      <c r="R81" s="343"/>
      <c r="S81" s="343"/>
      <c r="T81" s="20"/>
      <c r="U81" s="20"/>
      <c r="V81" s="20"/>
    </row>
    <row r="82" spans="1:22">
      <c r="A82" s="20"/>
      <c r="B82" s="363" t="s">
        <v>291</v>
      </c>
      <c r="C82" s="348"/>
      <c r="D82" s="348"/>
      <c r="E82" s="348"/>
      <c r="F82" s="348"/>
      <c r="G82" s="348"/>
      <c r="H82" s="348"/>
      <c r="I82" s="348"/>
      <c r="J82" s="364"/>
      <c r="K82" s="340"/>
      <c r="L82" s="340"/>
      <c r="M82" s="341"/>
      <c r="N82" s="341"/>
      <c r="O82" s="341"/>
      <c r="P82" s="342"/>
      <c r="Q82" s="343"/>
      <c r="R82" s="343"/>
      <c r="S82" s="343"/>
      <c r="T82" s="20"/>
      <c r="U82" s="20"/>
      <c r="V82" s="20"/>
    </row>
    <row r="83" spans="1:22">
      <c r="A83" s="20"/>
      <c r="B83" s="338"/>
      <c r="C83" s="338"/>
      <c r="D83" s="338"/>
      <c r="E83" s="338"/>
      <c r="F83" s="338"/>
      <c r="G83" s="338"/>
      <c r="H83" s="338"/>
      <c r="I83" s="336"/>
      <c r="J83" s="336"/>
      <c r="K83" s="336"/>
      <c r="L83" s="336"/>
      <c r="M83" s="337"/>
      <c r="N83" s="337"/>
      <c r="O83" s="337"/>
      <c r="Q83" s="20"/>
      <c r="R83" s="20"/>
      <c r="S83" s="20"/>
      <c r="T83" s="20"/>
      <c r="U83" s="20"/>
      <c r="V83" s="20"/>
    </row>
    <row r="84" spans="1:22">
      <c r="A84" s="2"/>
      <c r="B84" s="47" t="s">
        <v>293</v>
      </c>
      <c r="C84" s="10"/>
      <c r="D84" s="10"/>
      <c r="E84" s="10"/>
      <c r="F84" s="10"/>
      <c r="G84" s="10"/>
      <c r="H84" s="10"/>
      <c r="I84" s="10"/>
      <c r="J84" s="10"/>
      <c r="K84" s="10"/>
      <c r="L84" s="10"/>
      <c r="M84" s="10"/>
      <c r="N84" s="10"/>
      <c r="O84" s="10"/>
      <c r="P84" s="10"/>
      <c r="Q84" s="10"/>
      <c r="R84" s="10"/>
      <c r="S84" s="10"/>
      <c r="T84" s="10"/>
      <c r="U84" s="10"/>
      <c r="V84" s="3"/>
    </row>
  </sheetData>
  <mergeCells count="14">
    <mergeCell ref="B54:G54"/>
    <mergeCell ref="B59:H59"/>
    <mergeCell ref="K17:N17"/>
    <mergeCell ref="P17:S17"/>
    <mergeCell ref="U17:U18"/>
    <mergeCell ref="C4:I4"/>
    <mergeCell ref="V17:V18"/>
    <mergeCell ref="B32:C32"/>
    <mergeCell ref="D32:G32"/>
    <mergeCell ref="C5:I5"/>
    <mergeCell ref="B17:B18"/>
    <mergeCell ref="C17:C18"/>
    <mergeCell ref="D17:D18"/>
    <mergeCell ref="F17:I17"/>
  </mergeCells>
  <hyperlinks>
    <hyperlink ref="D32" r:id="rId1" display="https://elines.coscoshipping.com/ebusiness/sailingSchedule/searchByCity" xr:uid="{C6A7E7BE-26FC-486E-A5EC-7DD9665F3172}"/>
    <hyperlink ref="B54:F54" r:id="rId2" display="8. Please click here to check our standard free time tariff at destinations." xr:uid="{C522DF32-CFD8-479D-8067-F9C35AF5A95C}"/>
    <hyperlink ref="B84" location="OCEANIA!A1" display="BACK TO TOP" xr:uid="{50C02AD5-C867-4348-B675-A5B0070A8993}"/>
    <hyperlink ref="L10" r:id="rId3" display="https://world.lines.coscoshipping.com/spain/es/services/Tarifas/1/1" xr:uid="{09A30FF5-84DB-4544-AA63-C813D968AC88}"/>
    <hyperlink ref="L12" r:id="rId4" display="https://elines.coscoshipping.com/local/sn/schedule/outbound" xr:uid="{004A4B07-9517-4A7F-8D21-CC88BF555E1A}"/>
    <hyperlink ref="B51" r:id="rId5" xr:uid="{C95D61BC-8223-449C-B829-5A9043CD3D67}"/>
    <hyperlink ref="B73:J73" r:id="rId6" display="LINK - Local charges/conditions listed on our homepage coscoshipping.de" xr:uid="{743141DD-94D6-406D-BBD3-D7020B1A6D56}"/>
    <hyperlink ref="B82" r:id="rId7" xr:uid="{9BDC74AA-3302-4736-BAC1-E3FD1DCB5F7C}"/>
    <hyperlink ref="B80" r:id="rId8" xr:uid="{189BF3F5-F46E-480A-9F47-C2BB5A32AF8A}"/>
    <hyperlink ref="B73:D73" r:id="rId9" display="LINK - Local charges/conditions listed on our homepage coscoshipping.de" xr:uid="{36888F70-C78D-4E23-B845-93E6663A4927}"/>
    <hyperlink ref="B73" r:id="rId10" display="https://world.lines.coscoshipping.com/statics/sites/main/local/spain/es/services/Tarifas/PublishingImages/Pages/default/COSCO Transport Conditions 2023 - Espa%C3%B1ol v3.0.pdf" xr:uid="{1260BEC0-E17F-49A8-8D82-D0458F96861F}"/>
    <hyperlink ref="B74" r:id="rId11" display="https://world.lines.coscoshipping.com/statics/sites/main/local/spain/en/services/tariffs/PublishingImages/Pages/default/COSCO Transport Conditions 2023.pdf" xr:uid="{FCB6757C-8F93-41E0-81CD-60BABB7D31BC}"/>
    <hyperlink ref="B75" r:id="rId12" display="https://world.lines.coscoshipping.com/spain/en/services/barcelonaschedules/1/1" xr:uid="{04E00701-C44C-46C6-BC00-8FBCC3080F39}"/>
    <hyperlink ref="B76" r:id="rId13" display="https://world.lines.coscoshipping.com/spain/en/services/tariffs/1/1" xr:uid="{D160E4BC-5D4C-4D26-B8FE-AA623F6AF927}"/>
    <hyperlink ref="B68" r:id="rId14" display="   Demurrage/detention does not include storage at terminal, please click here to check our standard free time at destinations LINK" xr:uid="{71CA1F62-82C6-458E-A29E-F4A6F81F6808}"/>
    <hyperlink ref="B70:D70" r:id="rId15" display="Local charges/conditions listed on our homepage coscoshipping.es LINK" xr:uid="{29B3E120-8977-4946-AE7B-FBE566D25506}"/>
    <hyperlink ref="B69" r:id="rId16" display="http://elines.coscoshipping.com/ebusiness/demurrageDetentionTariff" xr:uid="{E9042DC8-A8BB-4932-ACD2-9DD9891DB6AD}"/>
  </hyperlinks>
  <pageMargins left="0.7" right="0.7" top="0.75" bottom="0.75" header="0.3" footer="0.3"/>
  <drawing r:id="rId1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5B7B5-93FF-4E55-A96B-C8611ABB44E7}">
  <sheetPr>
    <tabColor rgb="FFFFFF00"/>
  </sheetPr>
  <dimension ref="A3:CA128"/>
  <sheetViews>
    <sheetView workbookViewId="0"/>
  </sheetViews>
  <sheetFormatPr baseColWidth="10" defaultColWidth="9.140625" defaultRowHeight="11.25"/>
  <cols>
    <col min="1" max="1" width="6.140625" style="2" customWidth="1"/>
    <col min="2" max="2" width="31.5703125" style="10" customWidth="1"/>
    <col min="3" max="3" width="6.7109375" style="10" customWidth="1"/>
    <col min="4" max="4" width="18.5703125" style="10" bestFit="1" customWidth="1"/>
    <col min="5" max="5" width="14.5703125" style="10" customWidth="1"/>
    <col min="6" max="6" width="0.42578125" style="10" customWidth="1"/>
    <col min="7" max="7" width="11.5703125" style="10" customWidth="1"/>
    <col min="8" max="8" width="14.5703125" style="10" customWidth="1"/>
    <col min="9" max="9" width="8.28515625" style="10" bestFit="1" customWidth="1"/>
    <col min="10" max="10" width="33.28515625" style="10" customWidth="1"/>
    <col min="11" max="11" width="0.42578125" style="10" customWidth="1"/>
    <col min="12" max="12" width="11.28515625" style="10" customWidth="1"/>
    <col min="13" max="13" width="13.28515625" style="10" customWidth="1"/>
    <col min="14" max="14" width="8.28515625" style="10" bestFit="1" customWidth="1"/>
    <col min="15" max="15" width="34.42578125" style="10" customWidth="1"/>
    <col min="16" max="16" width="0.42578125" style="10" customWidth="1"/>
    <col min="17" max="17" width="11.28515625" style="10" customWidth="1"/>
    <col min="18" max="18" width="12.7109375" style="10" customWidth="1"/>
    <col min="19" max="19" width="9.7109375" style="10" bestFit="1" customWidth="1"/>
    <col min="20" max="20" width="34.28515625" style="10" bestFit="1" customWidth="1"/>
    <col min="21" max="21" width="0.28515625" style="10" customWidth="1"/>
    <col min="22" max="26" width="11.42578125" style="3" bestFit="1" customWidth="1"/>
    <col min="27" max="79" width="9.140625" style="3"/>
    <col min="80" max="16384" width="9.140625" style="19"/>
  </cols>
  <sheetData>
    <row r="3" spans="1:79" s="12" customFormat="1" ht="15">
      <c r="A3" s="2"/>
      <c r="B3" s="42"/>
      <c r="C3" s="309"/>
      <c r="D3" s="391" t="s">
        <v>613</v>
      </c>
      <c r="E3" s="392"/>
      <c r="F3" s="392"/>
      <c r="G3" s="392"/>
      <c r="H3" s="392"/>
      <c r="I3" s="392"/>
      <c r="J3" s="393" t="s">
        <v>382</v>
      </c>
      <c r="K3" s="13"/>
      <c r="L3" s="13"/>
      <c r="M3" s="261"/>
      <c r="N3" s="10"/>
      <c r="O3" s="10"/>
      <c r="P3" s="10"/>
      <c r="Q3" s="10"/>
      <c r="R3" s="10"/>
      <c r="S3" s="10"/>
      <c r="T3" s="10"/>
      <c r="U3" s="10"/>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row>
    <row r="4" spans="1:79" s="12" customFormat="1" ht="12.75" customHeight="1">
      <c r="A4" s="2"/>
      <c r="B4" s="42" t="s">
        <v>40</v>
      </c>
      <c r="C4" s="94"/>
      <c r="D4" s="572" t="s">
        <v>41</v>
      </c>
      <c r="E4" s="572"/>
      <c r="F4" s="572"/>
      <c r="G4" s="572"/>
      <c r="H4" s="572"/>
      <c r="I4" s="572"/>
      <c r="J4" s="573"/>
      <c r="K4" s="13"/>
      <c r="L4" s="13"/>
      <c r="M4" s="25"/>
      <c r="N4" s="10"/>
      <c r="O4" s="10"/>
      <c r="P4" s="10"/>
      <c r="Q4" s="10"/>
      <c r="R4" s="10"/>
      <c r="S4" s="10"/>
      <c r="T4" s="10"/>
      <c r="U4" s="10"/>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row>
    <row r="5" spans="1:79" s="12" customFormat="1" ht="12.75" customHeight="1">
      <c r="A5" s="2"/>
      <c r="B5" s="42" t="s">
        <v>42</v>
      </c>
      <c r="C5" s="88"/>
      <c r="D5" s="574" t="s">
        <v>43</v>
      </c>
      <c r="E5" s="510"/>
      <c r="F5" s="510"/>
      <c r="G5" s="510"/>
      <c r="H5" s="510"/>
      <c r="I5" s="510"/>
      <c r="J5" s="511"/>
      <c r="K5" s="13"/>
      <c r="L5" s="13"/>
      <c r="M5" s="25"/>
      <c r="N5" s="10"/>
      <c r="O5" s="10"/>
      <c r="P5" s="10"/>
      <c r="Q5" s="10"/>
      <c r="R5" s="10"/>
      <c r="S5" s="10"/>
      <c r="T5" s="10"/>
      <c r="U5" s="10"/>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row>
    <row r="6" spans="1:79" s="12" customFormat="1" ht="14.25">
      <c r="A6" s="2"/>
      <c r="B6" s="23" t="s">
        <v>44</v>
      </c>
      <c r="C6" s="23"/>
      <c r="D6" s="14"/>
      <c r="E6" s="14"/>
      <c r="F6" s="22"/>
      <c r="G6" s="15"/>
      <c r="H6" s="15"/>
      <c r="I6" s="13"/>
      <c r="J6" s="13"/>
      <c r="K6" s="21"/>
      <c r="L6" s="13"/>
      <c r="M6" s="13"/>
      <c r="N6" s="10"/>
      <c r="O6" s="10"/>
      <c r="P6" s="10"/>
      <c r="Q6" s="10"/>
      <c r="R6" s="10"/>
      <c r="S6" s="10"/>
      <c r="T6" s="10"/>
      <c r="U6" s="10"/>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row>
    <row r="7" spans="1:79" s="12" customFormat="1" ht="14.25">
      <c r="A7" s="2"/>
      <c r="B7" s="23"/>
      <c r="C7" s="23"/>
      <c r="D7" s="14"/>
      <c r="E7" s="14"/>
      <c r="F7" s="22"/>
      <c r="G7" s="15"/>
      <c r="H7" s="15"/>
      <c r="I7" s="13"/>
      <c r="J7" s="13"/>
      <c r="K7" s="21"/>
      <c r="L7" s="13"/>
      <c r="M7" s="13"/>
      <c r="N7" s="10"/>
      <c r="O7" s="10"/>
      <c r="P7" s="10"/>
      <c r="Q7" s="10"/>
      <c r="R7" s="10"/>
      <c r="S7" s="10"/>
      <c r="T7" s="10"/>
      <c r="U7" s="10"/>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row>
    <row r="8" spans="1:79" s="12" customFormat="1" ht="15">
      <c r="A8" s="2"/>
      <c r="B8" s="31"/>
      <c r="C8" s="31"/>
      <c r="D8" s="31"/>
      <c r="E8" s="31"/>
      <c r="F8" s="32"/>
      <c r="G8" s="33"/>
      <c r="H8" s="33"/>
      <c r="I8" s="15"/>
      <c r="J8" s="21"/>
      <c r="K8" s="21"/>
      <c r="L8" s="13"/>
      <c r="M8" s="31" t="s">
        <v>45</v>
      </c>
      <c r="N8" s="10"/>
      <c r="O8" s="10"/>
      <c r="P8" s="10"/>
      <c r="Q8" s="10"/>
      <c r="R8" s="10"/>
      <c r="S8" s="10"/>
      <c r="T8" s="10"/>
      <c r="U8" s="10"/>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row>
    <row r="9" spans="1:79" s="12" customFormat="1" ht="14.25">
      <c r="A9" s="2"/>
      <c r="B9" s="34"/>
      <c r="C9" s="34"/>
      <c r="D9" s="35"/>
      <c r="E9" s="35"/>
      <c r="F9" s="22"/>
      <c r="G9" s="35"/>
      <c r="H9" s="35"/>
      <c r="I9" s="35"/>
      <c r="J9" s="21"/>
      <c r="K9" s="21"/>
      <c r="L9" s="13"/>
      <c r="M9" s="21"/>
      <c r="N9" s="10"/>
      <c r="O9" s="10"/>
      <c r="P9" s="10"/>
      <c r="Q9" s="10"/>
      <c r="R9" s="10"/>
      <c r="S9" s="10"/>
      <c r="T9" s="10"/>
      <c r="U9" s="10"/>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row>
    <row r="10" spans="1:79" s="12" customFormat="1" ht="15">
      <c r="A10" s="2"/>
      <c r="B10" s="311"/>
      <c r="C10" s="311"/>
      <c r="D10" s="312"/>
      <c r="E10" s="22"/>
      <c r="F10" s="22"/>
      <c r="G10" s="313"/>
      <c r="H10" s="313"/>
      <c r="I10" s="38"/>
      <c r="J10" s="21"/>
      <c r="K10" s="21"/>
      <c r="L10" s="13"/>
      <c r="M10" s="313" t="s">
        <v>46</v>
      </c>
      <c r="N10" s="10"/>
      <c r="O10" s="10"/>
      <c r="P10" s="10"/>
      <c r="Q10" s="10"/>
      <c r="R10" s="10"/>
      <c r="S10" s="10"/>
      <c r="T10" s="10"/>
      <c r="U10" s="10"/>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row>
    <row r="11" spans="1:79" s="12" customFormat="1" ht="15">
      <c r="A11" s="2"/>
      <c r="B11" s="311"/>
      <c r="C11" s="311"/>
      <c r="D11" s="312"/>
      <c r="E11" s="22"/>
      <c r="F11" s="21"/>
      <c r="G11" s="313"/>
      <c r="H11" s="313"/>
      <c r="I11" s="38"/>
      <c r="J11" s="21"/>
      <c r="K11" s="21"/>
      <c r="L11" s="13"/>
      <c r="M11" s="313"/>
      <c r="N11" s="10"/>
      <c r="O11" s="10"/>
      <c r="P11" s="10"/>
      <c r="Q11" s="10"/>
      <c r="R11" s="10"/>
      <c r="S11" s="10"/>
      <c r="T11" s="10"/>
      <c r="U11" s="10"/>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row>
    <row r="12" spans="1:79" s="12" customFormat="1" ht="15">
      <c r="A12" s="2"/>
      <c r="B12" s="311"/>
      <c r="C12" s="311"/>
      <c r="D12" s="312"/>
      <c r="E12" s="22"/>
      <c r="F12" s="21"/>
      <c r="G12" s="313"/>
      <c r="H12" s="313"/>
      <c r="I12" s="38"/>
      <c r="J12" s="21"/>
      <c r="K12" s="21"/>
      <c r="L12" s="13"/>
      <c r="M12" s="313" t="s">
        <v>47</v>
      </c>
      <c r="N12" s="10"/>
      <c r="O12" s="10"/>
      <c r="P12" s="10"/>
      <c r="Q12" s="10"/>
      <c r="R12" s="10"/>
      <c r="S12" s="10"/>
      <c r="T12" s="10"/>
      <c r="U12" s="10"/>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row>
    <row r="17" spans="1:79" s="12" customFormat="1" ht="12.75" customHeight="1">
      <c r="A17" s="2"/>
      <c r="B17" s="483" t="s">
        <v>614</v>
      </c>
      <c r="C17" s="94"/>
      <c r="D17" s="483" t="s">
        <v>50</v>
      </c>
      <c r="E17" s="483" t="s">
        <v>51</v>
      </c>
      <c r="F17" s="16"/>
      <c r="G17" s="483" t="s">
        <v>52</v>
      </c>
      <c r="H17" s="483"/>
      <c r="I17" s="483"/>
      <c r="J17" s="483"/>
      <c r="K17" s="25"/>
      <c r="L17" s="483" t="s">
        <v>53</v>
      </c>
      <c r="M17" s="483"/>
      <c r="N17" s="483"/>
      <c r="O17" s="483"/>
      <c r="P17" s="25"/>
      <c r="Q17" s="483" t="s">
        <v>54</v>
      </c>
      <c r="R17" s="483"/>
      <c r="S17" s="483"/>
      <c r="T17" s="483"/>
      <c r="U17" s="25"/>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row>
    <row r="18" spans="1:79" s="95" customFormat="1" ht="12.75">
      <c r="A18" s="2"/>
      <c r="B18" s="483"/>
      <c r="C18" s="94"/>
      <c r="D18" s="483"/>
      <c r="E18" s="483"/>
      <c r="F18" s="16"/>
      <c r="G18" s="94" t="s">
        <v>297</v>
      </c>
      <c r="H18" s="94" t="s">
        <v>298</v>
      </c>
      <c r="I18" s="94" t="s">
        <v>615</v>
      </c>
      <c r="J18" s="94" t="s">
        <v>444</v>
      </c>
      <c r="K18" s="25"/>
      <c r="L18" s="94" t="s">
        <v>297</v>
      </c>
      <c r="M18" s="94" t="s">
        <v>298</v>
      </c>
      <c r="N18" s="94" t="s">
        <v>615</v>
      </c>
      <c r="O18" s="94" t="s">
        <v>444</v>
      </c>
      <c r="P18" s="25"/>
      <c r="Q18" s="94" t="s">
        <v>297</v>
      </c>
      <c r="R18" s="94" t="s">
        <v>298</v>
      </c>
      <c r="S18" s="94" t="s">
        <v>615</v>
      </c>
      <c r="T18" s="94" t="s">
        <v>444</v>
      </c>
      <c r="U18" s="25"/>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row>
    <row r="19" spans="1:79" s="12" customFormat="1">
      <c r="A19" s="2"/>
      <c r="B19" s="39" t="s">
        <v>616</v>
      </c>
      <c r="C19" s="39"/>
      <c r="D19" s="39" t="s">
        <v>617</v>
      </c>
      <c r="E19" s="39" t="s">
        <v>618</v>
      </c>
      <c r="F19" s="394"/>
      <c r="G19" s="395">
        <v>375</v>
      </c>
      <c r="H19" s="395">
        <v>500</v>
      </c>
      <c r="I19" s="39" t="s">
        <v>619</v>
      </c>
      <c r="J19" s="39" t="s">
        <v>620</v>
      </c>
      <c r="K19" s="396"/>
      <c r="L19" s="395">
        <v>375</v>
      </c>
      <c r="M19" s="395">
        <v>500</v>
      </c>
      <c r="N19" s="39" t="s">
        <v>619</v>
      </c>
      <c r="O19" s="39" t="s">
        <v>620</v>
      </c>
      <c r="P19" s="397"/>
      <c r="Q19" s="395">
        <v>375</v>
      </c>
      <c r="R19" s="395">
        <v>500</v>
      </c>
      <c r="S19" s="39" t="s">
        <v>619</v>
      </c>
      <c r="T19" s="39" t="s">
        <v>620</v>
      </c>
      <c r="U19" s="99"/>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row>
    <row r="20" spans="1:79" s="12" customFormat="1" hidden="1">
      <c r="A20" s="2"/>
      <c r="B20" s="39" t="s">
        <v>621</v>
      </c>
      <c r="C20" s="39"/>
      <c r="D20" s="39" t="s">
        <v>622</v>
      </c>
      <c r="E20" s="39" t="s">
        <v>618</v>
      </c>
      <c r="F20" s="394"/>
      <c r="G20" s="575"/>
      <c r="H20" s="575"/>
      <c r="I20" s="39"/>
      <c r="J20" s="39"/>
      <c r="K20" s="396"/>
      <c r="L20" s="395">
        <v>650</v>
      </c>
      <c r="M20" s="395">
        <v>1200</v>
      </c>
      <c r="N20" s="39" t="s">
        <v>623</v>
      </c>
      <c r="O20" s="39" t="s">
        <v>620</v>
      </c>
      <c r="P20" s="397"/>
      <c r="Q20" s="395"/>
      <c r="R20" s="395"/>
      <c r="S20" s="39"/>
      <c r="T20" s="39"/>
      <c r="U20" s="99"/>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row>
    <row r="21" spans="1:79" s="12" customFormat="1">
      <c r="B21" s="39" t="s">
        <v>624</v>
      </c>
      <c r="C21" s="39"/>
      <c r="D21" s="39" t="s">
        <v>625</v>
      </c>
      <c r="E21" s="39" t="s">
        <v>66</v>
      </c>
      <c r="F21" s="39"/>
      <c r="G21" s="395">
        <v>200</v>
      </c>
      <c r="H21" s="395">
        <v>225</v>
      </c>
      <c r="I21" s="39" t="s">
        <v>623</v>
      </c>
      <c r="J21" s="39" t="s">
        <v>620</v>
      </c>
      <c r="K21" s="39"/>
      <c r="L21" s="395">
        <v>200</v>
      </c>
      <c r="M21" s="395">
        <v>225</v>
      </c>
      <c r="N21" s="39" t="s">
        <v>623</v>
      </c>
      <c r="O21" s="39" t="s">
        <v>620</v>
      </c>
      <c r="P21" s="39"/>
      <c r="Q21" s="395">
        <v>200</v>
      </c>
      <c r="R21" s="395">
        <v>225</v>
      </c>
      <c r="S21" s="39" t="s">
        <v>623</v>
      </c>
      <c r="T21" s="39" t="s">
        <v>620</v>
      </c>
      <c r="U21" s="9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row>
    <row r="22" spans="1:79" s="205" customFormat="1">
      <c r="A22" s="2"/>
      <c r="B22" s="39" t="s">
        <v>626</v>
      </c>
      <c r="C22" s="39"/>
      <c r="D22" s="39" t="s">
        <v>627</v>
      </c>
      <c r="E22" s="39" t="s">
        <v>628</v>
      </c>
      <c r="F22" s="39"/>
      <c r="G22" s="395">
        <v>700</v>
      </c>
      <c r="H22" s="395">
        <v>900</v>
      </c>
      <c r="I22" s="39" t="s">
        <v>619</v>
      </c>
      <c r="J22" s="39" t="s">
        <v>629</v>
      </c>
      <c r="K22" s="39"/>
      <c r="L22" s="395">
        <v>700</v>
      </c>
      <c r="M22" s="395">
        <v>900</v>
      </c>
      <c r="N22" s="39" t="s">
        <v>619</v>
      </c>
      <c r="O22" s="39" t="s">
        <v>629</v>
      </c>
      <c r="P22" s="39"/>
      <c r="Q22" s="395">
        <v>700</v>
      </c>
      <c r="R22" s="395">
        <v>900</v>
      </c>
      <c r="S22" s="39" t="s">
        <v>619</v>
      </c>
      <c r="T22" s="39" t="s">
        <v>629</v>
      </c>
      <c r="U22" s="99"/>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row>
    <row r="23" spans="1:79" s="12" customFormat="1">
      <c r="A23" s="2"/>
      <c r="B23" s="39" t="s">
        <v>630</v>
      </c>
      <c r="C23" s="39"/>
      <c r="D23" s="39" t="s">
        <v>631</v>
      </c>
      <c r="E23" s="39" t="s">
        <v>618</v>
      </c>
      <c r="F23" s="39"/>
      <c r="G23" s="395">
        <v>635</v>
      </c>
      <c r="H23" s="395">
        <v>780</v>
      </c>
      <c r="I23" s="39" t="s">
        <v>619</v>
      </c>
      <c r="J23" s="39" t="s">
        <v>620</v>
      </c>
      <c r="K23" s="39"/>
      <c r="L23" s="395">
        <v>635</v>
      </c>
      <c r="M23" s="395">
        <v>780</v>
      </c>
      <c r="N23" s="39" t="s">
        <v>619</v>
      </c>
      <c r="O23" s="39" t="s">
        <v>620</v>
      </c>
      <c r="P23" s="39"/>
      <c r="Q23" s="395">
        <v>635</v>
      </c>
      <c r="R23" s="395">
        <v>780</v>
      </c>
      <c r="S23" s="39" t="s">
        <v>619</v>
      </c>
      <c r="T23" s="39" t="s">
        <v>620</v>
      </c>
      <c r="U23" s="99"/>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row>
    <row r="24" spans="1:79" s="29" customFormat="1" ht="22.5">
      <c r="A24" s="398"/>
      <c r="B24" s="39" t="s">
        <v>632</v>
      </c>
      <c r="C24" s="39"/>
      <c r="D24" s="39" t="s">
        <v>633</v>
      </c>
      <c r="E24" s="39" t="s">
        <v>618</v>
      </c>
      <c r="F24" s="39"/>
      <c r="G24" s="543" t="s">
        <v>362</v>
      </c>
      <c r="H24" s="543"/>
      <c r="I24" s="39"/>
      <c r="J24" s="39"/>
      <c r="K24" s="39"/>
      <c r="L24" s="395">
        <v>440</v>
      </c>
      <c r="M24" s="395">
        <v>560</v>
      </c>
      <c r="N24" s="39" t="s">
        <v>634</v>
      </c>
      <c r="O24" s="39" t="s">
        <v>635</v>
      </c>
      <c r="P24" s="39"/>
      <c r="Q24" s="395">
        <v>490</v>
      </c>
      <c r="R24" s="395">
        <v>610</v>
      </c>
      <c r="S24" s="39" t="s">
        <v>634</v>
      </c>
      <c r="T24" s="39" t="s">
        <v>635</v>
      </c>
      <c r="U24" s="184"/>
      <c r="V24" s="399"/>
      <c r="W24" s="399"/>
      <c r="X24" s="399"/>
      <c r="Y24" s="399"/>
      <c r="Z24" s="399"/>
      <c r="AA24" s="399"/>
      <c r="AB24" s="399"/>
      <c r="AC24" s="399"/>
      <c r="AD24" s="399"/>
      <c r="AE24" s="399"/>
      <c r="AF24" s="399"/>
      <c r="AG24" s="399"/>
      <c r="AH24" s="399"/>
      <c r="AI24" s="399"/>
      <c r="AJ24" s="399"/>
      <c r="AK24" s="399"/>
      <c r="AL24" s="399"/>
      <c r="AM24" s="399"/>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399"/>
      <c r="BK24" s="399"/>
      <c r="BL24" s="399"/>
      <c r="BM24" s="399"/>
      <c r="BN24" s="399"/>
      <c r="BO24" s="399"/>
      <c r="BP24" s="399"/>
      <c r="BQ24" s="399"/>
      <c r="BR24" s="399"/>
      <c r="BS24" s="399"/>
      <c r="BT24" s="399"/>
      <c r="BU24" s="399"/>
      <c r="BV24" s="399"/>
      <c r="BW24" s="399"/>
      <c r="BX24" s="399"/>
      <c r="BY24" s="399"/>
      <c r="BZ24" s="399"/>
      <c r="CA24" s="399"/>
    </row>
    <row r="25" spans="1:79" s="12" customFormat="1">
      <c r="A25" s="2"/>
      <c r="B25" s="39" t="s">
        <v>636</v>
      </c>
      <c r="C25" s="39"/>
      <c r="D25" s="39" t="s">
        <v>637</v>
      </c>
      <c r="E25" s="39" t="s">
        <v>66</v>
      </c>
      <c r="F25" s="39"/>
      <c r="G25" s="395">
        <v>485</v>
      </c>
      <c r="H25" s="395">
        <v>885</v>
      </c>
      <c r="I25" s="39" t="s">
        <v>619</v>
      </c>
      <c r="J25" s="39" t="s">
        <v>620</v>
      </c>
      <c r="K25" s="39"/>
      <c r="L25" s="395">
        <v>485</v>
      </c>
      <c r="M25" s="395">
        <v>885</v>
      </c>
      <c r="N25" s="39" t="s">
        <v>619</v>
      </c>
      <c r="O25" s="39" t="s">
        <v>620</v>
      </c>
      <c r="P25" s="39"/>
      <c r="Q25" s="395">
        <v>485</v>
      </c>
      <c r="R25" s="395">
        <v>885</v>
      </c>
      <c r="S25" s="39" t="s">
        <v>619</v>
      </c>
      <c r="T25" s="39" t="s">
        <v>620</v>
      </c>
      <c r="U25" s="99"/>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row>
    <row r="26" spans="1:79" s="12" customFormat="1">
      <c r="A26" s="2"/>
      <c r="B26" s="39" t="s">
        <v>638</v>
      </c>
      <c r="C26" s="39"/>
      <c r="D26" s="39" t="s">
        <v>617</v>
      </c>
      <c r="E26" s="39" t="s">
        <v>618</v>
      </c>
      <c r="F26" s="39"/>
      <c r="G26" s="395">
        <v>375</v>
      </c>
      <c r="H26" s="395">
        <v>500</v>
      </c>
      <c r="I26" s="39" t="s">
        <v>619</v>
      </c>
      <c r="J26" s="39" t="s">
        <v>620</v>
      </c>
      <c r="K26" s="39"/>
      <c r="L26" s="395">
        <v>375</v>
      </c>
      <c r="M26" s="395">
        <v>500</v>
      </c>
      <c r="N26" s="39" t="s">
        <v>619</v>
      </c>
      <c r="O26" s="39" t="s">
        <v>620</v>
      </c>
      <c r="P26" s="39"/>
      <c r="Q26" s="395">
        <v>500</v>
      </c>
      <c r="R26" s="395">
        <v>630</v>
      </c>
      <c r="S26" s="39" t="s">
        <v>619</v>
      </c>
      <c r="T26" s="39" t="s">
        <v>620</v>
      </c>
      <c r="U26" s="99"/>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row>
    <row r="27" spans="1:79" s="12" customFormat="1">
      <c r="B27" s="39" t="s">
        <v>639</v>
      </c>
      <c r="C27" s="39"/>
      <c r="D27" s="39" t="s">
        <v>625</v>
      </c>
      <c r="E27" s="39" t="s">
        <v>66</v>
      </c>
      <c r="F27" s="39"/>
      <c r="G27" s="395">
        <v>200</v>
      </c>
      <c r="H27" s="395">
        <v>225</v>
      </c>
      <c r="I27" s="39" t="s">
        <v>623</v>
      </c>
      <c r="J27" s="39" t="s">
        <v>620</v>
      </c>
      <c r="K27" s="39"/>
      <c r="L27" s="395">
        <v>200</v>
      </c>
      <c r="M27" s="395">
        <v>225</v>
      </c>
      <c r="N27" s="39" t="s">
        <v>623</v>
      </c>
      <c r="O27" s="39" t="s">
        <v>620</v>
      </c>
      <c r="P27" s="39"/>
      <c r="Q27" s="395">
        <v>200</v>
      </c>
      <c r="R27" s="395">
        <v>225</v>
      </c>
      <c r="S27" s="39" t="s">
        <v>623</v>
      </c>
      <c r="T27" s="39" t="s">
        <v>620</v>
      </c>
      <c r="U27" s="9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row>
    <row r="28" spans="1:79" s="29" customFormat="1">
      <c r="A28" s="398"/>
      <c r="B28" s="39" t="s">
        <v>640</v>
      </c>
      <c r="C28" s="39"/>
      <c r="D28" s="39" t="s">
        <v>641</v>
      </c>
      <c r="E28" s="39" t="s">
        <v>618</v>
      </c>
      <c r="F28" s="39"/>
      <c r="G28" s="395">
        <v>650</v>
      </c>
      <c r="H28" s="395">
        <v>710</v>
      </c>
      <c r="I28" s="39" t="s">
        <v>619</v>
      </c>
      <c r="J28" s="39" t="s">
        <v>620</v>
      </c>
      <c r="K28" s="39"/>
      <c r="L28" s="395">
        <v>650</v>
      </c>
      <c r="M28" s="395">
        <v>710</v>
      </c>
      <c r="N28" s="39" t="s">
        <v>619</v>
      </c>
      <c r="O28" s="39" t="s">
        <v>620</v>
      </c>
      <c r="P28" s="39"/>
      <c r="Q28" s="395">
        <v>650</v>
      </c>
      <c r="R28" s="395">
        <v>710</v>
      </c>
      <c r="S28" s="39" t="s">
        <v>619</v>
      </c>
      <c r="T28" s="39" t="s">
        <v>620</v>
      </c>
      <c r="U28" s="184"/>
      <c r="V28" s="399"/>
      <c r="W28" s="399"/>
      <c r="X28" s="399"/>
      <c r="Y28" s="399"/>
      <c r="Z28" s="399"/>
      <c r="AA28" s="399"/>
      <c r="AB28" s="399"/>
      <c r="AC28" s="399"/>
      <c r="AD28" s="399"/>
      <c r="AE28" s="399"/>
      <c r="AF28" s="399"/>
      <c r="AG28" s="399"/>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399"/>
      <c r="BD28" s="399"/>
      <c r="BE28" s="399"/>
      <c r="BF28" s="399"/>
      <c r="BG28" s="399"/>
      <c r="BH28" s="399"/>
      <c r="BI28" s="399"/>
      <c r="BJ28" s="399"/>
      <c r="BK28" s="399"/>
      <c r="BL28" s="399"/>
      <c r="BM28" s="399"/>
      <c r="BN28" s="399"/>
      <c r="BO28" s="399"/>
      <c r="BP28" s="399"/>
      <c r="BQ28" s="399"/>
      <c r="BR28" s="399"/>
      <c r="BS28" s="399"/>
      <c r="BT28" s="399"/>
      <c r="BU28" s="399"/>
      <c r="BV28" s="399"/>
      <c r="BW28" s="399"/>
      <c r="BX28" s="399"/>
      <c r="BY28" s="399"/>
      <c r="BZ28" s="399"/>
      <c r="CA28" s="399"/>
    </row>
    <row r="29" spans="1:79" s="29" customFormat="1">
      <c r="B29" s="39" t="s">
        <v>642</v>
      </c>
      <c r="C29" s="39"/>
      <c r="D29" s="39" t="s">
        <v>625</v>
      </c>
      <c r="E29" s="39" t="s">
        <v>66</v>
      </c>
      <c r="F29" s="39"/>
      <c r="G29" s="395">
        <v>200</v>
      </c>
      <c r="H29" s="395">
        <v>225</v>
      </c>
      <c r="I29" s="39" t="s">
        <v>623</v>
      </c>
      <c r="J29" s="39" t="s">
        <v>620</v>
      </c>
      <c r="K29" s="39"/>
      <c r="L29" s="395">
        <v>200</v>
      </c>
      <c r="M29" s="395">
        <v>225</v>
      </c>
      <c r="N29" s="39" t="s">
        <v>623</v>
      </c>
      <c r="O29" s="39" t="s">
        <v>620</v>
      </c>
      <c r="P29" s="39"/>
      <c r="Q29" s="395">
        <v>200</v>
      </c>
      <c r="R29" s="395">
        <v>225</v>
      </c>
      <c r="S29" s="39" t="s">
        <v>623</v>
      </c>
      <c r="T29" s="39" t="s">
        <v>620</v>
      </c>
      <c r="U29" s="184"/>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row>
    <row r="30" spans="1:79" s="12" customFormat="1">
      <c r="A30" s="2"/>
      <c r="B30" s="39" t="s">
        <v>643</v>
      </c>
      <c r="C30" s="39"/>
      <c r="D30" s="39" t="s">
        <v>627</v>
      </c>
      <c r="E30" s="39" t="s">
        <v>628</v>
      </c>
      <c r="F30" s="39"/>
      <c r="G30" s="395">
        <v>700</v>
      </c>
      <c r="H30" s="395">
        <v>900</v>
      </c>
      <c r="I30" s="39" t="s">
        <v>619</v>
      </c>
      <c r="J30" s="39" t="s">
        <v>629</v>
      </c>
      <c r="K30" s="39"/>
      <c r="L30" s="395">
        <v>700</v>
      </c>
      <c r="M30" s="395">
        <v>900</v>
      </c>
      <c r="N30" s="39" t="s">
        <v>619</v>
      </c>
      <c r="O30" s="39" t="s">
        <v>629</v>
      </c>
      <c r="P30" s="39"/>
      <c r="Q30" s="395">
        <v>700</v>
      </c>
      <c r="R30" s="395">
        <v>900</v>
      </c>
      <c r="S30" s="39" t="s">
        <v>619</v>
      </c>
      <c r="T30" s="39" t="s">
        <v>629</v>
      </c>
      <c r="U30" s="99"/>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row>
    <row r="31" spans="1:79" s="29" customFormat="1">
      <c r="A31" s="398"/>
      <c r="B31" s="39" t="s">
        <v>644</v>
      </c>
      <c r="C31" s="39"/>
      <c r="D31" s="39" t="s">
        <v>625</v>
      </c>
      <c r="E31" s="39" t="s">
        <v>66</v>
      </c>
      <c r="F31" s="39"/>
      <c r="G31" s="395">
        <v>485</v>
      </c>
      <c r="H31" s="395">
        <v>510</v>
      </c>
      <c r="I31" s="39" t="s">
        <v>619</v>
      </c>
      <c r="J31" s="39" t="s">
        <v>620</v>
      </c>
      <c r="K31" s="39"/>
      <c r="L31" s="395">
        <v>485</v>
      </c>
      <c r="M31" s="395">
        <v>510</v>
      </c>
      <c r="N31" s="39" t="s">
        <v>619</v>
      </c>
      <c r="O31" s="39" t="s">
        <v>620</v>
      </c>
      <c r="P31" s="39"/>
      <c r="Q31" s="395">
        <v>485</v>
      </c>
      <c r="R31" s="395">
        <v>510</v>
      </c>
      <c r="S31" s="39" t="s">
        <v>619</v>
      </c>
      <c r="T31" s="39" t="s">
        <v>620</v>
      </c>
      <c r="U31" s="184"/>
      <c r="V31" s="399"/>
      <c r="W31" s="399"/>
      <c r="X31" s="399"/>
      <c r="Y31" s="399"/>
      <c r="Z31" s="399"/>
      <c r="AA31" s="399"/>
      <c r="AB31" s="399"/>
      <c r="AC31" s="399"/>
      <c r="AD31" s="399"/>
      <c r="AE31" s="399"/>
      <c r="AF31" s="399"/>
      <c r="AG31" s="399"/>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399"/>
      <c r="BD31" s="399"/>
      <c r="BE31" s="399"/>
      <c r="BF31" s="399"/>
      <c r="BG31" s="399"/>
      <c r="BH31" s="399"/>
      <c r="BI31" s="399"/>
      <c r="BJ31" s="399"/>
      <c r="BK31" s="399"/>
      <c r="BL31" s="399"/>
      <c r="BM31" s="399"/>
      <c r="BN31" s="399"/>
      <c r="BO31" s="399"/>
      <c r="BP31" s="399"/>
      <c r="BQ31" s="399"/>
      <c r="BR31" s="399"/>
      <c r="BS31" s="399"/>
      <c r="BT31" s="399"/>
      <c r="BU31" s="399"/>
      <c r="BV31" s="399"/>
      <c r="BW31" s="399"/>
      <c r="BX31" s="399"/>
      <c r="BY31" s="399"/>
      <c r="BZ31" s="399"/>
      <c r="CA31" s="399"/>
    </row>
    <row r="32" spans="1:79" s="12" customFormat="1">
      <c r="A32" s="2"/>
      <c r="B32" s="39" t="s">
        <v>645</v>
      </c>
      <c r="C32" s="39"/>
      <c r="D32" s="39" t="s">
        <v>625</v>
      </c>
      <c r="E32" s="39" t="s">
        <v>66</v>
      </c>
      <c r="F32" s="39"/>
      <c r="G32" s="395">
        <v>200</v>
      </c>
      <c r="H32" s="395">
        <v>225</v>
      </c>
      <c r="I32" s="39" t="s">
        <v>619</v>
      </c>
      <c r="J32" s="39" t="s">
        <v>620</v>
      </c>
      <c r="K32" s="39"/>
      <c r="L32" s="395">
        <v>200</v>
      </c>
      <c r="M32" s="395">
        <v>225</v>
      </c>
      <c r="N32" s="39" t="s">
        <v>623</v>
      </c>
      <c r="O32" s="39" t="s">
        <v>620</v>
      </c>
      <c r="P32" s="39"/>
      <c r="Q32" s="395">
        <v>200</v>
      </c>
      <c r="R32" s="395">
        <v>225</v>
      </c>
      <c r="S32" s="39" t="s">
        <v>619</v>
      </c>
      <c r="T32" s="39" t="s">
        <v>620</v>
      </c>
      <c r="U32" s="99"/>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row>
    <row r="33" spans="1:79" s="12" customFormat="1">
      <c r="B33" s="39" t="s">
        <v>646</v>
      </c>
      <c r="C33" s="39"/>
      <c r="D33" s="39" t="s">
        <v>625</v>
      </c>
      <c r="E33" s="39" t="s">
        <v>66</v>
      </c>
      <c r="F33" s="39"/>
      <c r="G33" s="395">
        <v>200</v>
      </c>
      <c r="H33" s="395">
        <v>225</v>
      </c>
      <c r="I33" s="39" t="s">
        <v>623</v>
      </c>
      <c r="J33" s="39" t="s">
        <v>620</v>
      </c>
      <c r="K33" s="39"/>
      <c r="L33" s="395">
        <v>200</v>
      </c>
      <c r="M33" s="395">
        <v>225</v>
      </c>
      <c r="N33" s="39" t="s">
        <v>623</v>
      </c>
      <c r="O33" s="39" t="s">
        <v>620</v>
      </c>
      <c r="P33" s="39"/>
      <c r="Q33" s="395">
        <v>200</v>
      </c>
      <c r="R33" s="395">
        <v>225</v>
      </c>
      <c r="S33" s="39" t="s">
        <v>623</v>
      </c>
      <c r="T33" s="39" t="s">
        <v>620</v>
      </c>
      <c r="U33" s="9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row>
    <row r="34" spans="1:79" s="29" customFormat="1" ht="11.25" customHeight="1">
      <c r="B34" s="192" t="s">
        <v>647</v>
      </c>
      <c r="C34" s="192"/>
      <c r="D34" s="192" t="s">
        <v>648</v>
      </c>
      <c r="E34" s="192" t="s">
        <v>66</v>
      </c>
      <c r="F34" s="400"/>
      <c r="G34" s="395">
        <v>490</v>
      </c>
      <c r="H34" s="395">
        <v>700</v>
      </c>
      <c r="I34" s="192" t="s">
        <v>619</v>
      </c>
      <c r="J34" s="39" t="s">
        <v>620</v>
      </c>
      <c r="K34" s="396"/>
      <c r="L34" s="395">
        <v>490</v>
      </c>
      <c r="M34" s="395">
        <v>700</v>
      </c>
      <c r="N34" s="192" t="s">
        <v>619</v>
      </c>
      <c r="O34" s="39" t="s">
        <v>620</v>
      </c>
      <c r="P34" s="396"/>
      <c r="Q34" s="395">
        <v>490</v>
      </c>
      <c r="R34" s="395">
        <v>700</v>
      </c>
      <c r="S34" s="192" t="s">
        <v>619</v>
      </c>
      <c r="T34" s="39" t="s">
        <v>620</v>
      </c>
      <c r="U34" s="184"/>
    </row>
    <row r="35" spans="1:79" s="12" customFormat="1" ht="11.25" customHeight="1">
      <c r="B35" s="192" t="s">
        <v>649</v>
      </c>
      <c r="C35" s="192"/>
      <c r="D35" s="192" t="s">
        <v>650</v>
      </c>
      <c r="E35" s="192" t="s">
        <v>618</v>
      </c>
      <c r="F35" s="400"/>
      <c r="G35" s="395">
        <v>600</v>
      </c>
      <c r="H35" s="395">
        <v>850</v>
      </c>
      <c r="I35" s="192" t="s">
        <v>619</v>
      </c>
      <c r="J35" s="39" t="s">
        <v>620</v>
      </c>
      <c r="K35" s="396"/>
      <c r="L35" s="395">
        <v>600</v>
      </c>
      <c r="M35" s="395">
        <v>850</v>
      </c>
      <c r="N35" s="192" t="s">
        <v>619</v>
      </c>
      <c r="O35" s="39" t="s">
        <v>620</v>
      </c>
      <c r="P35" s="396"/>
      <c r="Q35" s="395">
        <v>600</v>
      </c>
      <c r="R35" s="395">
        <v>850</v>
      </c>
      <c r="S35" s="192" t="s">
        <v>619</v>
      </c>
      <c r="T35" s="39" t="s">
        <v>620</v>
      </c>
      <c r="U35" s="99"/>
    </row>
    <row r="36" spans="1:79" s="12" customFormat="1" ht="11.25" customHeight="1">
      <c r="B36" s="192" t="s">
        <v>651</v>
      </c>
      <c r="C36" s="192"/>
      <c r="D36" s="192" t="s">
        <v>651</v>
      </c>
      <c r="E36" s="192" t="s">
        <v>618</v>
      </c>
      <c r="F36" s="400"/>
      <c r="G36" s="395">
        <v>400</v>
      </c>
      <c r="H36" s="395">
        <v>625</v>
      </c>
      <c r="I36" s="192" t="s">
        <v>623</v>
      </c>
      <c r="J36" s="39" t="s">
        <v>620</v>
      </c>
      <c r="K36" s="396"/>
      <c r="L36" s="395">
        <v>400</v>
      </c>
      <c r="M36" s="395">
        <v>625</v>
      </c>
      <c r="N36" s="192" t="s">
        <v>623</v>
      </c>
      <c r="O36" s="39" t="s">
        <v>620</v>
      </c>
      <c r="P36" s="396"/>
      <c r="Q36" s="395">
        <v>400</v>
      </c>
      <c r="R36" s="395">
        <v>625</v>
      </c>
      <c r="S36" s="192" t="s">
        <v>619</v>
      </c>
      <c r="T36" s="39" t="s">
        <v>620</v>
      </c>
      <c r="U36" s="99"/>
    </row>
    <row r="37" spans="1:79" s="12" customFormat="1" ht="11.25" customHeight="1">
      <c r="B37" s="192" t="s">
        <v>652</v>
      </c>
      <c r="C37" s="192"/>
      <c r="D37" s="192" t="s">
        <v>625</v>
      </c>
      <c r="E37" s="192" t="s">
        <v>66</v>
      </c>
      <c r="F37" s="400"/>
      <c r="G37" s="395">
        <v>485</v>
      </c>
      <c r="H37" s="395">
        <v>510</v>
      </c>
      <c r="I37" s="192" t="s">
        <v>619</v>
      </c>
      <c r="J37" s="39" t="s">
        <v>620</v>
      </c>
      <c r="K37" s="396"/>
      <c r="L37" s="395">
        <v>485</v>
      </c>
      <c r="M37" s="395">
        <v>510</v>
      </c>
      <c r="N37" s="192" t="s">
        <v>619</v>
      </c>
      <c r="O37" s="39" t="s">
        <v>620</v>
      </c>
      <c r="P37" s="396"/>
      <c r="Q37" s="395">
        <v>485</v>
      </c>
      <c r="R37" s="395">
        <v>510</v>
      </c>
      <c r="S37" s="192" t="s">
        <v>619</v>
      </c>
      <c r="T37" s="39" t="s">
        <v>620</v>
      </c>
      <c r="U37" s="99"/>
    </row>
    <row r="38" spans="1:79" s="12" customFormat="1" ht="11.25" customHeight="1">
      <c r="B38" s="192" t="s">
        <v>653</v>
      </c>
      <c r="C38" s="192"/>
      <c r="D38" s="192" t="s">
        <v>654</v>
      </c>
      <c r="E38" s="192" t="s">
        <v>618</v>
      </c>
      <c r="F38" s="400"/>
      <c r="G38" s="395">
        <v>275</v>
      </c>
      <c r="H38" s="395">
        <v>300</v>
      </c>
      <c r="I38" s="192" t="s">
        <v>623</v>
      </c>
      <c r="J38" s="39" t="s">
        <v>620</v>
      </c>
      <c r="K38" s="396"/>
      <c r="L38" s="395">
        <v>275</v>
      </c>
      <c r="M38" s="395">
        <v>300</v>
      </c>
      <c r="N38" s="192" t="s">
        <v>623</v>
      </c>
      <c r="O38" s="39" t="s">
        <v>620</v>
      </c>
      <c r="P38" s="396"/>
      <c r="Q38" s="395">
        <v>275</v>
      </c>
      <c r="R38" s="395">
        <v>300</v>
      </c>
      <c r="S38" s="192" t="s">
        <v>623</v>
      </c>
      <c r="T38" s="39" t="s">
        <v>620</v>
      </c>
      <c r="U38" s="99"/>
    </row>
    <row r="39" spans="1:79" s="12" customFormat="1" ht="11.25" customHeight="1">
      <c r="B39" s="192" t="s">
        <v>655</v>
      </c>
      <c r="C39" s="192"/>
      <c r="D39" s="192" t="s">
        <v>617</v>
      </c>
      <c r="E39" s="192" t="s">
        <v>618</v>
      </c>
      <c r="F39" s="400"/>
      <c r="G39" s="395">
        <v>525</v>
      </c>
      <c r="H39" s="395">
        <v>650</v>
      </c>
      <c r="I39" s="192" t="s">
        <v>619</v>
      </c>
      <c r="J39" s="39" t="s">
        <v>620</v>
      </c>
      <c r="K39" s="396"/>
      <c r="L39" s="395">
        <v>525</v>
      </c>
      <c r="M39" s="395">
        <v>650</v>
      </c>
      <c r="N39" s="192" t="s">
        <v>619</v>
      </c>
      <c r="O39" s="39" t="s">
        <v>620</v>
      </c>
      <c r="P39" s="396"/>
      <c r="Q39" s="395">
        <v>525</v>
      </c>
      <c r="R39" s="395">
        <v>650</v>
      </c>
      <c r="S39" s="192" t="s">
        <v>619</v>
      </c>
      <c r="T39" s="39" t="s">
        <v>620</v>
      </c>
      <c r="U39" s="99"/>
    </row>
    <row r="40" spans="1:79" s="12" customFormat="1" ht="11.25" customHeight="1">
      <c r="B40" s="192" t="s">
        <v>656</v>
      </c>
      <c r="C40" s="192"/>
      <c r="D40" s="192" t="s">
        <v>657</v>
      </c>
      <c r="E40" s="192" t="s">
        <v>618</v>
      </c>
      <c r="F40" s="400"/>
      <c r="G40" s="395">
        <v>710</v>
      </c>
      <c r="H40" s="395">
        <v>955</v>
      </c>
      <c r="I40" s="192" t="s">
        <v>619</v>
      </c>
      <c r="J40" s="39" t="s">
        <v>620</v>
      </c>
      <c r="K40" s="396"/>
      <c r="L40" s="395">
        <v>710</v>
      </c>
      <c r="M40" s="395">
        <v>955</v>
      </c>
      <c r="N40" s="192" t="s">
        <v>619</v>
      </c>
      <c r="O40" s="39" t="s">
        <v>620</v>
      </c>
      <c r="P40" s="396"/>
      <c r="Q40" s="395">
        <v>710</v>
      </c>
      <c r="R40" s="395">
        <v>955</v>
      </c>
      <c r="S40" s="192" t="s">
        <v>619</v>
      </c>
      <c r="T40" s="39" t="s">
        <v>620</v>
      </c>
      <c r="U40" s="99"/>
    </row>
    <row r="41" spans="1:79" s="12" customFormat="1" ht="11.25" customHeight="1">
      <c r="B41" s="192" t="s">
        <v>658</v>
      </c>
      <c r="C41" s="192"/>
      <c r="D41" s="192" t="s">
        <v>659</v>
      </c>
      <c r="E41" s="192" t="s">
        <v>66</v>
      </c>
      <c r="F41" s="400"/>
      <c r="G41" s="395">
        <v>490</v>
      </c>
      <c r="H41" s="395">
        <v>725</v>
      </c>
      <c r="I41" s="192" t="s">
        <v>619</v>
      </c>
      <c r="J41" s="39" t="s">
        <v>620</v>
      </c>
      <c r="K41" s="396"/>
      <c r="L41" s="395">
        <v>490</v>
      </c>
      <c r="M41" s="395">
        <v>725</v>
      </c>
      <c r="N41" s="192" t="s">
        <v>619</v>
      </c>
      <c r="O41" s="39" t="s">
        <v>620</v>
      </c>
      <c r="P41" s="396"/>
      <c r="Q41" s="395">
        <v>490</v>
      </c>
      <c r="R41" s="395">
        <v>725</v>
      </c>
      <c r="S41" s="192" t="s">
        <v>619</v>
      </c>
      <c r="T41" s="39" t="s">
        <v>620</v>
      </c>
      <c r="U41" s="99"/>
    </row>
    <row r="42" spans="1:79" s="12" customFormat="1" ht="11.25" customHeight="1">
      <c r="B42" s="192" t="s">
        <v>660</v>
      </c>
      <c r="C42" s="192"/>
      <c r="D42" s="192" t="s">
        <v>654</v>
      </c>
      <c r="E42" s="192" t="s">
        <v>618</v>
      </c>
      <c r="F42" s="400"/>
      <c r="G42" s="395">
        <v>420</v>
      </c>
      <c r="H42" s="395">
        <v>690</v>
      </c>
      <c r="I42" s="192" t="s">
        <v>619</v>
      </c>
      <c r="J42" s="39" t="s">
        <v>620</v>
      </c>
      <c r="K42" s="396"/>
      <c r="L42" s="395">
        <v>420</v>
      </c>
      <c r="M42" s="395">
        <v>690</v>
      </c>
      <c r="N42" s="192" t="s">
        <v>619</v>
      </c>
      <c r="O42" s="39" t="s">
        <v>620</v>
      </c>
      <c r="P42" s="396"/>
      <c r="Q42" s="395">
        <v>420</v>
      </c>
      <c r="R42" s="395">
        <v>690</v>
      </c>
      <c r="S42" s="192" t="s">
        <v>619</v>
      </c>
      <c r="T42" s="39" t="s">
        <v>620</v>
      </c>
      <c r="U42" s="99"/>
    </row>
    <row r="43" spans="1:79" s="29" customFormat="1">
      <c r="A43" s="398"/>
      <c r="B43" s="192" t="s">
        <v>661</v>
      </c>
      <c r="C43" s="192"/>
      <c r="D43" s="192" t="s">
        <v>625</v>
      </c>
      <c r="E43" s="192" t="s">
        <v>66</v>
      </c>
      <c r="F43" s="400"/>
      <c r="G43" s="395">
        <v>390</v>
      </c>
      <c r="H43" s="395">
        <v>470</v>
      </c>
      <c r="I43" s="192" t="s">
        <v>619</v>
      </c>
      <c r="J43" s="39" t="s">
        <v>620</v>
      </c>
      <c r="K43" s="396"/>
      <c r="L43" s="395">
        <v>390</v>
      </c>
      <c r="M43" s="395">
        <v>470</v>
      </c>
      <c r="N43" s="192" t="s">
        <v>619</v>
      </c>
      <c r="O43" s="39" t="s">
        <v>620</v>
      </c>
      <c r="P43" s="396"/>
      <c r="Q43" s="395">
        <v>390</v>
      </c>
      <c r="R43" s="395">
        <v>470</v>
      </c>
      <c r="S43" s="192" t="s">
        <v>619</v>
      </c>
      <c r="T43" s="39" t="s">
        <v>620</v>
      </c>
      <c r="U43" s="184"/>
      <c r="V43" s="399"/>
      <c r="W43" s="399"/>
      <c r="X43" s="399"/>
      <c r="Y43" s="399"/>
      <c r="Z43" s="399"/>
      <c r="AA43" s="399"/>
      <c r="AB43" s="399"/>
      <c r="AC43" s="399"/>
      <c r="AD43" s="399"/>
      <c r="AE43" s="399"/>
      <c r="AF43" s="399"/>
      <c r="AG43" s="399"/>
      <c r="AH43" s="399"/>
      <c r="AI43" s="399"/>
      <c r="AJ43" s="399"/>
      <c r="AK43" s="399"/>
      <c r="AL43" s="399"/>
      <c r="AM43" s="399"/>
      <c r="AN43" s="399"/>
      <c r="AO43" s="399"/>
      <c r="AP43" s="399"/>
      <c r="AQ43" s="399"/>
      <c r="AR43" s="399"/>
      <c r="AS43" s="399"/>
      <c r="AT43" s="399"/>
      <c r="AU43" s="399"/>
      <c r="AV43" s="399"/>
      <c r="AW43" s="399"/>
      <c r="AX43" s="399"/>
      <c r="AY43" s="399"/>
      <c r="AZ43" s="399"/>
      <c r="BA43" s="399"/>
      <c r="BB43" s="399"/>
      <c r="BC43" s="399"/>
      <c r="BD43" s="399"/>
      <c r="BE43" s="399"/>
      <c r="BF43" s="399"/>
      <c r="BG43" s="399"/>
      <c r="BH43" s="399"/>
      <c r="BI43" s="399"/>
      <c r="BJ43" s="399"/>
      <c r="BK43" s="399"/>
      <c r="BL43" s="399"/>
      <c r="BM43" s="399"/>
      <c r="BN43" s="399"/>
      <c r="BO43" s="399"/>
      <c r="BP43" s="399"/>
      <c r="BQ43" s="399"/>
      <c r="BR43" s="399"/>
      <c r="BS43" s="399"/>
      <c r="BT43" s="399"/>
      <c r="BU43" s="399"/>
      <c r="BV43" s="399"/>
      <c r="BW43" s="399"/>
      <c r="BX43" s="399"/>
      <c r="BY43" s="399"/>
      <c r="BZ43" s="399"/>
      <c r="CA43" s="399"/>
    </row>
    <row r="44" spans="1:79" s="12" customFormat="1">
      <c r="B44" s="39"/>
      <c r="C44" s="39"/>
      <c r="D44" s="39"/>
      <c r="E44" s="39"/>
      <c r="F44" s="394"/>
      <c r="G44" s="39"/>
      <c r="H44" s="39"/>
      <c r="I44" s="39"/>
      <c r="J44" s="39"/>
      <c r="K44" s="396"/>
      <c r="L44" s="39"/>
      <c r="M44" s="39"/>
      <c r="N44" s="39"/>
      <c r="O44" s="39"/>
      <c r="P44" s="397"/>
      <c r="Q44" s="39"/>
      <c r="R44" s="39"/>
      <c r="S44" s="39"/>
      <c r="T44" s="39"/>
      <c r="U44" s="99"/>
    </row>
    <row r="45" spans="1:79" s="12" customFormat="1" ht="11.25" customHeight="1">
      <c r="B45" s="39"/>
      <c r="C45" s="39"/>
      <c r="D45" s="39"/>
      <c r="E45" s="39"/>
      <c r="F45" s="394"/>
      <c r="G45" s="39"/>
      <c r="H45" s="39"/>
      <c r="I45" s="39"/>
      <c r="J45" s="39"/>
      <c r="K45" s="396"/>
      <c r="L45" s="39"/>
      <c r="M45" s="39"/>
      <c r="N45" s="39"/>
      <c r="O45" s="39"/>
      <c r="P45" s="397"/>
      <c r="Q45" s="39"/>
      <c r="R45" s="39"/>
      <c r="S45" s="39"/>
      <c r="T45" s="39"/>
      <c r="U45" s="99"/>
    </row>
    <row r="46" spans="1:79" s="12" customFormat="1" ht="12.75" customHeight="1">
      <c r="A46" s="2"/>
      <c r="B46" s="483" t="s">
        <v>662</v>
      </c>
      <c r="C46" s="94"/>
      <c r="D46" s="483" t="s">
        <v>50</v>
      </c>
      <c r="E46" s="483" t="s">
        <v>51</v>
      </c>
      <c r="F46" s="16"/>
      <c r="G46" s="483" t="s">
        <v>663</v>
      </c>
      <c r="H46" s="483"/>
      <c r="I46" s="483"/>
      <c r="J46" s="483"/>
      <c r="K46" s="25"/>
      <c r="L46" s="483" t="s">
        <v>53</v>
      </c>
      <c r="M46" s="483"/>
      <c r="N46" s="483"/>
      <c r="O46" s="483"/>
      <c r="P46" s="25"/>
      <c r="Q46" s="483" t="s">
        <v>54</v>
      </c>
      <c r="R46" s="483"/>
      <c r="S46" s="483"/>
      <c r="T46" s="483"/>
      <c r="U46" s="25"/>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row>
    <row r="47" spans="1:79" s="95" customFormat="1" ht="12.75">
      <c r="A47" s="2"/>
      <c r="B47" s="483"/>
      <c r="C47" s="94"/>
      <c r="D47" s="483"/>
      <c r="E47" s="483"/>
      <c r="F47" s="16"/>
      <c r="G47" s="94" t="s">
        <v>297</v>
      </c>
      <c r="H47" s="94" t="s">
        <v>298</v>
      </c>
      <c r="I47" s="94" t="s">
        <v>615</v>
      </c>
      <c r="J47" s="94" t="s">
        <v>444</v>
      </c>
      <c r="K47" s="25"/>
      <c r="L47" s="94" t="s">
        <v>297</v>
      </c>
      <c r="M47" s="94" t="s">
        <v>298</v>
      </c>
      <c r="N47" s="94" t="s">
        <v>615</v>
      </c>
      <c r="O47" s="94" t="s">
        <v>444</v>
      </c>
      <c r="P47" s="25"/>
      <c r="Q47" s="94" t="s">
        <v>297</v>
      </c>
      <c r="R47" s="94" t="s">
        <v>298</v>
      </c>
      <c r="S47" s="94" t="s">
        <v>615</v>
      </c>
      <c r="T47" s="94" t="s">
        <v>444</v>
      </c>
      <c r="U47" s="25"/>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row>
    <row r="48" spans="1:79" s="12" customFormat="1">
      <c r="B48" s="39" t="s">
        <v>664</v>
      </c>
      <c r="C48" s="39"/>
      <c r="D48" s="39" t="s">
        <v>665</v>
      </c>
      <c r="E48" s="39" t="s">
        <v>666</v>
      </c>
      <c r="F48" s="394"/>
      <c r="G48" s="395">
        <v>935</v>
      </c>
      <c r="H48" s="395">
        <v>890</v>
      </c>
      <c r="I48" s="192" t="s">
        <v>619</v>
      </c>
      <c r="J48" s="192" t="s">
        <v>620</v>
      </c>
      <c r="K48" s="396"/>
      <c r="L48" s="395">
        <v>935</v>
      </c>
      <c r="M48" s="395">
        <v>890</v>
      </c>
      <c r="N48" s="192" t="s">
        <v>619</v>
      </c>
      <c r="O48" s="192" t="s">
        <v>620</v>
      </c>
      <c r="P48" s="397"/>
      <c r="Q48" s="395">
        <v>435</v>
      </c>
      <c r="R48" s="395">
        <v>690</v>
      </c>
      <c r="S48" s="39" t="s">
        <v>619</v>
      </c>
      <c r="T48" s="192" t="s">
        <v>620</v>
      </c>
      <c r="U48" s="99"/>
    </row>
    <row r="49" spans="1:79" s="12" customFormat="1">
      <c r="A49" s="2"/>
      <c r="B49" s="39" t="s">
        <v>667</v>
      </c>
      <c r="C49" s="39"/>
      <c r="D49" s="39" t="s">
        <v>668</v>
      </c>
      <c r="E49" s="39" t="s">
        <v>666</v>
      </c>
      <c r="F49" s="394"/>
      <c r="G49" s="575" t="s">
        <v>362</v>
      </c>
      <c r="H49" s="575"/>
      <c r="I49" s="192" t="s">
        <v>619</v>
      </c>
      <c r="J49" s="192" t="s">
        <v>620</v>
      </c>
      <c r="K49" s="396"/>
      <c r="L49" s="395">
        <v>685</v>
      </c>
      <c r="M49" s="395">
        <v>640</v>
      </c>
      <c r="N49" s="192" t="s">
        <v>619</v>
      </c>
      <c r="O49" s="192" t="s">
        <v>620</v>
      </c>
      <c r="P49" s="397"/>
      <c r="Q49" s="395">
        <v>285</v>
      </c>
      <c r="R49" s="395">
        <v>360</v>
      </c>
      <c r="S49" s="39" t="s">
        <v>623</v>
      </c>
      <c r="T49" s="192" t="s">
        <v>620</v>
      </c>
      <c r="U49" s="99"/>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row>
    <row r="50" spans="1:79" s="12" customFormat="1" ht="11.25" customHeight="1">
      <c r="A50" s="2"/>
      <c r="B50" s="39" t="s">
        <v>669</v>
      </c>
      <c r="C50" s="39"/>
      <c r="D50" s="39" t="s">
        <v>670</v>
      </c>
      <c r="E50" s="39" t="s">
        <v>666</v>
      </c>
      <c r="F50" s="394"/>
      <c r="G50" s="575" t="s">
        <v>362</v>
      </c>
      <c r="H50" s="575"/>
      <c r="I50" s="192" t="s">
        <v>619</v>
      </c>
      <c r="J50" s="192" t="s">
        <v>620</v>
      </c>
      <c r="K50" s="396"/>
      <c r="L50" s="395">
        <v>1535</v>
      </c>
      <c r="M50" s="395">
        <v>1640</v>
      </c>
      <c r="N50" s="192" t="s">
        <v>619</v>
      </c>
      <c r="O50" s="192" t="s">
        <v>620</v>
      </c>
      <c r="P50" s="397"/>
      <c r="Q50" s="395">
        <v>1235</v>
      </c>
      <c r="R50" s="395">
        <v>1340</v>
      </c>
      <c r="S50" s="39" t="s">
        <v>619</v>
      </c>
      <c r="T50" s="192" t="s">
        <v>620</v>
      </c>
      <c r="U50" s="99"/>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row>
    <row r="51" spans="1:79" s="12" customFormat="1">
      <c r="A51" s="2"/>
      <c r="B51" s="39" t="s">
        <v>671</v>
      </c>
      <c r="C51" s="39"/>
      <c r="D51" s="39" t="s">
        <v>665</v>
      </c>
      <c r="E51" s="39" t="s">
        <v>666</v>
      </c>
      <c r="F51" s="394"/>
      <c r="G51" s="395">
        <v>935</v>
      </c>
      <c r="H51" s="395">
        <v>890</v>
      </c>
      <c r="I51" s="192" t="s">
        <v>619</v>
      </c>
      <c r="J51" s="192" t="s">
        <v>620</v>
      </c>
      <c r="K51" s="396"/>
      <c r="L51" s="395">
        <v>935</v>
      </c>
      <c r="M51" s="395">
        <v>890</v>
      </c>
      <c r="N51" s="192" t="s">
        <v>619</v>
      </c>
      <c r="O51" s="192" t="s">
        <v>620</v>
      </c>
      <c r="P51" s="397"/>
      <c r="Q51" s="395">
        <v>435</v>
      </c>
      <c r="R51" s="395">
        <v>690</v>
      </c>
      <c r="S51" s="39" t="s">
        <v>619</v>
      </c>
      <c r="T51" s="192" t="s">
        <v>620</v>
      </c>
      <c r="U51" s="99"/>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row>
    <row r="52" spans="1:79" s="12" customFormat="1" ht="22.5">
      <c r="A52" s="2"/>
      <c r="B52" s="39" t="s">
        <v>672</v>
      </c>
      <c r="C52" s="39"/>
      <c r="D52" s="39" t="s">
        <v>673</v>
      </c>
      <c r="E52" s="39" t="s">
        <v>666</v>
      </c>
      <c r="F52" s="394"/>
      <c r="G52" s="395">
        <v>1585</v>
      </c>
      <c r="H52" s="395">
        <v>1740</v>
      </c>
      <c r="I52" s="192" t="s">
        <v>619</v>
      </c>
      <c r="J52" s="192" t="s">
        <v>620</v>
      </c>
      <c r="K52" s="396"/>
      <c r="L52" s="395">
        <v>1585</v>
      </c>
      <c r="M52" s="395">
        <v>1740</v>
      </c>
      <c r="N52" s="192" t="s">
        <v>619</v>
      </c>
      <c r="O52" s="192" t="s">
        <v>620</v>
      </c>
      <c r="P52" s="397"/>
      <c r="Q52" s="395">
        <v>1185</v>
      </c>
      <c r="R52" s="395">
        <v>1590</v>
      </c>
      <c r="S52" s="39" t="s">
        <v>619</v>
      </c>
      <c r="T52" s="192" t="s">
        <v>620</v>
      </c>
      <c r="U52" s="99"/>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row>
    <row r="53" spans="1:79" s="12" customFormat="1" ht="22.5">
      <c r="A53" s="2"/>
      <c r="B53" s="39" t="s">
        <v>674</v>
      </c>
      <c r="C53" s="39"/>
      <c r="D53" s="39" t="s">
        <v>673</v>
      </c>
      <c r="E53" s="39" t="s">
        <v>666</v>
      </c>
      <c r="F53" s="394"/>
      <c r="G53" s="395">
        <v>1085</v>
      </c>
      <c r="H53" s="395">
        <v>1140</v>
      </c>
      <c r="I53" s="192" t="s">
        <v>619</v>
      </c>
      <c r="J53" s="192" t="s">
        <v>620</v>
      </c>
      <c r="K53" s="396"/>
      <c r="L53" s="395">
        <v>1085</v>
      </c>
      <c r="M53" s="395">
        <v>1140</v>
      </c>
      <c r="N53" s="192" t="s">
        <v>619</v>
      </c>
      <c r="O53" s="192" t="s">
        <v>620</v>
      </c>
      <c r="P53" s="397"/>
      <c r="Q53" s="395">
        <v>685</v>
      </c>
      <c r="R53" s="395">
        <v>840</v>
      </c>
      <c r="S53" s="39" t="s">
        <v>619</v>
      </c>
      <c r="T53" s="192" t="s">
        <v>620</v>
      </c>
      <c r="U53" s="99"/>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row>
    <row r="54" spans="1:79" s="12" customFormat="1">
      <c r="A54" s="2"/>
      <c r="B54" s="39" t="s">
        <v>675</v>
      </c>
      <c r="C54" s="39"/>
      <c r="D54" s="39" t="s">
        <v>676</v>
      </c>
      <c r="E54" s="39" t="s">
        <v>666</v>
      </c>
      <c r="F54" s="394"/>
      <c r="G54" s="395">
        <v>835</v>
      </c>
      <c r="H54" s="395">
        <v>765</v>
      </c>
      <c r="I54" s="192" t="s">
        <v>619</v>
      </c>
      <c r="J54" s="192" t="s">
        <v>620</v>
      </c>
      <c r="K54" s="396"/>
      <c r="L54" s="395">
        <v>835</v>
      </c>
      <c r="M54" s="395">
        <v>765</v>
      </c>
      <c r="N54" s="192" t="s">
        <v>619</v>
      </c>
      <c r="O54" s="192" t="s">
        <v>620</v>
      </c>
      <c r="P54" s="397"/>
      <c r="Q54" s="395">
        <v>460</v>
      </c>
      <c r="R54" s="395">
        <v>465</v>
      </c>
      <c r="S54" s="39" t="s">
        <v>623</v>
      </c>
      <c r="T54" s="192" t="s">
        <v>620</v>
      </c>
      <c r="U54" s="99"/>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row>
    <row r="55" spans="1:79" s="12" customFormat="1">
      <c r="A55" s="2"/>
      <c r="B55" s="39" t="s">
        <v>677</v>
      </c>
      <c r="C55" s="39"/>
      <c r="D55" s="39" t="s">
        <v>665</v>
      </c>
      <c r="E55" s="39" t="s">
        <v>666</v>
      </c>
      <c r="F55" s="394"/>
      <c r="G55" s="395">
        <v>985</v>
      </c>
      <c r="H55" s="395">
        <v>990</v>
      </c>
      <c r="I55" s="192" t="s">
        <v>619</v>
      </c>
      <c r="J55" s="192" t="s">
        <v>620</v>
      </c>
      <c r="K55" s="396"/>
      <c r="L55" s="395">
        <v>985</v>
      </c>
      <c r="M55" s="395">
        <v>990</v>
      </c>
      <c r="N55" s="192" t="s">
        <v>619</v>
      </c>
      <c r="O55" s="192" t="s">
        <v>620</v>
      </c>
      <c r="P55" s="397"/>
      <c r="Q55" s="395">
        <v>685</v>
      </c>
      <c r="R55" s="395">
        <v>690</v>
      </c>
      <c r="S55" s="39" t="s">
        <v>619</v>
      </c>
      <c r="T55" s="192" t="s">
        <v>620</v>
      </c>
      <c r="U55" s="99"/>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row>
    <row r="56" spans="1:79" s="12" customFormat="1" ht="11.25" customHeight="1">
      <c r="A56" s="2"/>
      <c r="B56" s="39" t="s">
        <v>678</v>
      </c>
      <c r="C56" s="39"/>
      <c r="D56" s="39" t="s">
        <v>670</v>
      </c>
      <c r="E56" s="39" t="s">
        <v>666</v>
      </c>
      <c r="F56" s="394"/>
      <c r="G56" s="575" t="s">
        <v>362</v>
      </c>
      <c r="H56" s="575"/>
      <c r="I56" s="192" t="s">
        <v>619</v>
      </c>
      <c r="J56" s="192" t="s">
        <v>620</v>
      </c>
      <c r="K56" s="396"/>
      <c r="L56" s="395">
        <v>1135</v>
      </c>
      <c r="M56" s="395">
        <v>1090</v>
      </c>
      <c r="N56" s="192" t="s">
        <v>619</v>
      </c>
      <c r="O56" s="192" t="s">
        <v>620</v>
      </c>
      <c r="P56" s="397"/>
      <c r="Q56" s="395">
        <v>785</v>
      </c>
      <c r="R56" s="395">
        <v>790</v>
      </c>
      <c r="S56" s="39" t="s">
        <v>619</v>
      </c>
      <c r="T56" s="192" t="s">
        <v>620</v>
      </c>
      <c r="U56" s="99"/>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row>
    <row r="57" spans="1:79" s="12" customFormat="1">
      <c r="A57" s="2"/>
      <c r="B57" s="39" t="s">
        <v>679</v>
      </c>
      <c r="C57" s="39"/>
      <c r="D57" s="39" t="s">
        <v>680</v>
      </c>
      <c r="E57" s="39" t="s">
        <v>666</v>
      </c>
      <c r="F57" s="394"/>
      <c r="G57" s="395">
        <v>985</v>
      </c>
      <c r="H57" s="395">
        <v>1090</v>
      </c>
      <c r="I57" s="192" t="s">
        <v>619</v>
      </c>
      <c r="J57" s="192" t="s">
        <v>620</v>
      </c>
      <c r="K57" s="396"/>
      <c r="L57" s="395">
        <v>985</v>
      </c>
      <c r="M57" s="395">
        <v>1090</v>
      </c>
      <c r="N57" s="192" t="s">
        <v>619</v>
      </c>
      <c r="O57" s="192" t="s">
        <v>620</v>
      </c>
      <c r="P57" s="397"/>
      <c r="Q57" s="395">
        <v>635</v>
      </c>
      <c r="R57" s="395">
        <v>890</v>
      </c>
      <c r="S57" s="39" t="s">
        <v>619</v>
      </c>
      <c r="T57" s="192" t="s">
        <v>620</v>
      </c>
      <c r="U57" s="99"/>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row>
    <row r="58" spans="1:79" s="12" customFormat="1">
      <c r="A58" s="2"/>
      <c r="B58" s="39" t="s">
        <v>681</v>
      </c>
      <c r="C58" s="39"/>
      <c r="D58" s="39" t="s">
        <v>682</v>
      </c>
      <c r="E58" s="39" t="s">
        <v>666</v>
      </c>
      <c r="F58" s="394"/>
      <c r="G58" s="395">
        <v>935</v>
      </c>
      <c r="H58" s="395">
        <v>890</v>
      </c>
      <c r="I58" s="192" t="s">
        <v>619</v>
      </c>
      <c r="J58" s="192" t="s">
        <v>620</v>
      </c>
      <c r="K58" s="396"/>
      <c r="L58" s="395">
        <v>935</v>
      </c>
      <c r="M58" s="395">
        <v>890</v>
      </c>
      <c r="N58" s="192" t="s">
        <v>619</v>
      </c>
      <c r="O58" s="192" t="s">
        <v>620</v>
      </c>
      <c r="P58" s="397"/>
      <c r="Q58" s="395">
        <v>535</v>
      </c>
      <c r="R58" s="395">
        <v>690</v>
      </c>
      <c r="S58" s="39" t="s">
        <v>619</v>
      </c>
      <c r="T58" s="192" t="s">
        <v>620</v>
      </c>
      <c r="U58" s="99"/>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row>
    <row r="59" spans="1:79" s="12" customFormat="1">
      <c r="A59" s="2"/>
      <c r="B59" s="39" t="s">
        <v>683</v>
      </c>
      <c r="C59" s="39"/>
      <c r="D59" s="39" t="s">
        <v>684</v>
      </c>
      <c r="E59" s="39" t="s">
        <v>666</v>
      </c>
      <c r="F59" s="394"/>
      <c r="G59" s="395">
        <v>685</v>
      </c>
      <c r="H59" s="395">
        <v>640</v>
      </c>
      <c r="I59" s="192" t="s">
        <v>619</v>
      </c>
      <c r="J59" s="192" t="s">
        <v>620</v>
      </c>
      <c r="K59" s="396"/>
      <c r="L59" s="395">
        <v>685</v>
      </c>
      <c r="M59" s="395">
        <v>640</v>
      </c>
      <c r="N59" s="192" t="s">
        <v>619</v>
      </c>
      <c r="O59" s="192" t="s">
        <v>620</v>
      </c>
      <c r="P59" s="397"/>
      <c r="Q59" s="395">
        <v>285</v>
      </c>
      <c r="R59" s="395">
        <v>360</v>
      </c>
      <c r="S59" s="39" t="s">
        <v>623</v>
      </c>
      <c r="T59" s="192" t="s">
        <v>620</v>
      </c>
      <c r="U59" s="99"/>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row>
    <row r="60" spans="1:79" s="12" customFormat="1">
      <c r="A60" s="2"/>
      <c r="B60" s="39" t="s">
        <v>685</v>
      </c>
      <c r="C60" s="39"/>
      <c r="D60" s="39" t="s">
        <v>686</v>
      </c>
      <c r="E60" s="39" t="s">
        <v>666</v>
      </c>
      <c r="F60" s="394"/>
      <c r="G60" s="395">
        <v>885</v>
      </c>
      <c r="H60" s="395">
        <v>940</v>
      </c>
      <c r="I60" s="192" t="s">
        <v>619</v>
      </c>
      <c r="J60" s="192" t="s">
        <v>620</v>
      </c>
      <c r="K60" s="396"/>
      <c r="L60" s="395">
        <v>885</v>
      </c>
      <c r="M60" s="395">
        <v>940</v>
      </c>
      <c r="N60" s="192" t="s">
        <v>619</v>
      </c>
      <c r="O60" s="192" t="s">
        <v>620</v>
      </c>
      <c r="P60" s="397"/>
      <c r="Q60" s="395">
        <v>585</v>
      </c>
      <c r="R60" s="395">
        <v>740</v>
      </c>
      <c r="S60" s="39" t="s">
        <v>619</v>
      </c>
      <c r="T60" s="192" t="s">
        <v>620</v>
      </c>
      <c r="U60" s="99"/>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row>
    <row r="61" spans="1:79" s="12" customFormat="1">
      <c r="A61" s="2"/>
      <c r="B61" s="39" t="s">
        <v>687</v>
      </c>
      <c r="C61" s="39"/>
      <c r="D61" s="39" t="s">
        <v>688</v>
      </c>
      <c r="E61" s="39" t="s">
        <v>666</v>
      </c>
      <c r="F61" s="394"/>
      <c r="G61" s="395">
        <v>885</v>
      </c>
      <c r="H61" s="395">
        <v>890</v>
      </c>
      <c r="I61" s="192" t="s">
        <v>619</v>
      </c>
      <c r="J61" s="192" t="s">
        <v>620</v>
      </c>
      <c r="K61" s="396"/>
      <c r="L61" s="395">
        <v>885</v>
      </c>
      <c r="M61" s="395">
        <v>890</v>
      </c>
      <c r="N61" s="192" t="s">
        <v>619</v>
      </c>
      <c r="O61" s="192" t="s">
        <v>620</v>
      </c>
      <c r="P61" s="397"/>
      <c r="Q61" s="395">
        <v>585</v>
      </c>
      <c r="R61" s="395">
        <v>690</v>
      </c>
      <c r="S61" s="39" t="s">
        <v>619</v>
      </c>
      <c r="T61" s="192" t="s">
        <v>620</v>
      </c>
      <c r="U61" s="99"/>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row>
    <row r="62" spans="1:79" s="12" customFormat="1" ht="11.25" customHeight="1">
      <c r="A62" s="2"/>
      <c r="B62" s="39" t="s">
        <v>689</v>
      </c>
      <c r="C62" s="39"/>
      <c r="D62" s="39" t="s">
        <v>686</v>
      </c>
      <c r="E62" s="39" t="s">
        <v>666</v>
      </c>
      <c r="F62" s="394"/>
      <c r="G62" s="575" t="s">
        <v>362</v>
      </c>
      <c r="H62" s="575"/>
      <c r="I62" s="192" t="s">
        <v>619</v>
      </c>
      <c r="J62" s="192" t="s">
        <v>620</v>
      </c>
      <c r="K62" s="396"/>
      <c r="L62" s="395">
        <v>885</v>
      </c>
      <c r="M62" s="395">
        <v>940</v>
      </c>
      <c r="N62" s="192" t="s">
        <v>619</v>
      </c>
      <c r="O62" s="192" t="s">
        <v>620</v>
      </c>
      <c r="P62" s="397"/>
      <c r="Q62" s="395">
        <v>585</v>
      </c>
      <c r="R62" s="395">
        <v>740</v>
      </c>
      <c r="S62" s="39" t="s">
        <v>619</v>
      </c>
      <c r="T62" s="192" t="s">
        <v>620</v>
      </c>
      <c r="U62" s="99"/>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row>
    <row r="63" spans="1:79" s="12" customFormat="1" ht="11.25" customHeight="1">
      <c r="A63" s="2"/>
      <c r="B63" s="39" t="s">
        <v>690</v>
      </c>
      <c r="C63" s="39"/>
      <c r="D63" s="39" t="s">
        <v>670</v>
      </c>
      <c r="E63" s="39" t="s">
        <v>666</v>
      </c>
      <c r="F63" s="394"/>
      <c r="G63" s="575" t="s">
        <v>362</v>
      </c>
      <c r="H63" s="575"/>
      <c r="I63" s="192" t="s">
        <v>619</v>
      </c>
      <c r="J63" s="192" t="s">
        <v>620</v>
      </c>
      <c r="K63" s="396"/>
      <c r="L63" s="395">
        <v>1235</v>
      </c>
      <c r="M63" s="395">
        <v>1240</v>
      </c>
      <c r="N63" s="192" t="s">
        <v>619</v>
      </c>
      <c r="O63" s="192" t="s">
        <v>620</v>
      </c>
      <c r="P63" s="397"/>
      <c r="Q63" s="395">
        <v>935</v>
      </c>
      <c r="R63" s="395">
        <v>940</v>
      </c>
      <c r="S63" s="39" t="s">
        <v>619</v>
      </c>
      <c r="T63" s="192" t="s">
        <v>620</v>
      </c>
      <c r="U63" s="99"/>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row>
    <row r="64" spans="1:79" s="12" customFormat="1" ht="11.25" customHeight="1">
      <c r="A64" s="2"/>
      <c r="B64" s="39" t="s">
        <v>691</v>
      </c>
      <c r="C64" s="39"/>
      <c r="D64" s="39" t="s">
        <v>670</v>
      </c>
      <c r="E64" s="39" t="s">
        <v>666</v>
      </c>
      <c r="F64" s="394"/>
      <c r="G64" s="575" t="s">
        <v>362</v>
      </c>
      <c r="H64" s="575"/>
      <c r="I64" s="192" t="s">
        <v>619</v>
      </c>
      <c r="J64" s="192" t="s">
        <v>620</v>
      </c>
      <c r="K64" s="396"/>
      <c r="L64" s="395">
        <v>885</v>
      </c>
      <c r="M64" s="395">
        <v>940</v>
      </c>
      <c r="N64" s="192" t="s">
        <v>619</v>
      </c>
      <c r="O64" s="192" t="s">
        <v>620</v>
      </c>
      <c r="P64" s="397"/>
      <c r="Q64" s="395">
        <v>585</v>
      </c>
      <c r="R64" s="395">
        <v>740</v>
      </c>
      <c r="S64" s="39" t="s">
        <v>619</v>
      </c>
      <c r="T64" s="192" t="s">
        <v>620</v>
      </c>
      <c r="U64" s="99"/>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row>
    <row r="65" spans="1:79" s="12" customFormat="1">
      <c r="B65" s="39" t="s">
        <v>692</v>
      </c>
      <c r="C65" s="39"/>
      <c r="D65" s="39" t="s">
        <v>693</v>
      </c>
      <c r="E65" s="39" t="s">
        <v>666</v>
      </c>
      <c r="F65" s="394"/>
      <c r="G65" s="395">
        <v>885</v>
      </c>
      <c r="H65" s="395">
        <v>940</v>
      </c>
      <c r="I65" s="192" t="s">
        <v>619</v>
      </c>
      <c r="J65" s="192" t="s">
        <v>620</v>
      </c>
      <c r="K65" s="396"/>
      <c r="L65" s="395">
        <v>885</v>
      </c>
      <c r="M65" s="395">
        <v>940</v>
      </c>
      <c r="N65" s="192" t="s">
        <v>619</v>
      </c>
      <c r="O65" s="192" t="s">
        <v>620</v>
      </c>
      <c r="P65" s="397"/>
      <c r="Q65" s="395">
        <v>585</v>
      </c>
      <c r="R65" s="395">
        <v>740</v>
      </c>
      <c r="S65" s="39" t="s">
        <v>619</v>
      </c>
      <c r="T65" s="192" t="s">
        <v>620</v>
      </c>
      <c r="U65" s="99"/>
      <c r="CA65" s="3"/>
    </row>
    <row r="66" spans="1:79" s="12" customFormat="1">
      <c r="B66" s="39" t="s">
        <v>694</v>
      </c>
      <c r="C66" s="39"/>
      <c r="D66" s="39" t="s">
        <v>695</v>
      </c>
      <c r="E66" s="39" t="s">
        <v>666</v>
      </c>
      <c r="F66" s="394"/>
      <c r="G66" s="395">
        <v>685</v>
      </c>
      <c r="H66" s="395">
        <v>640</v>
      </c>
      <c r="I66" s="192" t="s">
        <v>619</v>
      </c>
      <c r="J66" s="192" t="s">
        <v>620</v>
      </c>
      <c r="K66" s="396"/>
      <c r="L66" s="395">
        <v>685</v>
      </c>
      <c r="M66" s="395">
        <v>640</v>
      </c>
      <c r="N66" s="192" t="s">
        <v>619</v>
      </c>
      <c r="O66" s="192" t="s">
        <v>620</v>
      </c>
      <c r="P66" s="397"/>
      <c r="Q66" s="395">
        <v>285</v>
      </c>
      <c r="R66" s="395">
        <v>360</v>
      </c>
      <c r="S66" s="39" t="s">
        <v>623</v>
      </c>
      <c r="T66" s="192" t="s">
        <v>620</v>
      </c>
      <c r="U66" s="99"/>
      <c r="CA66" s="3"/>
    </row>
    <row r="67" spans="1:79" s="12" customFormat="1">
      <c r="B67" s="39" t="s">
        <v>696</v>
      </c>
      <c r="C67" s="39"/>
      <c r="D67" s="39" t="s">
        <v>682</v>
      </c>
      <c r="E67" s="39" t="s">
        <v>666</v>
      </c>
      <c r="F67" s="394"/>
      <c r="G67" s="395">
        <v>1135</v>
      </c>
      <c r="H67" s="395">
        <v>1065</v>
      </c>
      <c r="I67" s="192" t="s">
        <v>619</v>
      </c>
      <c r="J67" s="192" t="s">
        <v>620</v>
      </c>
      <c r="K67" s="396"/>
      <c r="L67" s="395">
        <v>1135</v>
      </c>
      <c r="M67" s="395">
        <v>1065</v>
      </c>
      <c r="N67" s="192" t="s">
        <v>619</v>
      </c>
      <c r="O67" s="192" t="s">
        <v>620</v>
      </c>
      <c r="P67" s="397"/>
      <c r="Q67" s="395">
        <v>760</v>
      </c>
      <c r="R67" s="395">
        <v>840</v>
      </c>
      <c r="S67" s="39" t="s">
        <v>619</v>
      </c>
      <c r="T67" s="192" t="s">
        <v>620</v>
      </c>
      <c r="U67" s="99"/>
      <c r="CA67" s="3"/>
    </row>
    <row r="68" spans="1:79" s="12" customFormat="1">
      <c r="B68" s="39" t="s">
        <v>697</v>
      </c>
      <c r="C68" s="39"/>
      <c r="D68" s="39" t="s">
        <v>698</v>
      </c>
      <c r="E68" s="39" t="s">
        <v>666</v>
      </c>
      <c r="F68" s="394"/>
      <c r="G68" s="395">
        <v>885</v>
      </c>
      <c r="H68" s="395">
        <v>940</v>
      </c>
      <c r="I68" s="192" t="s">
        <v>619</v>
      </c>
      <c r="J68" s="192" t="s">
        <v>620</v>
      </c>
      <c r="K68" s="396"/>
      <c r="L68" s="395">
        <v>885</v>
      </c>
      <c r="M68" s="395">
        <v>940</v>
      </c>
      <c r="N68" s="192" t="s">
        <v>619</v>
      </c>
      <c r="O68" s="192" t="s">
        <v>620</v>
      </c>
      <c r="P68" s="397"/>
      <c r="Q68" s="395">
        <v>585</v>
      </c>
      <c r="R68" s="395">
        <v>740</v>
      </c>
      <c r="S68" s="39" t="s">
        <v>619</v>
      </c>
      <c r="T68" s="192" t="s">
        <v>620</v>
      </c>
      <c r="U68" s="99"/>
      <c r="CA68" s="3"/>
    </row>
    <row r="69" spans="1:79" s="12" customFormat="1" ht="11.25" customHeight="1">
      <c r="B69" s="39" t="s">
        <v>699</v>
      </c>
      <c r="C69" s="39"/>
      <c r="D69" s="39" t="s">
        <v>670</v>
      </c>
      <c r="E69" s="39" t="s">
        <v>666</v>
      </c>
      <c r="F69" s="394"/>
      <c r="G69" s="575" t="s">
        <v>362</v>
      </c>
      <c r="H69" s="575"/>
      <c r="I69" s="192" t="s">
        <v>619</v>
      </c>
      <c r="J69" s="192" t="s">
        <v>620</v>
      </c>
      <c r="K69" s="396"/>
      <c r="L69" s="395">
        <v>1535</v>
      </c>
      <c r="M69" s="395">
        <v>1640</v>
      </c>
      <c r="N69" s="192" t="s">
        <v>619</v>
      </c>
      <c r="O69" s="192" t="s">
        <v>620</v>
      </c>
      <c r="P69" s="397"/>
      <c r="Q69" s="395">
        <v>1235</v>
      </c>
      <c r="R69" s="395">
        <v>1340</v>
      </c>
      <c r="S69" s="39" t="s">
        <v>619</v>
      </c>
      <c r="T69" s="192" t="s">
        <v>620</v>
      </c>
      <c r="U69" s="99"/>
      <c r="CA69" s="3"/>
    </row>
    <row r="70" spans="1:79" s="12" customFormat="1">
      <c r="B70" s="39"/>
      <c r="C70" s="39"/>
      <c r="D70" s="39"/>
      <c r="E70" s="39"/>
      <c r="F70" s="394"/>
      <c r="G70" s="39"/>
      <c r="H70" s="39"/>
      <c r="I70" s="39"/>
      <c r="J70" s="39"/>
      <c r="K70" s="396"/>
      <c r="L70" s="39"/>
      <c r="M70" s="39"/>
      <c r="N70" s="39"/>
      <c r="O70" s="39"/>
      <c r="P70" s="397"/>
      <c r="Q70" s="39"/>
      <c r="R70" s="39"/>
      <c r="S70" s="39"/>
      <c r="T70" s="39"/>
      <c r="U70" s="99"/>
      <c r="CA70" s="3"/>
    </row>
    <row r="71" spans="1:79" s="12" customFormat="1">
      <c r="B71" s="274"/>
      <c r="C71" s="274"/>
      <c r="D71" s="274"/>
      <c r="E71" s="274"/>
      <c r="F71" s="95"/>
      <c r="G71" s="274"/>
      <c r="H71" s="274"/>
      <c r="I71" s="274"/>
      <c r="J71" s="274"/>
      <c r="K71" s="274"/>
      <c r="L71" s="274"/>
      <c r="M71" s="274"/>
      <c r="N71" s="274"/>
      <c r="O71" s="274"/>
      <c r="P71" s="274"/>
      <c r="Q71" s="274"/>
      <c r="R71" s="274"/>
      <c r="S71" s="274"/>
      <c r="T71" s="274"/>
      <c r="U71" s="274"/>
      <c r="CA71" s="3"/>
    </row>
    <row r="72" spans="1:79" s="401" customFormat="1" ht="15.75" customHeight="1">
      <c r="A72" s="2"/>
      <c r="B72" s="578" t="s">
        <v>700</v>
      </c>
      <c r="C72" s="579"/>
      <c r="D72" s="579"/>
      <c r="E72" s="579"/>
      <c r="F72" s="579"/>
      <c r="G72" s="579"/>
      <c r="H72" s="579"/>
      <c r="I72" s="579"/>
      <c r="J72" s="579"/>
      <c r="K72" s="579"/>
      <c r="L72" s="579"/>
      <c r="M72" s="579"/>
      <c r="N72" s="579"/>
      <c r="O72" s="579"/>
      <c r="P72" s="274"/>
      <c r="Q72" s="274"/>
      <c r="R72" s="274"/>
      <c r="S72" s="274"/>
      <c r="T72" s="274"/>
      <c r="U72" s="274"/>
      <c r="V72" s="274"/>
      <c r="W72" s="274"/>
      <c r="X72" s="274"/>
      <c r="Y72" s="274"/>
      <c r="Z72" s="274"/>
      <c r="AA72" s="274"/>
      <c r="AB72" s="274"/>
      <c r="AC72" s="274"/>
      <c r="AD72" s="274"/>
      <c r="AE72" s="274"/>
      <c r="AF72" s="274"/>
      <c r="AG72" s="274"/>
      <c r="AH72" s="274"/>
      <c r="AI72" s="274"/>
      <c r="AJ72" s="274"/>
      <c r="AK72" s="274"/>
      <c r="AL72" s="274"/>
      <c r="AM72" s="274"/>
      <c r="AN72" s="274"/>
      <c r="AO72" s="274"/>
      <c r="AP72" s="274"/>
      <c r="AQ72" s="274"/>
      <c r="AR72" s="274"/>
      <c r="AS72" s="274"/>
      <c r="AT72" s="274"/>
      <c r="AU72" s="274"/>
      <c r="AV72" s="274"/>
      <c r="AW72" s="274"/>
      <c r="AX72" s="274"/>
      <c r="AY72" s="274"/>
      <c r="AZ72" s="274"/>
      <c r="BA72" s="274"/>
      <c r="BB72" s="274"/>
      <c r="BC72" s="274"/>
      <c r="BD72" s="274"/>
      <c r="BE72" s="274"/>
      <c r="BF72" s="274"/>
      <c r="BG72" s="274"/>
      <c r="BH72" s="274"/>
      <c r="BI72" s="274"/>
      <c r="BJ72" s="274"/>
      <c r="BK72" s="274"/>
      <c r="BL72" s="274"/>
      <c r="BM72" s="274"/>
      <c r="BN72" s="274"/>
      <c r="BO72" s="274"/>
      <c r="BP72" s="274"/>
      <c r="BQ72" s="274"/>
      <c r="BR72" s="274"/>
      <c r="BS72" s="274"/>
      <c r="BT72" s="274"/>
      <c r="BU72" s="274"/>
      <c r="BV72" s="274"/>
      <c r="BW72" s="274"/>
      <c r="BX72" s="274"/>
      <c r="BY72" s="274"/>
      <c r="BZ72" s="274"/>
      <c r="CA72" s="3"/>
    </row>
    <row r="73" spans="1:79" ht="15">
      <c r="B73" s="402" t="s">
        <v>581</v>
      </c>
      <c r="E73" s="16"/>
    </row>
    <row r="74" spans="1:79" ht="15">
      <c r="B74" s="402" t="s">
        <v>701</v>
      </c>
      <c r="E74" s="16"/>
    </row>
    <row r="75" spans="1:79" ht="15">
      <c r="B75" s="402"/>
      <c r="E75" s="16"/>
    </row>
    <row r="76" spans="1:79" s="401" customFormat="1" ht="15.75" customHeight="1">
      <c r="A76" s="2"/>
      <c r="B76" s="578" t="s">
        <v>348</v>
      </c>
      <c r="C76" s="579"/>
      <c r="D76" s="579"/>
      <c r="E76" s="579"/>
      <c r="F76" s="579"/>
      <c r="G76" s="579"/>
      <c r="H76" s="579"/>
      <c r="I76" s="579"/>
      <c r="J76" s="579"/>
      <c r="K76" s="579"/>
      <c r="L76" s="579"/>
      <c r="M76" s="579"/>
      <c r="N76" s="579"/>
      <c r="O76" s="579"/>
      <c r="P76" s="274"/>
      <c r="Q76" s="274"/>
      <c r="R76" s="274"/>
      <c r="S76" s="274"/>
      <c r="T76" s="274"/>
      <c r="U76" s="274"/>
      <c r="V76" s="274"/>
      <c r="W76" s="274"/>
      <c r="X76" s="274"/>
      <c r="Y76" s="274"/>
      <c r="Z76" s="274"/>
      <c r="AA76" s="274"/>
      <c r="AB76" s="274"/>
      <c r="AC76" s="274"/>
      <c r="AD76" s="274"/>
      <c r="AE76" s="274"/>
      <c r="AF76" s="274"/>
      <c r="AG76" s="274"/>
      <c r="AH76" s="274"/>
      <c r="AI76" s="274"/>
      <c r="AJ76" s="274"/>
      <c r="AK76" s="274"/>
      <c r="AL76" s="274"/>
      <c r="AM76" s="274"/>
      <c r="AN76" s="274"/>
      <c r="AO76" s="274"/>
      <c r="AP76" s="274"/>
      <c r="AQ76" s="274"/>
      <c r="AR76" s="274"/>
      <c r="AS76" s="274"/>
      <c r="AT76" s="274"/>
      <c r="AU76" s="274"/>
      <c r="AV76" s="274"/>
      <c r="AW76" s="274"/>
      <c r="AX76" s="274"/>
      <c r="AY76" s="274"/>
      <c r="AZ76" s="274"/>
      <c r="BA76" s="274"/>
      <c r="BB76" s="274"/>
      <c r="BC76" s="274"/>
      <c r="BD76" s="274"/>
      <c r="BE76" s="274"/>
      <c r="BF76" s="274"/>
      <c r="BG76" s="274"/>
      <c r="BH76" s="274"/>
      <c r="BI76" s="274"/>
      <c r="BJ76" s="274"/>
      <c r="BK76" s="274"/>
      <c r="BL76" s="274"/>
      <c r="BM76" s="274"/>
      <c r="BN76" s="274"/>
      <c r="CA76" s="3"/>
    </row>
    <row r="77" spans="1:79" ht="12">
      <c r="B77" s="110"/>
      <c r="E77" s="16"/>
      <c r="I77" s="2"/>
      <c r="J77" s="2"/>
      <c r="K77" s="2"/>
      <c r="L77" s="274"/>
      <c r="M77" s="274"/>
      <c r="N77" s="274"/>
      <c r="O77" s="274"/>
      <c r="P77" s="274"/>
      <c r="Q77" s="274"/>
      <c r="R77" s="274"/>
      <c r="S77" s="274"/>
      <c r="T77" s="274"/>
      <c r="U77" s="274"/>
      <c r="V77" s="274"/>
      <c r="W77" s="274"/>
      <c r="X77" s="274"/>
      <c r="Y77" s="274"/>
      <c r="Z77" s="274"/>
      <c r="AA77" s="274"/>
      <c r="AB77" s="274"/>
      <c r="AC77" s="274"/>
      <c r="AD77" s="274"/>
      <c r="AE77" s="274"/>
      <c r="AF77" s="274"/>
      <c r="AG77" s="274"/>
      <c r="AH77" s="274"/>
      <c r="AI77" s="274"/>
      <c r="AJ77" s="274"/>
      <c r="AK77" s="274"/>
      <c r="AL77" s="274"/>
      <c r="AM77" s="274"/>
      <c r="AN77" s="274"/>
      <c r="AO77" s="274"/>
      <c r="AP77" s="274"/>
      <c r="AQ77" s="274"/>
      <c r="AR77" s="274"/>
      <c r="AS77" s="274"/>
      <c r="AT77" s="274"/>
      <c r="AU77" s="274"/>
      <c r="AV77" s="274"/>
      <c r="AW77" s="274"/>
      <c r="AX77" s="274"/>
      <c r="AY77" s="274"/>
      <c r="AZ77" s="274"/>
      <c r="BA77" s="274"/>
      <c r="BB77" s="274"/>
      <c r="BC77" s="274"/>
      <c r="BD77" s="274"/>
      <c r="BE77" s="274"/>
      <c r="BF77" s="274"/>
      <c r="BG77" s="274"/>
      <c r="BH77" s="274"/>
      <c r="BI77" s="274"/>
      <c r="BJ77" s="274"/>
      <c r="BK77" s="274"/>
      <c r="BL77" s="274"/>
      <c r="BM77" s="274"/>
      <c r="BN77" s="274"/>
    </row>
    <row r="78" spans="1:79" s="401" customFormat="1" ht="15.75" customHeight="1">
      <c r="A78" s="2"/>
      <c r="B78" s="578" t="s">
        <v>702</v>
      </c>
      <c r="C78" s="579"/>
      <c r="D78" s="579"/>
      <c r="E78" s="579"/>
      <c r="F78" s="579"/>
      <c r="G78" s="579"/>
      <c r="H78" s="579"/>
      <c r="I78" s="579"/>
      <c r="J78" s="579"/>
      <c r="K78" s="579"/>
      <c r="L78" s="579"/>
      <c r="M78" s="579"/>
      <c r="N78" s="579"/>
      <c r="O78" s="579"/>
      <c r="P78" s="274"/>
      <c r="Q78" s="274"/>
      <c r="R78" s="274"/>
      <c r="S78" s="274"/>
      <c r="T78" s="274"/>
      <c r="U78" s="274"/>
      <c r="V78" s="274"/>
      <c r="W78" s="274"/>
      <c r="X78" s="274"/>
      <c r="Y78" s="274"/>
      <c r="Z78" s="274"/>
      <c r="AA78" s="274"/>
      <c r="AB78" s="274"/>
      <c r="AC78" s="274"/>
      <c r="AD78" s="274"/>
      <c r="AE78" s="274"/>
      <c r="AF78" s="274"/>
      <c r="AG78" s="274"/>
      <c r="AH78" s="274"/>
      <c r="AI78" s="274"/>
      <c r="AJ78" s="274"/>
      <c r="AK78" s="274"/>
      <c r="AL78" s="274"/>
      <c r="AM78" s="274"/>
      <c r="AN78" s="274"/>
      <c r="AO78" s="274"/>
      <c r="AP78" s="274"/>
      <c r="AQ78" s="274"/>
      <c r="AR78" s="274"/>
      <c r="AS78" s="274"/>
      <c r="AT78" s="274"/>
      <c r="AU78" s="274"/>
      <c r="AV78" s="274"/>
      <c r="AW78" s="274"/>
      <c r="AX78" s="274"/>
      <c r="AY78" s="274"/>
      <c r="AZ78" s="274"/>
      <c r="BA78" s="274"/>
      <c r="BB78" s="274"/>
      <c r="BC78" s="274"/>
      <c r="BD78" s="274"/>
      <c r="BE78" s="274"/>
      <c r="BF78" s="274"/>
      <c r="BG78" s="274"/>
      <c r="BH78" s="274"/>
      <c r="BI78" s="274"/>
      <c r="BJ78" s="274"/>
      <c r="BK78" s="274"/>
      <c r="BL78" s="274"/>
      <c r="BM78" s="274"/>
      <c r="BN78" s="274"/>
      <c r="CA78" s="3"/>
    </row>
    <row r="79" spans="1:79" ht="12">
      <c r="B79" s="110"/>
      <c r="E79" s="16"/>
      <c r="I79" s="2"/>
      <c r="J79" s="2"/>
      <c r="K79" s="2"/>
      <c r="L79" s="2"/>
      <c r="M79" s="2"/>
      <c r="N79" s="2"/>
      <c r="O79" s="2"/>
      <c r="P79" s="2"/>
      <c r="Q79" s="2"/>
      <c r="R79" s="2"/>
      <c r="S79" s="2"/>
      <c r="T79" s="2"/>
      <c r="U79" s="2"/>
    </row>
    <row r="80" spans="1:79" ht="15">
      <c r="B80" s="118"/>
      <c r="E80" s="16"/>
    </row>
    <row r="81" spans="2:15" ht="15">
      <c r="B81" s="403" t="s">
        <v>703</v>
      </c>
      <c r="C81" s="404"/>
      <c r="D81" s="404"/>
      <c r="E81" s="404"/>
      <c r="F81" s="404"/>
    </row>
    <row r="82" spans="2:15" ht="15">
      <c r="B82" s="403" t="s">
        <v>704</v>
      </c>
      <c r="C82" s="404"/>
      <c r="D82" s="404"/>
      <c r="E82" s="404"/>
      <c r="F82" s="404"/>
    </row>
    <row r="83" spans="2:15" ht="15">
      <c r="B83" s="403" t="s">
        <v>705</v>
      </c>
      <c r="C83" s="404"/>
      <c r="D83" s="404"/>
      <c r="E83" s="404"/>
      <c r="F83" s="404"/>
    </row>
    <row r="84" spans="2:15" ht="15">
      <c r="B84" s="403" t="s">
        <v>706</v>
      </c>
      <c r="C84" s="404"/>
      <c r="D84" s="404"/>
      <c r="E84" s="404"/>
      <c r="F84" s="404"/>
    </row>
    <row r="85" spans="2:15" ht="15">
      <c r="B85" s="403" t="s">
        <v>707</v>
      </c>
      <c r="C85" s="404"/>
      <c r="D85" s="404"/>
      <c r="E85" s="404"/>
      <c r="F85" s="404"/>
      <c r="G85" s="405"/>
      <c r="H85" s="405"/>
    </row>
    <row r="86" spans="2:15" ht="15">
      <c r="B86" s="403" t="s">
        <v>708</v>
      </c>
      <c r="C86" s="404"/>
      <c r="D86" s="404"/>
      <c r="E86" s="404"/>
      <c r="F86" s="404"/>
      <c r="G86" s="405"/>
      <c r="H86" s="405"/>
    </row>
    <row r="87" spans="2:15" ht="12">
      <c r="B87" s="406"/>
    </row>
    <row r="88" spans="2:15" ht="12">
      <c r="B88" s="406"/>
    </row>
    <row r="89" spans="2:15" ht="15.75">
      <c r="B89" s="580" t="s">
        <v>709</v>
      </c>
      <c r="C89" s="579"/>
      <c r="D89" s="579"/>
      <c r="E89" s="579"/>
      <c r="F89" s="579"/>
      <c r="G89" s="579"/>
      <c r="H89" s="579"/>
      <c r="I89" s="579"/>
      <c r="J89" s="579"/>
      <c r="K89" s="579"/>
      <c r="L89" s="579"/>
      <c r="M89" s="579"/>
      <c r="N89" s="579"/>
      <c r="O89" s="579"/>
    </row>
    <row r="90" spans="2:15" ht="12">
      <c r="B90" s="406"/>
    </row>
    <row r="91" spans="2:15" ht="15">
      <c r="B91" s="407" t="s">
        <v>710</v>
      </c>
      <c r="C91" s="408" t="s">
        <v>711</v>
      </c>
      <c r="D91" s="408"/>
      <c r="E91" s="408"/>
      <c r="F91" s="408"/>
      <c r="G91" s="408"/>
      <c r="H91" s="408"/>
      <c r="I91" s="408"/>
      <c r="J91" s="408"/>
      <c r="K91" s="408"/>
      <c r="L91" s="408"/>
      <c r="M91" s="408"/>
      <c r="N91" s="408"/>
      <c r="O91" s="408"/>
    </row>
    <row r="92" spans="2:15" ht="15">
      <c r="B92" s="407" t="s">
        <v>712</v>
      </c>
      <c r="C92" s="408" t="s">
        <v>713</v>
      </c>
      <c r="D92" s="408"/>
      <c r="E92" s="408"/>
      <c r="F92" s="408"/>
      <c r="G92" s="408"/>
      <c r="H92" s="408"/>
      <c r="I92" s="408"/>
      <c r="J92" s="408"/>
      <c r="K92" s="408"/>
      <c r="L92" s="408"/>
      <c r="M92" s="408"/>
      <c r="N92" s="408"/>
      <c r="O92" s="408"/>
    </row>
    <row r="93" spans="2:15" ht="15">
      <c r="B93" s="407" t="s">
        <v>714</v>
      </c>
      <c r="C93" s="408" t="s">
        <v>715</v>
      </c>
      <c r="D93" s="408"/>
      <c r="E93" s="408"/>
      <c r="F93" s="408"/>
      <c r="G93" s="408"/>
      <c r="H93" s="408"/>
      <c r="I93" s="408"/>
      <c r="J93" s="408"/>
      <c r="K93" s="408"/>
      <c r="L93" s="408"/>
      <c r="M93" s="408"/>
      <c r="N93" s="408"/>
      <c r="O93" s="408"/>
    </row>
    <row r="94" spans="2:15" ht="15">
      <c r="B94" s="407" t="s">
        <v>478</v>
      </c>
      <c r="C94" s="408" t="s">
        <v>716</v>
      </c>
      <c r="D94" s="408"/>
      <c r="E94" s="408"/>
      <c r="F94" s="408"/>
      <c r="G94" s="408"/>
      <c r="H94" s="408"/>
      <c r="I94" s="408"/>
      <c r="J94" s="408"/>
      <c r="K94" s="408"/>
      <c r="L94" s="408"/>
      <c r="M94" s="408"/>
      <c r="N94" s="408"/>
      <c r="O94" s="408"/>
    </row>
    <row r="95" spans="2:15" ht="15">
      <c r="B95" s="407" t="s">
        <v>478</v>
      </c>
      <c r="C95" s="408" t="s">
        <v>717</v>
      </c>
      <c r="D95" s="408"/>
      <c r="E95" s="408"/>
      <c r="F95" s="408"/>
      <c r="G95" s="408"/>
      <c r="H95" s="408"/>
      <c r="I95" s="408"/>
      <c r="J95" s="408"/>
      <c r="K95" s="408"/>
      <c r="L95" s="408"/>
      <c r="M95" s="408"/>
      <c r="N95" s="408"/>
      <c r="O95" s="408"/>
    </row>
    <row r="96" spans="2:15" ht="15">
      <c r="B96" s="407" t="s">
        <v>718</v>
      </c>
      <c r="C96" s="408" t="s">
        <v>719</v>
      </c>
      <c r="D96" s="408"/>
      <c r="E96" s="408"/>
      <c r="F96" s="408"/>
      <c r="G96" s="408"/>
      <c r="H96" s="408"/>
      <c r="I96" s="408"/>
      <c r="J96" s="408"/>
      <c r="K96" s="408"/>
      <c r="L96" s="408"/>
      <c r="M96" s="408"/>
      <c r="N96" s="408"/>
      <c r="O96" s="408"/>
    </row>
    <row r="97" spans="2:17" ht="15">
      <c r="B97" s="407" t="s">
        <v>720</v>
      </c>
      <c r="C97" s="408" t="s">
        <v>721</v>
      </c>
      <c r="D97" s="408"/>
      <c r="E97" s="408"/>
      <c r="F97" s="408"/>
      <c r="G97" s="408"/>
      <c r="H97" s="408"/>
      <c r="I97" s="408"/>
      <c r="J97" s="408"/>
      <c r="K97" s="408"/>
      <c r="L97" s="408"/>
      <c r="M97" s="408"/>
      <c r="N97" s="408"/>
      <c r="O97" s="408"/>
    </row>
    <row r="98" spans="2:17" ht="15">
      <c r="B98" s="407" t="s">
        <v>722</v>
      </c>
      <c r="C98" s="408" t="s">
        <v>723</v>
      </c>
      <c r="D98" s="408"/>
      <c r="E98" s="408"/>
      <c r="F98" s="408"/>
      <c r="G98" s="408"/>
      <c r="H98" s="408"/>
      <c r="I98" s="408"/>
      <c r="J98" s="408"/>
      <c r="K98" s="408"/>
      <c r="L98" s="408"/>
      <c r="M98" s="408"/>
      <c r="N98" s="408"/>
      <c r="O98" s="408"/>
    </row>
    <row r="99" spans="2:17" ht="15">
      <c r="B99" s="407" t="s">
        <v>724</v>
      </c>
      <c r="C99" s="408" t="s">
        <v>725</v>
      </c>
      <c r="D99" s="408"/>
      <c r="E99" s="408"/>
      <c r="F99" s="408"/>
      <c r="G99" s="408"/>
      <c r="H99" s="408"/>
      <c r="I99" s="408"/>
      <c r="J99" s="408"/>
      <c r="K99" s="408"/>
      <c r="L99" s="408"/>
      <c r="M99" s="408"/>
      <c r="N99" s="408"/>
      <c r="O99" s="408"/>
    </row>
    <row r="100" spans="2:17" ht="15">
      <c r="B100" s="407" t="s">
        <v>726</v>
      </c>
      <c r="C100" s="408" t="s">
        <v>727</v>
      </c>
      <c r="D100" s="408"/>
      <c r="E100" s="408"/>
      <c r="F100" s="408"/>
      <c r="G100" s="408"/>
      <c r="H100" s="408"/>
      <c r="I100" s="408"/>
      <c r="J100" s="408"/>
      <c r="K100" s="408"/>
      <c r="L100" s="408"/>
      <c r="M100" s="408"/>
      <c r="N100" s="408"/>
      <c r="O100" s="408"/>
    </row>
    <row r="101" spans="2:17" ht="15">
      <c r="B101" s="407" t="s">
        <v>728</v>
      </c>
      <c r="C101" s="408" t="s">
        <v>729</v>
      </c>
      <c r="D101" s="408"/>
      <c r="E101" s="408"/>
      <c r="F101" s="408"/>
      <c r="G101" s="408"/>
      <c r="H101" s="408"/>
      <c r="I101" s="408"/>
      <c r="J101" s="408"/>
      <c r="K101" s="408"/>
      <c r="L101" s="408"/>
      <c r="M101" s="408"/>
      <c r="N101" s="408"/>
      <c r="O101" s="408"/>
    </row>
    <row r="102" spans="2:17" ht="15">
      <c r="B102" s="407" t="s">
        <v>730</v>
      </c>
      <c r="C102" s="408" t="s">
        <v>731</v>
      </c>
      <c r="D102" s="408"/>
      <c r="E102" s="408"/>
      <c r="F102" s="408"/>
      <c r="G102" s="408"/>
      <c r="H102" s="408"/>
      <c r="I102" s="408"/>
      <c r="J102" s="408"/>
      <c r="K102" s="408"/>
      <c r="L102" s="408"/>
      <c r="M102" s="408"/>
      <c r="N102" s="408"/>
      <c r="O102" s="408"/>
    </row>
    <row r="103" spans="2:17" ht="15">
      <c r="B103" s="407" t="s">
        <v>496</v>
      </c>
      <c r="C103" s="408" t="s">
        <v>732</v>
      </c>
      <c r="D103" s="408"/>
      <c r="E103" s="408"/>
      <c r="F103" s="408"/>
      <c r="G103" s="408"/>
      <c r="H103" s="408"/>
      <c r="I103" s="408"/>
      <c r="J103" s="408"/>
      <c r="K103" s="408"/>
      <c r="L103" s="408"/>
      <c r="M103" s="408"/>
      <c r="N103" s="408"/>
      <c r="O103" s="408"/>
    </row>
    <row r="104" spans="2:17" ht="12">
      <c r="B104" s="406"/>
    </row>
    <row r="105" spans="2:17" ht="15.75">
      <c r="B105" s="580" t="s">
        <v>733</v>
      </c>
      <c r="C105" s="579"/>
      <c r="D105" s="579"/>
      <c r="E105" s="579"/>
      <c r="F105" s="579"/>
      <c r="G105" s="579"/>
      <c r="H105" s="579"/>
      <c r="I105" s="579"/>
      <c r="J105" s="579"/>
      <c r="K105" s="579"/>
      <c r="L105" s="579"/>
      <c r="M105" s="579"/>
      <c r="N105" s="579"/>
      <c r="O105" s="579"/>
    </row>
    <row r="106" spans="2:17">
      <c r="B106" s="6"/>
      <c r="C106" s="24"/>
      <c r="D106" s="24"/>
      <c r="E106" s="24"/>
      <c r="F106" s="24"/>
      <c r="G106" s="24"/>
      <c r="H106" s="24"/>
      <c r="I106" s="93"/>
    </row>
    <row r="107" spans="2:17" ht="15">
      <c r="B107" s="409" t="s">
        <v>734</v>
      </c>
      <c r="C107" s="410"/>
      <c r="D107" s="411"/>
      <c r="E107" s="412"/>
      <c r="F107" s="413"/>
      <c r="G107" s="413"/>
      <c r="H107" s="413"/>
      <c r="I107" s="413"/>
      <c r="J107" s="414"/>
      <c r="K107" s="414"/>
      <c r="L107" s="414"/>
      <c r="M107" s="414"/>
      <c r="N107" s="414"/>
      <c r="O107" s="414"/>
      <c r="P107" s="414"/>
      <c r="Q107" s="414"/>
    </row>
    <row r="108" spans="2:17" ht="15">
      <c r="B108" s="409" t="s">
        <v>735</v>
      </c>
      <c r="C108" s="410"/>
      <c r="D108" s="411"/>
      <c r="E108" s="412"/>
      <c r="F108" s="413"/>
      <c r="G108" s="413"/>
      <c r="H108" s="413"/>
      <c r="I108" s="413"/>
      <c r="J108" s="414"/>
      <c r="K108" s="414"/>
      <c r="L108" s="414"/>
      <c r="M108" s="414"/>
      <c r="N108" s="414"/>
      <c r="O108" s="414"/>
      <c r="P108" s="414"/>
      <c r="Q108" s="414"/>
    </row>
    <row r="109" spans="2:17" ht="15">
      <c r="B109" s="409" t="s">
        <v>736</v>
      </c>
      <c r="C109" s="410"/>
      <c r="D109" s="411"/>
      <c r="E109" s="412"/>
      <c r="F109" s="413"/>
      <c r="G109" s="413"/>
      <c r="H109" s="413"/>
      <c r="I109" s="413"/>
      <c r="J109" s="414"/>
      <c r="K109" s="414"/>
      <c r="L109" s="414"/>
      <c r="M109" s="414"/>
      <c r="N109" s="414"/>
      <c r="O109" s="414"/>
      <c r="P109" s="414"/>
      <c r="Q109" s="414"/>
    </row>
    <row r="110" spans="2:17" ht="15">
      <c r="B110" s="409" t="s">
        <v>737</v>
      </c>
      <c r="C110" s="410"/>
      <c r="D110" s="411"/>
      <c r="E110" s="412"/>
      <c r="F110" s="413"/>
      <c r="G110" s="413"/>
      <c r="H110" s="413"/>
      <c r="I110" s="413"/>
      <c r="J110" s="414"/>
      <c r="K110" s="414"/>
      <c r="L110" s="414"/>
      <c r="M110" s="414"/>
      <c r="N110" s="414"/>
      <c r="O110" s="414"/>
      <c r="P110" s="414"/>
      <c r="Q110" s="414"/>
    </row>
    <row r="111" spans="2:17" ht="15">
      <c r="B111" s="415" t="s">
        <v>738</v>
      </c>
      <c r="C111" s="416"/>
      <c r="D111" s="417"/>
      <c r="E111" s="418"/>
      <c r="F111" s="419"/>
      <c r="G111" s="419"/>
      <c r="H111" s="419"/>
      <c r="I111" s="419"/>
      <c r="J111" s="420"/>
      <c r="K111" s="414"/>
      <c r="L111" s="414"/>
      <c r="M111" s="414"/>
      <c r="N111" s="414"/>
      <c r="O111" s="414"/>
      <c r="P111" s="414"/>
      <c r="Q111" s="414"/>
    </row>
    <row r="112" spans="2:17" ht="15">
      <c r="B112" s="415" t="s">
        <v>739</v>
      </c>
      <c r="C112" s="416"/>
      <c r="D112" s="417"/>
      <c r="E112" s="418"/>
      <c r="F112" s="419"/>
      <c r="G112" s="419"/>
      <c r="H112" s="419"/>
      <c r="I112" s="419"/>
      <c r="J112" s="420"/>
      <c r="K112" s="414"/>
      <c r="L112" s="414"/>
      <c r="M112" s="414"/>
      <c r="N112" s="414"/>
      <c r="O112" s="414"/>
      <c r="P112" s="414"/>
      <c r="Q112" s="414"/>
    </row>
    <row r="113" spans="2:17" ht="15">
      <c r="B113" s="409" t="s">
        <v>740</v>
      </c>
      <c r="C113" s="410"/>
      <c r="D113" s="411"/>
      <c r="E113" s="412"/>
      <c r="F113" s="413"/>
      <c r="G113" s="413"/>
      <c r="H113" s="413"/>
      <c r="I113" s="413"/>
      <c r="J113" s="414"/>
      <c r="K113" s="414"/>
      <c r="L113" s="414"/>
      <c r="M113" s="414"/>
      <c r="N113" s="414"/>
      <c r="O113" s="414"/>
      <c r="P113" s="414"/>
      <c r="Q113" s="414"/>
    </row>
    <row r="114" spans="2:17" ht="15">
      <c r="B114" s="409" t="s">
        <v>741</v>
      </c>
      <c r="C114" s="410"/>
      <c r="D114" s="411"/>
      <c r="E114" s="412"/>
      <c r="F114" s="413"/>
      <c r="G114" s="413"/>
      <c r="H114" s="413"/>
      <c r="I114" s="413"/>
      <c r="J114" s="414"/>
      <c r="K114" s="414"/>
      <c r="L114" s="414"/>
      <c r="M114" s="414"/>
      <c r="N114" s="414"/>
      <c r="O114" s="414"/>
      <c r="P114" s="414"/>
      <c r="Q114" s="414"/>
    </row>
    <row r="115" spans="2:17" ht="15">
      <c r="B115" s="472" t="s">
        <v>742</v>
      </c>
      <c r="C115" s="473"/>
      <c r="D115" s="474"/>
      <c r="E115" s="412"/>
      <c r="F115" s="413"/>
      <c r="G115" s="413"/>
      <c r="H115" s="413"/>
      <c r="I115" s="413"/>
      <c r="J115" s="414"/>
      <c r="K115" s="414"/>
      <c r="L115" s="414"/>
      <c r="M115" s="414"/>
      <c r="N115" s="414"/>
      <c r="O115" s="414"/>
      <c r="P115" s="414"/>
      <c r="Q115" s="414"/>
    </row>
    <row r="116" spans="2:17" ht="15">
      <c r="B116" s="409"/>
      <c r="C116" s="410"/>
      <c r="D116" s="411"/>
      <c r="E116" s="412"/>
      <c r="F116" s="413"/>
      <c r="G116" s="413"/>
      <c r="H116" s="413"/>
      <c r="I116" s="413"/>
      <c r="J116" s="414"/>
      <c r="K116" s="414"/>
      <c r="L116" s="414"/>
      <c r="M116" s="414"/>
      <c r="N116" s="414"/>
      <c r="O116" s="414"/>
      <c r="P116" s="414"/>
      <c r="Q116" s="414"/>
    </row>
    <row r="117" spans="2:17" ht="15">
      <c r="B117" s="409"/>
      <c r="C117" s="410"/>
      <c r="D117" s="411"/>
      <c r="E117" s="412"/>
      <c r="F117" s="413"/>
      <c r="G117" s="413"/>
      <c r="H117" s="413"/>
      <c r="I117" s="413"/>
      <c r="J117" s="414"/>
      <c r="K117" s="414"/>
      <c r="L117" s="414"/>
      <c r="M117" s="414"/>
      <c r="N117" s="414"/>
      <c r="O117" s="414"/>
      <c r="P117" s="414"/>
      <c r="Q117" s="414"/>
    </row>
    <row r="118" spans="2:17" ht="15">
      <c r="B118" s="409"/>
      <c r="C118" s="410"/>
      <c r="D118" s="411"/>
      <c r="E118" s="412"/>
      <c r="F118" s="413"/>
      <c r="G118" s="413"/>
      <c r="H118" s="413"/>
      <c r="I118" s="413"/>
      <c r="J118" s="414"/>
      <c r="K118" s="414"/>
      <c r="L118" s="414"/>
      <c r="M118" s="414"/>
      <c r="N118" s="414"/>
      <c r="O118" s="414"/>
      <c r="P118" s="414"/>
      <c r="Q118" s="414"/>
    </row>
    <row r="119" spans="2:17" ht="15">
      <c r="B119" s="409"/>
      <c r="C119" s="410"/>
      <c r="D119" s="411"/>
      <c r="E119" s="412"/>
      <c r="F119" s="413"/>
      <c r="G119" s="413"/>
      <c r="H119" s="413"/>
      <c r="I119" s="413"/>
      <c r="J119" s="414"/>
      <c r="K119" s="414"/>
      <c r="L119" s="414"/>
      <c r="M119" s="414"/>
      <c r="N119" s="414"/>
      <c r="O119" s="414"/>
      <c r="P119" s="414"/>
      <c r="Q119" s="414"/>
    </row>
    <row r="120" spans="2:17" ht="15">
      <c r="B120" s="409"/>
      <c r="C120" s="410"/>
      <c r="D120" s="411"/>
      <c r="E120" s="412"/>
      <c r="F120" s="413"/>
      <c r="G120" s="413"/>
      <c r="H120" s="413"/>
      <c r="I120" s="413"/>
      <c r="J120" s="414"/>
      <c r="K120" s="414"/>
      <c r="L120" s="414"/>
      <c r="M120" s="414"/>
      <c r="N120" s="414"/>
      <c r="O120" s="414"/>
      <c r="P120" s="414"/>
      <c r="Q120" s="414"/>
    </row>
    <row r="121" spans="2:17" ht="15">
      <c r="B121" s="409"/>
      <c r="C121" s="410"/>
      <c r="D121" s="411"/>
      <c r="E121" s="412"/>
      <c r="F121" s="413"/>
      <c r="G121" s="413"/>
      <c r="H121" s="413"/>
      <c r="I121" s="413"/>
      <c r="J121" s="414"/>
      <c r="K121" s="414"/>
      <c r="L121" s="414"/>
      <c r="M121" s="414"/>
      <c r="N121" s="414"/>
      <c r="O121" s="414"/>
      <c r="P121" s="414"/>
      <c r="Q121" s="414"/>
    </row>
    <row r="122" spans="2:17" ht="15">
      <c r="B122" s="409"/>
      <c r="C122" s="410"/>
      <c r="D122" s="411"/>
      <c r="E122" s="412"/>
      <c r="F122" s="413"/>
      <c r="G122" s="413"/>
      <c r="H122" s="413"/>
      <c r="I122" s="413"/>
      <c r="J122" s="414"/>
      <c r="K122" s="414"/>
      <c r="L122" s="414"/>
      <c r="M122" s="414"/>
      <c r="N122" s="414"/>
      <c r="O122" s="414"/>
      <c r="P122" s="414"/>
      <c r="Q122" s="414"/>
    </row>
    <row r="123" spans="2:17" ht="15">
      <c r="B123" s="20"/>
      <c r="C123" s="20"/>
      <c r="D123" s="20"/>
      <c r="E123" s="20"/>
      <c r="F123" s="20"/>
      <c r="G123" s="20"/>
      <c r="H123" s="72"/>
      <c r="I123" s="17"/>
    </row>
    <row r="124" spans="2:17" ht="15.75">
      <c r="B124" s="576" t="s">
        <v>228</v>
      </c>
      <c r="C124" s="577"/>
      <c r="D124" s="577"/>
      <c r="E124" s="577"/>
      <c r="F124" s="577"/>
      <c r="G124" s="577"/>
      <c r="H124" s="577"/>
      <c r="I124" s="577"/>
      <c r="J124" s="577"/>
      <c r="K124" s="577"/>
      <c r="L124" s="577"/>
      <c r="M124" s="577"/>
      <c r="N124" s="577"/>
      <c r="O124" s="577"/>
    </row>
    <row r="125" spans="2:17" ht="15">
      <c r="B125" s="421" t="s">
        <v>516</v>
      </c>
      <c r="C125" s="422"/>
      <c r="D125" s="423"/>
      <c r="E125" s="423"/>
      <c r="F125" s="424"/>
      <c r="G125" s="424"/>
      <c r="H125" s="334"/>
      <c r="I125" s="17"/>
    </row>
    <row r="126" spans="2:17">
      <c r="B126" s="79"/>
      <c r="C126" s="335"/>
      <c r="D126" s="335"/>
      <c r="E126" s="335"/>
      <c r="F126" s="334"/>
      <c r="G126" s="334"/>
      <c r="H126" s="425"/>
      <c r="I126" s="17"/>
    </row>
    <row r="127" spans="2:17">
      <c r="B127" s="274"/>
      <c r="C127" s="274"/>
      <c r="D127" s="274"/>
      <c r="E127" s="274"/>
      <c r="F127" s="274"/>
      <c r="G127" s="274"/>
      <c r="H127" s="274"/>
      <c r="I127" s="17"/>
    </row>
    <row r="128" spans="2:17" ht="15">
      <c r="B128" s="426" t="s">
        <v>743</v>
      </c>
      <c r="C128" s="426"/>
      <c r="D128" s="426"/>
      <c r="E128" s="426"/>
      <c r="F128" s="426"/>
      <c r="G128" s="426"/>
      <c r="H128" s="426"/>
      <c r="I128" s="426"/>
      <c r="J128" s="426"/>
      <c r="K128" s="80"/>
      <c r="L128" s="80"/>
      <c r="M128" s="80"/>
    </row>
  </sheetData>
  <autoFilter ref="A18:CA43" xr:uid="{113D5159-0562-4C05-84BF-BF4D7B890095}"/>
  <mergeCells count="29">
    <mergeCell ref="B124:O124"/>
    <mergeCell ref="G69:H69"/>
    <mergeCell ref="B72:O72"/>
    <mergeCell ref="B76:O76"/>
    <mergeCell ref="B78:O78"/>
    <mergeCell ref="B89:O89"/>
    <mergeCell ref="B105:O105"/>
    <mergeCell ref="G64:H64"/>
    <mergeCell ref="L17:O17"/>
    <mergeCell ref="Q17:T17"/>
    <mergeCell ref="G20:H20"/>
    <mergeCell ref="G24:H24"/>
    <mergeCell ref="Q46:T46"/>
    <mergeCell ref="G49:H49"/>
    <mergeCell ref="G50:H50"/>
    <mergeCell ref="G56:H56"/>
    <mergeCell ref="G62:H62"/>
    <mergeCell ref="G63:H63"/>
    <mergeCell ref="B46:B47"/>
    <mergeCell ref="D46:D47"/>
    <mergeCell ref="E46:E47"/>
    <mergeCell ref="G46:J46"/>
    <mergeCell ref="L46:O46"/>
    <mergeCell ref="D4:J4"/>
    <mergeCell ref="D5:J5"/>
    <mergeCell ref="B17:B18"/>
    <mergeCell ref="D17:D18"/>
    <mergeCell ref="E17:E18"/>
    <mergeCell ref="G17:J17"/>
  </mergeCells>
  <hyperlinks>
    <hyperlink ref="M10" r:id="rId1" xr:uid="{64E81780-BDB6-4FED-A161-7169ABD50CD0}"/>
    <hyperlink ref="M12" r:id="rId2" xr:uid="{5BFB8891-0BED-4357-B3E5-4E23A93464D1}"/>
    <hyperlink ref="B124:F124" r:id="rId3" display="8. Please click here to check our standard free time tariff at destinations." xr:uid="{3347F2B6-65E2-490C-A56A-E669FC9D26A9}"/>
  </hyperlinks>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3DD68-7A45-4B35-8302-0F34006C5427}">
  <dimension ref="A1"/>
  <sheetViews>
    <sheetView workbookViewId="0">
      <selection activeCell="Q24" sqref="Q24"/>
    </sheetView>
  </sheetViews>
  <sheetFormatPr baseColWidth="10"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4AF7765A4D4D4B9246D105093421CF" ma:contentTypeVersion="13" ma:contentTypeDescription="Create a new document." ma:contentTypeScope="" ma:versionID="e2f69cb6e51aeca0e5af9823585e81f7">
  <xsd:schema xmlns:xsd="http://www.w3.org/2001/XMLSchema" xmlns:xs="http://www.w3.org/2001/XMLSchema" xmlns:p="http://schemas.microsoft.com/office/2006/metadata/properties" xmlns:ns2="52ad48ad-bcdd-4a08-9a68-56467e45ac60" xmlns:ns3="41eba7d2-7e3f-4043-b2c4-c41fe279adbf" targetNamespace="http://schemas.microsoft.com/office/2006/metadata/properties" ma:root="true" ma:fieldsID="8cef7b7d7c78095602aa6c37c4595885" ns2:_="" ns3:_="">
    <xsd:import namespace="52ad48ad-bcdd-4a08-9a68-56467e45ac60"/>
    <xsd:import namespace="41eba7d2-7e3f-4043-b2c4-c41fe279adb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Remar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ad48ad-bcdd-4a08-9a68-56467e45ac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7d3ae16-01f3-4e34-b70f-161bf76553a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Remark" ma:index="20" nillable="true" ma:displayName="Remark" ma:format="Dropdown" ma:internalName="Remark">
      <xsd:complexType>
        <xsd:complexContent>
          <xsd:extension base="dms:MultiChoice">
            <xsd:sequence>
              <xsd:element name="Value" maxOccurs="unbounded" minOccurs="0" nillable="true">
                <xsd:simpleType>
                  <xsd:restriction base="dms:Choice">
                    <xsd:enumeration value="FE/ME/IPBC"/>
                    <xsd:enumeration value="AUS/NZ"/>
                    <xsd:enumeration value="USA"/>
                    <xsd:enumeration value="IET"/>
                    <xsd:enumeration value="LATAM"/>
                    <xsd:enumeration value="AFRICA"/>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1eba7d2-7e3f-4043-b2c4-c41fe279adb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2ad48ad-bcdd-4a08-9a68-56467e45ac60">
      <Terms xmlns="http://schemas.microsoft.com/office/infopath/2007/PartnerControls"/>
    </lcf76f155ced4ddcb4097134ff3c332f>
    <SharedWithUsers xmlns="41eba7d2-7e3f-4043-b2c4-c41fe279adbf">
      <UserInfo>
        <DisplayName>Ivan Escobar</DisplayName>
        <AccountId>67</AccountId>
        <AccountType/>
      </UserInfo>
    </SharedWithUsers>
    <Remark xmlns="52ad48ad-bcdd-4a08-9a68-56467e45ac6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EB6540-DFB2-4901-8626-137F32660A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ad48ad-bcdd-4a08-9a68-56467e45ac60"/>
    <ds:schemaRef ds:uri="41eba7d2-7e3f-4043-b2c4-c41fe279ad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3E899E-3E64-4BB5-833C-39DB063612F9}">
  <ds:schemaRefs>
    <ds:schemaRef ds:uri="http://schemas.microsoft.com/office/2006/metadata/properties"/>
    <ds:schemaRef ds:uri="http://schemas.microsoft.com/office/infopath/2007/PartnerControls"/>
    <ds:schemaRef ds:uri="52ad48ad-bcdd-4a08-9a68-56467e45ac60"/>
    <ds:schemaRef ds:uri="41eba7d2-7e3f-4043-b2c4-c41fe279adbf"/>
  </ds:schemaRefs>
</ds:datastoreItem>
</file>

<file path=customXml/itemProps3.xml><?xml version="1.0" encoding="utf-8"?>
<ds:datastoreItem xmlns:ds="http://schemas.openxmlformats.org/officeDocument/2006/customXml" ds:itemID="{74F94155-0223-408D-A24A-DE1FD7AC82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Booking desk</vt:lpstr>
      <vt:lpstr>Far East </vt:lpstr>
      <vt:lpstr>Middle East</vt:lpstr>
      <vt:lpstr>IPBC</vt:lpstr>
      <vt:lpstr>OCEANIA</vt:lpstr>
      <vt:lpstr>USA </vt:lpstr>
      <vt:lpstr>CANADA</vt:lpstr>
      <vt:lpstr>LATAM</vt:lpstr>
      <vt:lpstr>AFRICA</vt:lpstr>
      <vt:lpstr>IET</vt:lpstr>
      <vt:lpstr>FOB</vt:lpstr>
    </vt:vector>
  </TitlesOfParts>
  <Manager/>
  <Company>Cosco Shipping Lines Spain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Fangxing Shang</dc:creator>
  <cp:keywords/>
  <dc:description/>
  <cp:lastModifiedBy>Víctor Ahumada Parra</cp:lastModifiedBy>
  <cp:revision/>
  <dcterms:created xsi:type="dcterms:W3CDTF">2018-10-01T13:07:43Z</dcterms:created>
  <dcterms:modified xsi:type="dcterms:W3CDTF">2026-04-07T07:49:56Z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0x010100F94AF7765A4D4D4B9246D105093421CF</vt:lpwstr>
  </property>
  <property fmtid="{D5CDD505-2E9C-101B-9397-08002B2CF9AE}" pid="3" name="Order">
    <vt:r8>1158500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y fmtid="{D5CDD505-2E9C-101B-9397-08002B2CF9AE}" pid="8" name="MSIP_Label_b9aa53e9-54e1-416b-bb1d-25e40ce1114d_Enabled">
    <vt:lpwstr>true</vt:lpwstr>
  </property>
  <property fmtid="{D5CDD505-2E9C-101B-9397-08002B2CF9AE}" pid="9" name="MSIP_Label_b9aa53e9-54e1-416b-bb1d-25e40ce1114d_SetDate">
    <vt:lpwstr>2025-02-18T14:54:20Z</vt:lpwstr>
  </property>
  <property fmtid="{D5CDD505-2E9C-101B-9397-08002B2CF9AE}" pid="10" name="MSIP_Label_b9aa53e9-54e1-416b-bb1d-25e40ce1114d_Method">
    <vt:lpwstr>Standard</vt:lpwstr>
  </property>
  <property fmtid="{D5CDD505-2E9C-101B-9397-08002B2CF9AE}" pid="11" name="MSIP_Label_b9aa53e9-54e1-416b-bb1d-25e40ce1114d_Name">
    <vt:lpwstr>Restricted</vt:lpwstr>
  </property>
  <property fmtid="{D5CDD505-2E9C-101B-9397-08002B2CF9AE}" pid="12" name="MSIP_Label_b9aa53e9-54e1-416b-bb1d-25e40ce1114d_SiteId">
    <vt:lpwstr>ff308fd0-9421-454a-b8b3-4d36252ab3a3</vt:lpwstr>
  </property>
  <property fmtid="{D5CDD505-2E9C-101B-9397-08002B2CF9AE}" pid="13" name="MSIP_Label_b9aa53e9-54e1-416b-bb1d-25e40ce1114d_ActionId">
    <vt:lpwstr>ca21280b-3834-42fb-9da4-3dfed8b81852</vt:lpwstr>
  </property>
  <property fmtid="{D5CDD505-2E9C-101B-9397-08002B2CF9AE}" pid="14" name="MSIP_Label_b9aa53e9-54e1-416b-bb1d-25e40ce1114d_ContentBits">
    <vt:lpwstr>0</vt:lpwstr>
  </property>
  <property fmtid="{D5CDD505-2E9C-101B-9397-08002B2CF9AE}" pid="15" name="MSIP_Label_b9aa53e9-54e1-416b-bb1d-25e40ce1114d_Tag">
    <vt:lpwstr>10, 3, 0, 2</vt:lpwstr>
  </property>
</Properties>
</file>