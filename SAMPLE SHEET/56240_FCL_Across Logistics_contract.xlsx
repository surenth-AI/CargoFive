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customProperty2.bin" ContentType="application/vnd.openxmlformats-officedocument.spreadsheetml.customProperty"/>
  <Override PartName="/xl/drawings/drawing3.xml" ContentType="application/vnd.openxmlformats-officedocument.drawing+xml"/>
  <Override PartName="/xl/drawings/drawing4.xml" ContentType="application/vnd.openxmlformats-officedocument.drawing+xml"/>
  <Override PartName="/xl/customProperty3.bin" ContentType="application/vnd.openxmlformats-officedocument.spreadsheetml.customProperty"/>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C:\Users\Across\Downloads\"/>
    </mc:Choice>
  </mc:AlternateContent>
  <xr:revisionPtr revIDLastSave="0" documentId="13_ncr:1_{D282D4AF-1BC8-40A4-822A-717608B61040}" xr6:coauthVersionLast="47" xr6:coauthVersionMax="47" xr10:uidLastSave="{00000000-0000-0000-0000-000000000000}"/>
  <bookViews>
    <workbookView xWindow="-108" yWindow="-108" windowWidth="23256" windowHeight="12456" xr2:uid="{B423B5A6-3586-4E29-B6C3-8E46068C77A3}"/>
  </bookViews>
  <sheets>
    <sheet name="BCN-VLC-ALG to W-E Africa" sheetId="40" r:id="rId1"/>
    <sheet name="ALG to FAR EAST" sheetId="47" r:id="rId2"/>
    <sheet name="BCN-VLC to FAR EAST" sheetId="35" r:id="rId3"/>
    <sheet name="USA" sheetId="52" r:id="rId4"/>
    <sheet name="BCN-VLC-ALG to INDIA-PAKISTAN" sheetId="38" r:id="rId5"/>
    <sheet name="SUDAMERICA" sheetId="48" r:id="rId6"/>
    <sheet name="GASTOS FOB 251120" sheetId="54" r:id="rId7"/>
  </sheets>
  <definedNames>
    <definedName name="_xlnm._FilterDatabase" localSheetId="1" hidden="1">'ALG to FAR EAST'!$B$8:$N$63</definedName>
    <definedName name="_xlnm._FilterDatabase" localSheetId="2" hidden="1">'BCN-VLC to FAR EAST'!$B$8:$N$76</definedName>
    <definedName name="_xlnm._FilterDatabase" localSheetId="4" hidden="1">'BCN-VLC-ALG to INDIA-PAKISTAN'!$B$8:$N$26</definedName>
    <definedName name="_xlnm._FilterDatabase" localSheetId="0" hidden="1">'BCN-VLC-ALG to W-E Africa'!$B$9:$Q$22</definedName>
    <definedName name="_xlnm._FilterDatabase" localSheetId="6" hidden="1">'GASTOS FOB 251120'!$A$3:$H$3</definedName>
    <definedName name="_xlnm._FilterDatabase" localSheetId="5" hidden="1">SUDAMERICA!$A$8:$WWB$26</definedName>
    <definedName name="_xlnm._FilterDatabase" localSheetId="3" hidden="1">USA!$B$8:$P$21</definedName>
    <definedName name="_xlnm.Print_Area" localSheetId="6">'GASTOS FOB 251120'!$A$68:$H$110</definedName>
    <definedName name="_xlnm.Print_Area" localSheetId="3">USA!$B$1:$N$23</definedName>
    <definedName name="OLE_LINK79" localSheetId="6">'GASTOS FOB 251120'!$A$84</definedName>
    <definedName name="OLE_LINK89" localSheetId="6">'GASTOS FOB 251120'!$A$73</definedName>
    <definedName name="OLE_LINK93" localSheetId="6">'GASTOS FOB 251120'!#REF!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6" i="48" l="1"/>
  <c r="M26" i="48"/>
  <c r="N25" i="48"/>
  <c r="M25" i="48"/>
  <c r="N24" i="48"/>
  <c r="M24" i="48"/>
  <c r="N23" i="48"/>
  <c r="M23" i="48"/>
  <c r="N22" i="48"/>
  <c r="M22" i="48"/>
  <c r="N21" i="48"/>
  <c r="M21" i="48"/>
  <c r="N20" i="48"/>
  <c r="M20" i="48"/>
  <c r="N19" i="48"/>
  <c r="M19" i="48"/>
  <c r="N18" i="48"/>
  <c r="M18" i="48"/>
  <c r="N17" i="48"/>
  <c r="M17" i="48"/>
  <c r="N16" i="48"/>
  <c r="M16" i="48"/>
  <c r="N15" i="48"/>
  <c r="M15" i="48"/>
  <c r="N14" i="48"/>
  <c r="M14" i="48"/>
  <c r="N13" i="48"/>
  <c r="M13" i="48"/>
  <c r="N12" i="48"/>
  <c r="M12" i="48"/>
  <c r="N11" i="48"/>
  <c r="M11" i="48"/>
  <c r="M10" i="48"/>
  <c r="M17" i="38"/>
  <c r="M16" i="38"/>
  <c r="M10" i="38"/>
  <c r="M11" i="38" s="1"/>
  <c r="M12" i="38" s="1"/>
  <c r="M13" i="38" s="1"/>
  <c r="M14" i="38" s="1"/>
  <c r="L26" i="38"/>
  <c r="L25" i="38"/>
  <c r="L24" i="38"/>
  <c r="L23" i="38"/>
  <c r="L22" i="38"/>
  <c r="L21" i="38"/>
  <c r="L20" i="38"/>
  <c r="L19" i="38"/>
  <c r="L18" i="38"/>
  <c r="L17" i="38"/>
  <c r="L16" i="38"/>
  <c r="L15" i="38"/>
  <c r="L14" i="38"/>
  <c r="L13" i="38"/>
  <c r="L12" i="38"/>
  <c r="L11" i="38"/>
  <c r="L10" i="38"/>
  <c r="N20" i="52"/>
  <c r="N19" i="52"/>
  <c r="N18" i="52"/>
  <c r="N17" i="52"/>
  <c r="N16" i="52"/>
  <c r="N15" i="52"/>
  <c r="N14" i="52"/>
  <c r="N13" i="52"/>
  <c r="N12" i="52"/>
  <c r="N11" i="52"/>
  <c r="N10" i="52"/>
  <c r="M20" i="52"/>
  <c r="M19" i="52"/>
  <c r="M18" i="52"/>
  <c r="M17" i="52"/>
  <c r="M16" i="52"/>
  <c r="M15" i="52"/>
  <c r="M14" i="52"/>
  <c r="M13" i="52"/>
  <c r="M12" i="52"/>
  <c r="M11" i="52"/>
  <c r="M10" i="52"/>
  <c r="J12" i="52"/>
  <c r="J11" i="52"/>
  <c r="J10" i="52"/>
  <c r="J9" i="52"/>
  <c r="H23" i="35"/>
  <c r="I23" i="35" s="1"/>
  <c r="G23" i="35"/>
  <c r="K10" i="35"/>
  <c r="K11" i="35" s="1"/>
  <c r="K12" i="35" s="1"/>
  <c r="K13" i="35" s="1"/>
  <c r="K14" i="35" s="1"/>
  <c r="K15" i="35" s="1"/>
  <c r="K16" i="35" s="1"/>
  <c r="K17" i="35" s="1"/>
  <c r="K18" i="35" s="1"/>
  <c r="K19" i="35" s="1"/>
  <c r="K20" i="35" s="1"/>
  <c r="K21" i="35" s="1"/>
  <c r="K22" i="35" s="1"/>
  <c r="K23" i="35" s="1"/>
  <c r="K24" i="35" s="1"/>
  <c r="K25" i="35" s="1"/>
  <c r="K26" i="35" s="1"/>
  <c r="K27" i="35" s="1"/>
  <c r="K28" i="35" s="1"/>
  <c r="K29" i="35" s="1"/>
  <c r="K30" i="35" s="1"/>
  <c r="K31" i="35" s="1"/>
  <c r="K32" i="35" s="1"/>
  <c r="K33" i="35" s="1"/>
  <c r="K34" i="35" s="1"/>
  <c r="K35" i="35" s="1"/>
  <c r="K36" i="35" s="1"/>
  <c r="K37" i="35" s="1"/>
  <c r="K38" i="35" s="1"/>
  <c r="K39" i="35" s="1"/>
  <c r="K40" i="35" s="1"/>
  <c r="K41" i="35" s="1"/>
  <c r="K42" i="35" s="1"/>
  <c r="K43" i="35" s="1"/>
  <c r="K44" i="35" s="1"/>
  <c r="K45" i="35" s="1"/>
  <c r="K46" i="35" s="1"/>
  <c r="K47" i="35" s="1"/>
  <c r="K48" i="35" s="1"/>
  <c r="K49" i="35" s="1"/>
  <c r="K50" i="35" s="1"/>
  <c r="K51" i="35" s="1"/>
  <c r="K52" i="35" s="1"/>
  <c r="K53" i="35" s="1"/>
  <c r="K54" i="35" s="1"/>
  <c r="K55" i="35" s="1"/>
  <c r="K56" i="35" s="1"/>
  <c r="K57" i="35" s="1"/>
  <c r="K58" i="35" s="1"/>
  <c r="K59" i="35" s="1"/>
  <c r="K60" i="35" s="1"/>
  <c r="K61" i="35" s="1"/>
  <c r="K62" i="35" s="1"/>
  <c r="K63" i="35" s="1"/>
  <c r="K64" i="35" s="1"/>
  <c r="K65" i="35" s="1"/>
  <c r="K66" i="35" s="1"/>
  <c r="K67" i="35" s="1"/>
  <c r="K68" i="35" s="1"/>
  <c r="K69" i="35" s="1"/>
  <c r="K70" i="35" s="1"/>
  <c r="K71" i="35" s="1"/>
  <c r="K72" i="35" s="1"/>
  <c r="K73" i="35" s="1"/>
  <c r="K74" i="35" s="1"/>
  <c r="K75" i="35" s="1"/>
  <c r="K76" i="35" s="1"/>
  <c r="H21" i="47"/>
  <c r="I21" i="47" s="1"/>
  <c r="G21" i="47"/>
  <c r="K10" i="47"/>
  <c r="K11" i="47" s="1"/>
  <c r="K12" i="47" s="1"/>
  <c r="K13" i="47" s="1"/>
  <c r="K14" i="47" s="1"/>
  <c r="K15" i="47" s="1"/>
  <c r="K16" i="47" s="1"/>
  <c r="K17" i="47" s="1"/>
  <c r="K18" i="47" s="1"/>
  <c r="K19" i="47" s="1"/>
  <c r="K20" i="47" s="1"/>
  <c r="K21" i="47" s="1"/>
  <c r="K22" i="47" s="1"/>
  <c r="K23" i="47" s="1"/>
  <c r="K24" i="47" s="1"/>
  <c r="K25" i="47" s="1"/>
  <c r="K26" i="47" s="1"/>
  <c r="K27" i="47" s="1"/>
  <c r="K28" i="47" s="1"/>
  <c r="K29" i="47" s="1"/>
  <c r="K30" i="47" s="1"/>
  <c r="K31" i="47" s="1"/>
  <c r="K32" i="47" s="1"/>
  <c r="K33" i="47" s="1"/>
  <c r="K34" i="47" s="1"/>
  <c r="K35" i="47" s="1"/>
  <c r="K36" i="47" s="1"/>
  <c r="K37" i="47" s="1"/>
  <c r="K38" i="47" s="1"/>
  <c r="K39" i="47" s="1"/>
  <c r="K40" i="47" s="1"/>
  <c r="K41" i="47" s="1"/>
  <c r="K42" i="47" s="1"/>
  <c r="K43" i="47" s="1"/>
  <c r="K44" i="47" s="1"/>
  <c r="K45" i="47" s="1"/>
  <c r="K46" i="47" s="1"/>
  <c r="K47" i="47" s="1"/>
  <c r="K48" i="47" s="1"/>
  <c r="K49" i="47" s="1"/>
  <c r="K50" i="47" s="1"/>
  <c r="K51" i="47" s="1"/>
  <c r="K52" i="47" s="1"/>
  <c r="K53" i="47" s="1"/>
  <c r="K54" i="47" s="1"/>
  <c r="K55" i="47" s="1"/>
  <c r="K56" i="47" s="1"/>
  <c r="K57" i="47" s="1"/>
  <c r="K58" i="47" s="1"/>
  <c r="K59" i="47" s="1"/>
  <c r="K60" i="47" s="1"/>
  <c r="K61" i="47" s="1"/>
  <c r="K62" i="47" s="1"/>
  <c r="K63" i="47" s="1"/>
  <c r="O22" i="40"/>
  <c r="O21" i="40"/>
  <c r="O20" i="40"/>
  <c r="O19" i="40"/>
  <c r="O18" i="40"/>
  <c r="O17" i="40"/>
  <c r="O16" i="40"/>
  <c r="O15" i="40"/>
  <c r="O14" i="40"/>
  <c r="O13" i="40"/>
  <c r="O12" i="40"/>
  <c r="O11" i="40"/>
  <c r="N13" i="40"/>
  <c r="N22" i="40" s="1"/>
  <c r="M13" i="40"/>
  <c r="M22" i="40" s="1"/>
  <c r="N11" i="40"/>
  <c r="N12" i="40" s="1"/>
  <c r="M11" i="40"/>
  <c r="M12" i="40" s="1"/>
  <c r="N19" i="40" l="1"/>
  <c r="M14" i="40"/>
  <c r="M20" i="40" s="1"/>
  <c r="N14" i="40"/>
  <c r="N15" i="40" s="1"/>
  <c r="N16" i="40" s="1"/>
  <c r="N17" i="40" s="1"/>
  <c r="N18" i="40"/>
  <c r="M26" i="38"/>
  <c r="M18" i="38"/>
  <c r="M23" i="38"/>
  <c r="M22" i="38"/>
  <c r="M25" i="38"/>
  <c r="M24" i="38"/>
  <c r="M21" i="38"/>
  <c r="M20" i="38"/>
  <c r="M19" i="38"/>
  <c r="M15" i="40"/>
  <c r="M16" i="40" s="1"/>
  <c r="M17" i="40" s="1"/>
  <c r="N20" i="40"/>
  <c r="M18" i="40"/>
  <c r="M21" i="40"/>
  <c r="N21" i="40"/>
  <c r="M19" i="40"/>
  <c r="E4" i="52" l="1"/>
  <c r="C28" i="52"/>
  <c r="E4" i="48" l="1"/>
  <c r="E4" i="38"/>
  <c r="E4" i="35"/>
  <c r="E4" i="47"/>
  <c r="C41" i="52"/>
  <c r="C40" i="52"/>
  <c r="C39" i="52"/>
  <c r="C38" i="52"/>
  <c r="C37" i="52"/>
  <c r="C36" i="52"/>
  <c r="C35" i="52"/>
  <c r="C34" i="52"/>
  <c r="C33" i="52"/>
  <c r="C32" i="52"/>
  <c r="C31" i="52"/>
  <c r="C30" i="52"/>
  <c r="C29" i="52"/>
  <c r="C27" i="52"/>
  <c r="C26" i="52"/>
  <c r="C25" i="52"/>
  <c r="M10" i="35" l="1"/>
  <c r="M76" i="35"/>
  <c r="L10" i="35"/>
  <c r="M10" i="47"/>
  <c r="M61" i="47"/>
  <c r="L33" i="35"/>
  <c r="L69" i="35"/>
  <c r="L55" i="35"/>
  <c r="L61" i="35"/>
  <c r="L19" i="35"/>
  <c r="L59" i="35"/>
  <c r="L56" i="35"/>
  <c r="L50" i="35"/>
  <c r="L37" i="35"/>
  <c r="L66" i="35"/>
  <c r="L57" i="35"/>
  <c r="L21" i="35"/>
  <c r="L24" i="35"/>
  <c r="L12" i="35"/>
  <c r="L16" i="35"/>
  <c r="L13" i="35"/>
  <c r="L27" i="35"/>
  <c r="L43" i="35"/>
  <c r="L45" i="35"/>
  <c r="L15" i="35"/>
  <c r="L76" i="35"/>
  <c r="L64" i="35"/>
  <c r="L29" i="35"/>
  <c r="L10" i="47"/>
  <c r="L17" i="47"/>
  <c r="L39" i="35"/>
  <c r="L67" i="35"/>
  <c r="L25" i="35"/>
  <c r="L54" i="35"/>
  <c r="L44" i="35"/>
  <c r="L71" i="35"/>
  <c r="L31" i="35"/>
  <c r="L23" i="35"/>
  <c r="L20" i="35"/>
  <c r="L30" i="35"/>
  <c r="L74" i="35"/>
  <c r="L52" i="35"/>
  <c r="L73" i="35"/>
  <c r="L51" i="35"/>
  <c r="L72" i="35"/>
  <c r="L49" i="35"/>
  <c r="L42" i="35"/>
  <c r="L36" i="35"/>
  <c r="L11" i="35"/>
  <c r="L14" i="35"/>
  <c r="L34" i="35"/>
  <c r="L68" i="35"/>
  <c r="L47" i="35"/>
  <c r="M57" i="35"/>
  <c r="M39" i="35"/>
  <c r="M29" i="35"/>
  <c r="L44" i="47"/>
  <c r="L40" i="47"/>
  <c r="L42" i="47"/>
  <c r="L19" i="47"/>
  <c r="M55" i="47"/>
  <c r="M43" i="47"/>
  <c r="M60" i="47"/>
  <c r="L58" i="47"/>
  <c r="L27" i="47"/>
  <c r="L35" i="47"/>
  <c r="L37" i="47"/>
  <c r="M26" i="47"/>
  <c r="M46" i="47"/>
  <c r="M24" i="47"/>
  <c r="M21" i="47"/>
  <c r="M28" i="47"/>
  <c r="M48" i="47"/>
  <c r="L59" i="47"/>
  <c r="L62" i="47"/>
  <c r="L28" i="47"/>
  <c r="L25" i="47"/>
  <c r="L36" i="47"/>
  <c r="L16" i="47"/>
  <c r="M45" i="35"/>
  <c r="M22" i="35"/>
  <c r="M64" i="35"/>
  <c r="M44" i="35"/>
  <c r="M54" i="35"/>
  <c r="M56" i="35"/>
  <c r="M32" i="35"/>
  <c r="L38" i="35"/>
  <c r="L28" i="35"/>
  <c r="M30" i="47"/>
  <c r="M44" i="47"/>
  <c r="M41" i="47"/>
  <c r="L22" i="47"/>
  <c r="L49" i="47"/>
  <c r="M62" i="35"/>
  <c r="M72" i="35"/>
  <c r="M38" i="35"/>
  <c r="M65" i="35"/>
  <c r="M50" i="47"/>
  <c r="M17" i="47"/>
  <c r="M47" i="47"/>
  <c r="L29" i="47"/>
  <c r="L52" i="47"/>
  <c r="L61" i="47"/>
  <c r="L45" i="47"/>
  <c r="L31" i="47"/>
  <c r="L26" i="47"/>
  <c r="L21" i="47"/>
  <c r="L48" i="47"/>
  <c r="M16" i="35"/>
  <c r="M43" i="35"/>
  <c r="M42" i="35"/>
  <c r="M28" i="35"/>
  <c r="M63" i="35"/>
  <c r="M60" i="35"/>
  <c r="M67" i="35"/>
  <c r="M18" i="35"/>
  <c r="M46" i="35"/>
  <c r="M55" i="35"/>
  <c r="M73" i="35"/>
  <c r="M23" i="35"/>
  <c r="M35" i="35"/>
  <c r="M71" i="35"/>
  <c r="M17" i="35"/>
  <c r="M69" i="35"/>
  <c r="M49" i="35"/>
  <c r="M56" i="47"/>
  <c r="M52" i="47"/>
  <c r="M49" i="47"/>
  <c r="M36" i="47"/>
  <c r="M22" i="47"/>
  <c r="M53" i="47"/>
  <c r="M54" i="47"/>
  <c r="M39" i="47"/>
  <c r="L35" i="35"/>
  <c r="L53" i="35"/>
  <c r="L48" i="35"/>
  <c r="L41" i="35"/>
  <c r="M42" i="47"/>
  <c r="M57" i="47"/>
  <c r="M33" i="47"/>
  <c r="M25" i="47"/>
  <c r="M20" i="47"/>
  <c r="L43" i="47"/>
  <c r="L47" i="47"/>
  <c r="L63" i="35"/>
  <c r="L40" i="35"/>
  <c r="L26" i="35"/>
  <c r="M62" i="47"/>
  <c r="M15" i="47"/>
  <c r="M23" i="47"/>
  <c r="M29" i="47"/>
  <c r="L18" i="47"/>
  <c r="L24" i="47"/>
  <c r="L39" i="47"/>
  <c r="L14" i="47"/>
  <c r="L63" i="47"/>
  <c r="M35" i="47"/>
  <c r="M13" i="47"/>
  <c r="M40" i="47"/>
  <c r="M31" i="47"/>
  <c r="M58" i="47"/>
  <c r="M19" i="47"/>
  <c r="M18" i="47"/>
  <c r="L30" i="47"/>
  <c r="L53" i="47"/>
  <c r="L13" i="47"/>
  <c r="L50" i="47"/>
  <c r="L41" i="47"/>
  <c r="L12" i="47"/>
  <c r="L32" i="47"/>
  <c r="L34" i="47"/>
  <c r="M12" i="35"/>
  <c r="M47" i="35"/>
  <c r="M61" i="35"/>
  <c r="M52" i="35"/>
  <c r="M15" i="35"/>
  <c r="M27" i="35"/>
  <c r="M68" i="35"/>
  <c r="M66" i="35"/>
  <c r="M50" i="35"/>
  <c r="M11" i="35"/>
  <c r="M75" i="35"/>
  <c r="M70" i="35"/>
  <c r="M30" i="35"/>
  <c r="M20" i="35"/>
  <c r="M25" i="35"/>
  <c r="M41" i="35"/>
  <c r="M34" i="35"/>
  <c r="M48" i="35"/>
  <c r="M40" i="35"/>
  <c r="M36" i="35"/>
  <c r="M33" i="35"/>
  <c r="M24" i="35"/>
  <c r="M26" i="35"/>
  <c r="M51" i="47"/>
  <c r="M14" i="47"/>
  <c r="L22" i="35"/>
  <c r="L58" i="35"/>
  <c r="L32" i="35"/>
  <c r="L60" i="35"/>
  <c r="L17" i="35"/>
  <c r="L65" i="35"/>
  <c r="L62" i="35"/>
  <c r="M63" i="47"/>
  <c r="M12" i="47"/>
  <c r="M27" i="47"/>
  <c r="L55" i="47"/>
  <c r="L15" i="47"/>
  <c r="M53" i="35"/>
  <c r="M37" i="35"/>
  <c r="M58" i="35"/>
  <c r="M19" i="35"/>
  <c r="M14" i="35"/>
  <c r="M37" i="47"/>
  <c r="M34" i="47"/>
  <c r="M38" i="47"/>
  <c r="L11" i="47"/>
  <c r="L51" i="47"/>
  <c r="L38" i="47"/>
  <c r="L60" i="47"/>
  <c r="L33" i="47"/>
  <c r="L54" i="47"/>
  <c r="L23" i="47"/>
  <c r="L57" i="47"/>
  <c r="M13" i="35"/>
  <c r="M21" i="35"/>
  <c r="M59" i="35"/>
  <c r="M74" i="35"/>
  <c r="M51" i="35"/>
  <c r="M31" i="35"/>
  <c r="M32" i="47"/>
  <c r="M59" i="47"/>
  <c r="M16" i="47"/>
  <c r="L18" i="35"/>
  <c r="L46" i="35"/>
  <c r="L70" i="35"/>
  <c r="L75" i="35"/>
  <c r="M45" i="47"/>
  <c r="M11" i="47"/>
  <c r="L56" i="47"/>
  <c r="L46" i="47"/>
  <c r="L20" i="47"/>
</calcChain>
</file>

<file path=xl/sharedStrings.xml><?xml version="1.0" encoding="utf-8"?>
<sst xmlns="http://schemas.openxmlformats.org/spreadsheetml/2006/main" count="2093" uniqueCount="642">
  <si>
    <t>EXPORT BCN/VLC/ALG &gt; WEST/EAST AFRICA</t>
  </si>
  <si>
    <t xml:space="preserve">SOLICITAR BOOKING A TRAVES DE FreightSmart - E-QUOTE (AB) </t>
  </si>
  <si>
    <t>RATE DATE: On board date</t>
  </si>
  <si>
    <t>Origins*</t>
  </si>
  <si>
    <t>Mode*</t>
  </si>
  <si>
    <t>Destinations*</t>
  </si>
  <si>
    <t>Cargo Nature*</t>
  </si>
  <si>
    <t>T/time (BCN/VLC)</t>
  </si>
  <si>
    <t>via</t>
  </si>
  <si>
    <t>Currency*</t>
  </si>
  <si>
    <t>20'GP - DRY</t>
  </si>
  <si>
    <t>40'GP - DRY</t>
  </si>
  <si>
    <t>40'HQ - DRY</t>
  </si>
  <si>
    <t>LSA (TEU)</t>
  </si>
  <si>
    <t>Subject To</t>
  </si>
  <si>
    <t>payment Terms</t>
  </si>
  <si>
    <t>Remarks</t>
  </si>
  <si>
    <t>BARCELONA</t>
  </si>
  <si>
    <t>YY</t>
  </si>
  <si>
    <t>Dakar, Senegal</t>
  </si>
  <si>
    <t>GC</t>
  </si>
  <si>
    <t>Via Valencia</t>
  </si>
  <si>
    <t>EUR</t>
  </si>
  <si>
    <t>1850</t>
  </si>
  <si>
    <t>ONLY PREPAID / CTN REQUIRED AT POL</t>
  </si>
  <si>
    <t xml:space="preserve">Abidjan, Cote d'Ivoire </t>
  </si>
  <si>
    <t>Tema, Ghana</t>
  </si>
  <si>
    <t>Lome, Togo</t>
  </si>
  <si>
    <t>Via Valencia / Tema</t>
  </si>
  <si>
    <t>1950</t>
  </si>
  <si>
    <t>2650</t>
  </si>
  <si>
    <t>Cotonou, Benin</t>
  </si>
  <si>
    <t>VALENCIA/ALGECIRAS</t>
  </si>
  <si>
    <t>Direct</t>
  </si>
  <si>
    <t>Via Tema</t>
  </si>
  <si>
    <t>VALENCIA/BARCELONA/ALGECIRAS</t>
  </si>
  <si>
    <t>Mombasa, Kenya</t>
  </si>
  <si>
    <t>Via Jebel Ali</t>
  </si>
  <si>
    <t>2500</t>
  </si>
  <si>
    <t>Dar es Salaam, Tanzania</t>
  </si>
  <si>
    <t>Maputo, Mozambique</t>
  </si>
  <si>
    <t>REMARKS</t>
  </si>
  <si>
    <r>
      <rPr>
        <b/>
        <sz val="10"/>
        <color indexed="8"/>
        <rFont val="Arial"/>
        <family val="2"/>
      </rPr>
      <t>a</t>
    </r>
    <r>
      <rPr>
        <sz val="10"/>
        <color indexed="8"/>
        <rFont val="Arial"/>
        <family val="2"/>
      </rPr>
      <t>. Fletes validos para mercancia FAK. No incluye: MARMOL(Bloque)/PIELES/SCRAPS/HIGH VALUE CARGO/SECOND HAND VEHICLES</t>
    </r>
  </si>
  <si>
    <t>c. DG charge of EUR 200/TEU</t>
  </si>
  <si>
    <r>
      <rPr>
        <b/>
        <sz val="10"/>
        <color theme="1"/>
        <rFont val="Arial"/>
        <family val="2"/>
      </rPr>
      <t>f.</t>
    </r>
    <r>
      <rPr>
        <sz val="10"/>
        <color theme="1"/>
        <rFont val="Arial"/>
        <family val="2"/>
      </rPr>
      <t xml:space="preserve"> Sujeto a los gastos de Destino</t>
    </r>
  </si>
  <si>
    <r>
      <t>g. B/L - M/F Correction on AMS :</t>
    </r>
    <r>
      <rPr>
        <sz val="10"/>
        <rFont val="Arial"/>
        <family val="2"/>
      </rPr>
      <t xml:space="preserve"> EUR 50</t>
    </r>
    <r>
      <rPr>
        <sz val="10"/>
        <color indexed="8"/>
        <rFont val="Arial"/>
        <family val="2"/>
      </rPr>
      <t xml:space="preserve"> / correction</t>
    </r>
  </si>
  <si>
    <t>h. B/L Fee EUR 100/BL for manual submission, EUR 30/BL for submission (BKG&amp;SI) through My OOCL Center</t>
  </si>
  <si>
    <r>
      <rPr>
        <b/>
        <sz val="10"/>
        <color indexed="8"/>
        <rFont val="Arial"/>
        <family val="2"/>
      </rPr>
      <t>i.</t>
    </r>
    <r>
      <rPr>
        <sz val="10"/>
        <color indexed="8"/>
        <rFont val="Arial"/>
        <family val="2"/>
      </rPr>
      <t xml:space="preserve"> Sujetos a VGM (VLC = Eur 10/cntr)</t>
    </r>
  </si>
  <si>
    <r>
      <rPr>
        <b/>
        <sz val="10"/>
        <color indexed="8"/>
        <rFont val="Arial"/>
        <family val="2"/>
      </rPr>
      <t>j.</t>
    </r>
    <r>
      <rPr>
        <sz val="10"/>
        <color indexed="8"/>
        <rFont val="Arial"/>
        <family val="2"/>
      </rPr>
      <t xml:space="preserve">  Sujetos a TCM Eur 10/cntr)</t>
    </r>
  </si>
  <si>
    <t>h. DG Documentation fee:    Eur 40,- x ONU (maximo 3 x doc)</t>
  </si>
  <si>
    <t xml:space="preserve">All surcharges and Fees shown are maximum rates and valid untill further notice (unless specified) </t>
  </si>
  <si>
    <t>http://www.oocl.com/eng/resourcecenter/surcharges/pages/aetsurcharges.aspx</t>
  </si>
  <si>
    <t>http://www.oocl.com/eng/Pages/importantnoticeforratedocument.aspx</t>
  </si>
  <si>
    <t>**NOTAS</t>
  </si>
  <si>
    <t>Resumen de los requerimientos respecto al CTN number:</t>
  </si>
  <si>
    <r>
      <t>Embarques destino SENEGAL</t>
    </r>
    <r>
      <rPr>
        <sz val="10"/>
        <rFont val="Calibri"/>
        <family val="2"/>
      </rPr>
      <t>: obligatorio antes de la salida del barco y es motivo de baja del contenedor de listas de carga en ausencia del mismo (lo hacemos reflejar también en el BL);</t>
    </r>
  </si>
  <si>
    <r>
      <t>Embarques destino COSTA DE MARFIL</t>
    </r>
    <r>
      <rPr>
        <sz val="10"/>
        <rFont val="Calibri"/>
        <family val="2"/>
      </rPr>
      <t xml:space="preserve">: obligatorio antes de la salida del barco y es motivo de baja del contenedor de listas de carga en ausencia del mismo </t>
    </r>
  </si>
  <si>
    <t>(lo hacemos reflejar también en el BL aunque no sería estrictamente obligatorio que se incluya en el BL);</t>
  </si>
  <si>
    <r>
      <t>Embarques destino GHANA</t>
    </r>
    <r>
      <rPr>
        <sz val="10"/>
        <rFont val="Calibri"/>
        <family val="2"/>
      </rPr>
      <t xml:space="preserve">: no es obligatorio antes de la salida del buque aunque sí lo será antes de la llegada a destino del mismo, por lo que debe tramitarse antes de llegar. Se puede gestionar tanto en origen como en destino. </t>
    </r>
  </si>
  <si>
    <t xml:space="preserve">No se da de baja un contenedor de lista de carga por no disponer del número antes de la salida. </t>
  </si>
  <si>
    <t>Excepción: en caso de tratarse de efectos personales será imprescindible el mismo antes de la salida y además tanto shipper como consignee deben ser agentes, nunca particulares.</t>
  </si>
  <si>
    <t>EXPORT ALGECIRAS &gt; FAR EAST (via PIRAEUS)</t>
  </si>
  <si>
    <t>Included Charges</t>
  </si>
  <si>
    <t>LSA
 (TEU)</t>
  </si>
  <si>
    <t>Algeciras</t>
  </si>
  <si>
    <t>Bangkok, Thailand</t>
  </si>
  <si>
    <t>DG;GC</t>
  </si>
  <si>
    <t>Port Klang, Selangor, Malaysia;Singapore, Singapore</t>
  </si>
  <si>
    <t>USD</t>
  </si>
  <si>
    <t>BAF; CAF; EMS; GAS; HQA; LSA; LSS; SEC; SUZ; THC</t>
  </si>
  <si>
    <t>INCL</t>
  </si>
  <si>
    <t>Belawan, Sumatera Utara, Indonesia</t>
  </si>
  <si>
    <t>Busan, South Korea</t>
  </si>
  <si>
    <t>Changsha, Changsha, Hunan, China</t>
  </si>
  <si>
    <t>Shanghai, China</t>
  </si>
  <si>
    <t>Chongqing, China</t>
  </si>
  <si>
    <t>Da Nang, Vietnam</t>
  </si>
  <si>
    <t>Singapore, Singapore</t>
  </si>
  <si>
    <t>Dalian, Dalian, Liaoning, China</t>
  </si>
  <si>
    <t>Davao City, Davao del Sur, Philippines</t>
  </si>
  <si>
    <t>Port Klang</t>
  </si>
  <si>
    <t>Fuqing, Fuzhou, Fujian, China</t>
  </si>
  <si>
    <t>Ningbo, Ningbo, Zhejiang, China</t>
  </si>
  <si>
    <t>Fuzhou, Fuzhou, Fujian, China</t>
  </si>
  <si>
    <t>Guangzhou, Guangzhou, Guangdong, China</t>
  </si>
  <si>
    <t>Tokyo, Japan</t>
  </si>
  <si>
    <t>Hai Phong, Vietnam</t>
  </si>
  <si>
    <t>Singapore</t>
  </si>
  <si>
    <t>Hakata, Fukuoka, Japan</t>
  </si>
  <si>
    <t>Kobe, Hyogo-ken, Japan</t>
  </si>
  <si>
    <t>Ho Chi Minh, Vietnam</t>
  </si>
  <si>
    <t>Hong Kong, Hong Kong</t>
  </si>
  <si>
    <t>via Pklang</t>
  </si>
  <si>
    <t>Huangpu, Guangzhou, Guangdong, China</t>
  </si>
  <si>
    <t>Nansha / HKG</t>
  </si>
  <si>
    <t>Jakarta, Indonesia</t>
  </si>
  <si>
    <t>Nansha, Guangzhou, Guangdong, China</t>
  </si>
  <si>
    <t>Kaohsiung, Taiwan</t>
  </si>
  <si>
    <t>Via Port Klang</t>
  </si>
  <si>
    <t>Keelung, Taiwan</t>
  </si>
  <si>
    <t>Hong Kong / WM1</t>
  </si>
  <si>
    <t>Qingdao, China</t>
  </si>
  <si>
    <t>Laem Chabang, Chon Buri, Thailand</t>
  </si>
  <si>
    <t>Lianyungang, Lianyungang, Jiangsu, China</t>
  </si>
  <si>
    <t>Macao, Macau</t>
  </si>
  <si>
    <t>Manila, Metro Manila, Philippines</t>
  </si>
  <si>
    <t>Port Klang / Hong Kong</t>
  </si>
  <si>
    <t>Nagoya, Aichi, Japan</t>
  </si>
  <si>
    <t>Direct / WM2</t>
  </si>
  <si>
    <t>Nantong, Nantong, Jiangsu, China</t>
  </si>
  <si>
    <t>Osaka, Japan</t>
  </si>
  <si>
    <t>Hong Kong / Xiamen/Kobe</t>
  </si>
  <si>
    <t>Pasir Gudang, Johor, Malaysia</t>
  </si>
  <si>
    <t>Port Klang, Selangor, Malaysia</t>
  </si>
  <si>
    <t>Qingdao, Qingdao, Shandong, China</t>
  </si>
  <si>
    <t>Sanshan, Foshan, Guangdong, China</t>
  </si>
  <si>
    <t>Sanshui, Foshan, Guangdong, China</t>
  </si>
  <si>
    <t>Hong Kong/Port Klang</t>
  </si>
  <si>
    <t>Semarang, Jawa Tengah, Indonesia</t>
  </si>
  <si>
    <t>Shekou, Shenzhen, Guangdong, China</t>
  </si>
  <si>
    <t>Port kelang / WM2</t>
  </si>
  <si>
    <t>Shimizu, Shizuoka, Japan</t>
  </si>
  <si>
    <t>Sihanoukville, Sihanoukville, Cambodia</t>
  </si>
  <si>
    <t>Singapore, Singapore/Port Klang</t>
  </si>
  <si>
    <t>Songkhla, Songkhla, Thailand</t>
  </si>
  <si>
    <t>Surabaya, Jawa Timur, Indonesia</t>
  </si>
  <si>
    <t>Taichung, Taiwan</t>
  </si>
  <si>
    <t>Taipei, Taiwan</t>
  </si>
  <si>
    <t>Taoyuan, Taoyuan, Taiwan</t>
  </si>
  <si>
    <t>Xiamen / WM2</t>
  </si>
  <si>
    <t>Wenzhou, Wenzhou, Zhejiang, China</t>
  </si>
  <si>
    <t>Xiamen, Xiamen, Fujian, China (HAICANG)</t>
  </si>
  <si>
    <t>Xingang, China</t>
  </si>
  <si>
    <t>Port Klang / WM2</t>
  </si>
  <si>
    <t>Yangon, Yangon, Myanmar</t>
  </si>
  <si>
    <t>Yantai, Yantai, Shandong, China</t>
  </si>
  <si>
    <t>Yantian, Shenzhen, Guangdong, China</t>
  </si>
  <si>
    <t>Yokohama, Kanagawa-ken, Japan</t>
  </si>
  <si>
    <t>Zhangjiagang, Suzhou, Jiangsu, China</t>
  </si>
  <si>
    <t>Zhuhai, Zhuhai, Guangdong, China</t>
  </si>
  <si>
    <t>Hong Kong, Hong Kong;Shekou, Shenzhen, Guangdong, China</t>
  </si>
  <si>
    <r>
      <rPr>
        <b/>
        <sz val="10"/>
        <color indexed="8"/>
        <rFont val="Arial"/>
        <family val="2"/>
      </rPr>
      <t>a</t>
    </r>
    <r>
      <rPr>
        <sz val="10"/>
        <color indexed="8"/>
        <rFont val="Arial"/>
        <family val="2"/>
      </rPr>
      <t>. Fletes validos para mercancia FAK (harmless). No incluye: MARMOL BLOQUE/PIELES/SCRAPS/HIGH VALUE CARGO</t>
    </r>
  </si>
  <si>
    <r>
      <t xml:space="preserve">b. </t>
    </r>
    <r>
      <rPr>
        <sz val="10"/>
        <color theme="1"/>
        <rFont val="Arial"/>
        <family val="2"/>
      </rPr>
      <t xml:space="preserve">Fletes incluyen CAF, BAF, GAS, SUZ, EMS, LSA y THC  y estan </t>
    </r>
    <r>
      <rPr>
        <sz val="10"/>
        <rFont val="Arial"/>
        <family val="2"/>
      </rPr>
      <t>sujetos DOC/AMS (for China &amp; Japan)/T3 y resto de gastos locales</t>
    </r>
  </si>
  <si>
    <r>
      <rPr>
        <b/>
        <sz val="10"/>
        <color theme="1"/>
        <rFont val="Arial"/>
        <family val="2"/>
      </rPr>
      <t>c.</t>
    </r>
    <r>
      <rPr>
        <sz val="10"/>
        <color theme="1"/>
        <rFont val="Arial"/>
        <family val="2"/>
      </rPr>
      <t xml:space="preserve"> Sujeto a los gastos de Destino</t>
    </r>
  </si>
  <si>
    <r>
      <rPr>
        <b/>
        <sz val="10"/>
        <color indexed="8"/>
        <rFont val="Arial"/>
        <family val="2"/>
      </rPr>
      <t>d.</t>
    </r>
    <r>
      <rPr>
        <sz val="10"/>
        <color indexed="8"/>
        <rFont val="Arial"/>
        <family val="2"/>
      </rPr>
      <t xml:space="preserve"> Sujetos a VGM (VLC = EUR 10/cntr)</t>
    </r>
  </si>
  <si>
    <r>
      <rPr>
        <b/>
        <sz val="10"/>
        <color indexed="8"/>
        <rFont val="Arial"/>
        <family val="2"/>
      </rPr>
      <t>e</t>
    </r>
    <r>
      <rPr>
        <sz val="10"/>
        <color indexed="8"/>
        <rFont val="Arial"/>
        <family val="2"/>
      </rPr>
      <t>. B/L - M/F Correction on AMS :</t>
    </r>
    <r>
      <rPr>
        <sz val="10"/>
        <rFont val="Arial"/>
        <family val="2"/>
      </rPr>
      <t xml:space="preserve"> EUR 50</t>
    </r>
    <r>
      <rPr>
        <sz val="10"/>
        <color indexed="8"/>
        <rFont val="Arial"/>
        <family val="2"/>
      </rPr>
      <t xml:space="preserve"> / correction</t>
    </r>
  </si>
  <si>
    <r>
      <rPr>
        <b/>
        <sz val="10"/>
        <rFont val="Arial"/>
        <family val="2"/>
      </rPr>
      <t>f.</t>
    </r>
    <r>
      <rPr>
        <sz val="10"/>
        <rFont val="Arial"/>
        <family val="2"/>
      </rPr>
      <t xml:space="preserve"> B/L Fee EUR 100/BL for manual submission, EUR 30/BL for submission (BKG&amp;SI) through My OOCL Center</t>
    </r>
  </si>
  <si>
    <t xml:space="preserve">g. DG charge of USD 100/cntr, excluding PSA charges via T/S Singapore. </t>
  </si>
  <si>
    <r>
      <rPr>
        <b/>
        <sz val="10"/>
        <rFont val="Arial"/>
        <family val="2"/>
      </rPr>
      <t>i</t>
    </r>
    <r>
      <rPr>
        <sz val="10"/>
        <rFont val="Arial"/>
        <family val="2"/>
      </rPr>
      <t>. AMS CHINA/JAP: EUR 25/BL</t>
    </r>
  </si>
  <si>
    <r>
      <rPr>
        <b/>
        <sz val="10"/>
        <color indexed="8"/>
        <rFont val="Arial"/>
        <family val="2"/>
      </rPr>
      <t>j.</t>
    </r>
    <r>
      <rPr>
        <sz val="10"/>
        <color indexed="8"/>
        <rFont val="Arial"/>
        <family val="2"/>
      </rPr>
      <t xml:space="preserve">  Sujetos a TCM EUR 10/cntr</t>
    </r>
  </si>
  <si>
    <r>
      <rPr>
        <b/>
        <sz val="10"/>
        <rFont val="Arial"/>
        <family val="2"/>
      </rPr>
      <t>k</t>
    </r>
    <r>
      <rPr>
        <sz val="10"/>
        <rFont val="Arial"/>
        <family val="2"/>
      </rPr>
      <t>. LSA (Low Sulphur Additional) DRY INCLUDED</t>
    </r>
  </si>
  <si>
    <r>
      <rPr>
        <b/>
        <sz val="10"/>
        <color rgb="FF000000"/>
        <rFont val="Arial"/>
        <family val="2"/>
      </rPr>
      <t xml:space="preserve">m. </t>
    </r>
    <r>
      <rPr>
        <sz val="10"/>
        <color indexed="8"/>
        <rFont val="Arial"/>
        <family val="2"/>
      </rPr>
      <t xml:space="preserve"> DG Documentation fee:    Eur 40,- x ONU (maximo 3 x doc)</t>
    </r>
  </si>
  <si>
    <t>Attention - for all DG cargo going to / via Singapore we will require MSDS sheet prior to shipment in order to determine acceptance / PSA costs!</t>
  </si>
  <si>
    <t>“PSA costs (DHT) tariff per 20’/40’/45’ for DG TSH via SIN w.e.f. 1 Nov 2023</t>
  </si>
  <si>
    <t>PSA 3/2F/2S: SGD 180/360/405      </t>
  </si>
  <si>
    <t>PSA 2B/2C: SGD 930/1485/1643                                                     </t>
  </si>
  <si>
    <t>PSA 2A: SGD: 1080/1635/1793      </t>
  </si>
  <si>
    <t>PSA 1S: SGD: 380/560/605                           </t>
  </si>
  <si>
    <t>PSA 1C/1N: SGD 1130/1685/1843</t>
  </si>
  <si>
    <t>PSA 2 (for Lighter UN1057): SGD 1690/2605/2853                  </t>
  </si>
  <si>
    <t>PSA 2 (except Lighter UN1057): SGD 1290/2205/2453</t>
  </si>
  <si>
    <t>PSA 1D: SGD 1490/2405/2653</t>
  </si>
  <si>
    <t>Pls check before booking acceptance. Subject DG acceptance and local regulations at destination</t>
  </si>
  <si>
    <t>EXPORT BCN/VLC &gt; FAR EAST</t>
  </si>
  <si>
    <t>Barcelona/Valencia</t>
  </si>
  <si>
    <t>Barcelona</t>
  </si>
  <si>
    <t>Valencia</t>
  </si>
  <si>
    <t>Direct WM1</t>
  </si>
  <si>
    <t>Directo</t>
  </si>
  <si>
    <t>Direct / WM1</t>
  </si>
  <si>
    <r>
      <t xml:space="preserve">b. </t>
    </r>
    <r>
      <rPr>
        <sz val="10"/>
        <color theme="1"/>
        <rFont val="Arial"/>
        <family val="2"/>
      </rPr>
      <t xml:space="preserve">Fletes incluyen CAF, BAF, GAS &amp; SUZ y estan </t>
    </r>
    <r>
      <rPr>
        <sz val="10"/>
        <rFont val="Arial"/>
        <family val="2"/>
      </rPr>
      <t xml:space="preserve">sujetos DOC/AMS (for China &amp; Japan)/T3 </t>
    </r>
  </si>
  <si>
    <r>
      <rPr>
        <b/>
        <sz val="10"/>
        <color rgb="FF000000"/>
        <rFont val="Arial"/>
        <family val="2"/>
      </rPr>
      <t xml:space="preserve">j.  </t>
    </r>
    <r>
      <rPr>
        <sz val="10"/>
        <color indexed="8"/>
        <rFont val="Arial"/>
        <family val="2"/>
      </rPr>
      <t>Sujetos a TCM Eur 10/cntr</t>
    </r>
  </si>
  <si>
    <r>
      <rPr>
        <b/>
        <sz val="10"/>
        <rFont val="Arial"/>
        <family val="2"/>
      </rPr>
      <t>k.</t>
    </r>
    <r>
      <rPr>
        <sz val="10"/>
        <rFont val="Arial"/>
        <family val="2"/>
      </rPr>
      <t xml:space="preserve"> LSA (Low Sulphur Additional) DRY INCLUDED</t>
    </r>
  </si>
  <si>
    <r>
      <rPr>
        <b/>
        <sz val="10"/>
        <rFont val="Arial"/>
        <family val="2"/>
      </rPr>
      <t xml:space="preserve">m. </t>
    </r>
    <r>
      <rPr>
        <sz val="10"/>
        <rFont val="Arial"/>
        <family val="2"/>
      </rPr>
      <t xml:space="preserve"> DG Documentation fee:    Eur 40,- x ONU (maximo 3 x doc)</t>
    </r>
  </si>
  <si>
    <t>INCL.</t>
  </si>
  <si>
    <t>Prepaid</t>
  </si>
  <si>
    <t>SERVICIO SUSPENDIDO</t>
  </si>
  <si>
    <t>EXPORT BCN/VLC/ALG &gt; INDIA/PAKISTAN</t>
  </si>
  <si>
    <t>Haldia, West Bengal, India</t>
  </si>
  <si>
    <t>Chattogram, Bangladesh</t>
  </si>
  <si>
    <t>1550</t>
  </si>
  <si>
    <t>Kattupalli, India</t>
  </si>
  <si>
    <t>Via Jeddah / 37 dias</t>
  </si>
  <si>
    <t>Colombo, Sri Lanka</t>
  </si>
  <si>
    <t>Via Jeddah / 28 dias</t>
  </si>
  <si>
    <t>Keamari, Karachi, Sindh, Pakistan</t>
  </si>
  <si>
    <t>900</t>
  </si>
  <si>
    <t>Kolkata, West Bengal, India</t>
  </si>
  <si>
    <t>Mundra, Gujarat, India</t>
  </si>
  <si>
    <t>Nhava Sheva, Maharashtra, India</t>
  </si>
  <si>
    <t>Visakhapatnam, Andhra Pradesh, India</t>
  </si>
  <si>
    <t>via Jeddah / 33 dias</t>
  </si>
  <si>
    <t>750</t>
  </si>
  <si>
    <t>.</t>
  </si>
  <si>
    <r>
      <rPr>
        <b/>
        <sz val="10"/>
        <color indexed="8"/>
        <rFont val="Arial"/>
        <family val="2"/>
      </rPr>
      <t>d.</t>
    </r>
    <r>
      <rPr>
        <sz val="10"/>
        <color indexed="8"/>
        <rFont val="Arial"/>
        <family val="2"/>
      </rPr>
      <t xml:space="preserve"> Sujetos a VGM (VLC = EUR/10 cntr)</t>
    </r>
  </si>
  <si>
    <r>
      <rPr>
        <b/>
        <sz val="10"/>
        <rFont val="Arial"/>
        <family val="2"/>
      </rPr>
      <t>f</t>
    </r>
    <r>
      <rPr>
        <sz val="10"/>
        <rFont val="Arial"/>
        <family val="2"/>
      </rPr>
      <t>. B/L Fee EUR 100/BL for manual submission, EUR 30/BL  for submission (BKG&amp;SI) through My OOCL Center</t>
    </r>
  </si>
  <si>
    <t>EXPORT BCN/VLC/ALG &gt; USA</t>
  </si>
  <si>
    <t>Contrato 85349</t>
  </si>
  <si>
    <t>RATE DATE: Fecha de entrada en terminal/GATE IN</t>
  </si>
  <si>
    <t>Rates NOT applicable for Dangerous Cargo (class 1&amp;7). Exclude high value cargo (&gt;$500,000 value).</t>
  </si>
  <si>
    <t>FCR (TEU)</t>
  </si>
  <si>
    <t>15 dias</t>
  </si>
  <si>
    <t>21 dias</t>
  </si>
  <si>
    <t>17 dias</t>
  </si>
  <si>
    <t>19 dias</t>
  </si>
  <si>
    <t>VALENCIA</t>
  </si>
  <si>
    <t>12 dias</t>
  </si>
  <si>
    <t>14 dias</t>
  </si>
  <si>
    <t>16 dias</t>
  </si>
  <si>
    <t>ALGECIRAS</t>
  </si>
  <si>
    <t>9 dias</t>
  </si>
  <si>
    <t>11 dias</t>
  </si>
  <si>
    <t>13 dias</t>
  </si>
  <si>
    <t>(*) Please note that the rail CY in Houston is located away from the port and therefore the maximum payload can only be per the standard road weight limits (there are no tri-axle services available) </t>
  </si>
  <si>
    <t>RAIL RAMPS  // NO se acepta carga IMO //</t>
  </si>
  <si>
    <t>Location</t>
  </si>
  <si>
    <t>Postal Code</t>
  </si>
  <si>
    <t>Mode</t>
  </si>
  <si>
    <t>Over Location</t>
  </si>
  <si>
    <t>Transport Mode</t>
  </si>
  <si>
    <t>Rate 20</t>
  </si>
  <si>
    <t>Rate 40</t>
  </si>
  <si>
    <t>Rate 40H</t>
  </si>
  <si>
    <t>Currency</t>
  </si>
  <si>
    <t>Cargo Nature</t>
  </si>
  <si>
    <t>Atlanta, Fulton, Georgia, United States</t>
  </si>
  <si>
    <t>CY</t>
  </si>
  <si>
    <t>Savannah, Chatham, Georgia, United States</t>
  </si>
  <si>
    <t>Rail</t>
  </si>
  <si>
    <t xml:space="preserve">GC </t>
  </si>
  <si>
    <t>Baltimore, Baltimore, Maryland, United States**</t>
  </si>
  <si>
    <t>Norfolk, Norfolk, Virginia, United States</t>
  </si>
  <si>
    <t>Barge</t>
  </si>
  <si>
    <t>**</t>
  </si>
  <si>
    <t>Charlotte, Mecklenburg, North Carolina, United States</t>
  </si>
  <si>
    <t>Chicago, Cook, Illinois, United States</t>
  </si>
  <si>
    <t>New York, New York, New York, United States</t>
  </si>
  <si>
    <t>Cincinnati, Hamilton, Ohio, United States</t>
  </si>
  <si>
    <t>Cleveland, Cuyahoga, Ohio, United States</t>
  </si>
  <si>
    <t>Columbus, Franklin, Ohio, United States</t>
  </si>
  <si>
    <t>Detroit, Wayne, Michigan, United States</t>
  </si>
  <si>
    <t>Front Royal, Fauquier, Virginia, United States</t>
  </si>
  <si>
    <t>Huntsville, Madison, Alabama, United States</t>
  </si>
  <si>
    <t>Kansas City, Jackson, Missouri, United States</t>
  </si>
  <si>
    <t>Louisville, Jefferson, Kentucky, United States</t>
  </si>
  <si>
    <t>Memphis, Shelby, Tennessee, United States</t>
  </si>
  <si>
    <t>Minneapolis, Hennepin, Minnesota, United States**</t>
  </si>
  <si>
    <t>Nashville, Davidson, Tennessee, United States</t>
  </si>
  <si>
    <t>Pittsburgh, Allegheny, Pennsylvania, United States</t>
  </si>
  <si>
    <t>Saint Louis, Saint Louis, Missouri, United States</t>
  </si>
  <si>
    <t>Worcester, Worcester, Massachusetts, United States(Boston)</t>
  </si>
  <si>
    <t>01604</t>
  </si>
  <si>
    <t xml:space="preserve">    THD (CARGA DRY):</t>
  </si>
  <si>
    <r>
      <t xml:space="preserve">USD 500/20'  Usd 600/40' - NO incluido en el flete </t>
    </r>
    <r>
      <rPr>
        <b/>
        <sz val="12"/>
        <color rgb="FFFF0000"/>
        <rFont val="Calibri"/>
        <family val="2"/>
        <scheme val="minor"/>
      </rPr>
      <t>*** La THD por defecto se aplica COLLECT. En caso de que deba aplicarse prepaid debe indicarse tanto al solicitar el booking como al enviar las SI ***</t>
    </r>
  </si>
  <si>
    <t>* EXCEPCION para EFECTOS PERSONALES: FLETE/FUEL/THD seran SIEMPRE PREPAID *</t>
  </si>
  <si>
    <t>EUR 210/cntr</t>
  </si>
  <si>
    <t>Miami Wharfage</t>
  </si>
  <si>
    <t>USD 38,75/teu</t>
  </si>
  <si>
    <t>Houston Wharfage</t>
  </si>
  <si>
    <t>USD 63,06/cntr</t>
  </si>
  <si>
    <t>No se aceptan IMO's 1.4S 1.4G and 7.</t>
  </si>
  <si>
    <t>IMO Surcharge (except Savannah)</t>
  </si>
  <si>
    <t>USD 250/cntr</t>
  </si>
  <si>
    <t>IMO Surcharge  to Savannah)</t>
  </si>
  <si>
    <t>USD 325/cntr</t>
  </si>
  <si>
    <t>IMO Documentation</t>
  </si>
  <si>
    <t>EUR 40/UN</t>
  </si>
  <si>
    <t xml:space="preserve">SMD (Security Manifest Doc fee):             </t>
  </si>
  <si>
    <t>EUR 25/BL&amp;transmission</t>
  </si>
  <si>
    <t>TCM (Terminal Customs Monitoring)</t>
  </si>
  <si>
    <t>EUR 10/cntr</t>
  </si>
  <si>
    <t xml:space="preserve"> </t>
  </si>
  <si>
    <t xml:space="preserve">Documentación:                                          </t>
  </si>
  <si>
    <t>EUR 100/BL</t>
  </si>
  <si>
    <t xml:space="preserve">Tasa mercancía + Tara cntr. BCN:                                    </t>
  </si>
  <si>
    <t>EUR 21.20/20'  EUR 31,80/40'</t>
  </si>
  <si>
    <t xml:space="preserve">Tasa mercancía + Tara cntr. VLC:                                    </t>
  </si>
  <si>
    <t>EUR 25.44/20'  EUR 38.16/40'</t>
  </si>
  <si>
    <t xml:space="preserve">Tasa mercancía + Tara cntr. ALR:                                    </t>
  </si>
  <si>
    <t>EUR 26.55/20'  EUR 35.78/40'</t>
  </si>
  <si>
    <t xml:space="preserve">Quebranto bancario:                                   </t>
  </si>
  <si>
    <t>1% s/ gastos en moneda extranjera</t>
  </si>
  <si>
    <t>VGM Valencia:</t>
  </si>
  <si>
    <t>VGM Barcelona:</t>
  </si>
  <si>
    <t>For shippers account / If done by OOCL EUR 18/cntr</t>
  </si>
  <si>
    <t>VGM Algeciras:</t>
  </si>
  <si>
    <t>For shippers account /Only if ONC is done by OOCL then VGM If done by OOCL EUR 55/cntr</t>
  </si>
  <si>
    <t>SOC SURCHARGE</t>
  </si>
  <si>
    <t>EU ETS Compliance Fee:</t>
  </si>
  <si>
    <t>PESO MAXIMO AUTORIZADO PARA CIRCULAR POR FERROCARRIL EL INTERIOR DE EEUU</t>
  </si>
  <si>
    <t xml:space="preserve">20´dv- 19.950 kgs    </t>
  </si>
  <si>
    <t xml:space="preserve">40´dv-hq- 23.580 kgs </t>
  </si>
  <si>
    <r>
      <t xml:space="preserve">** Si hay un traslado de terminal en los transportes Rail, el peso máximo permitido es el mismo que si se moviera </t>
    </r>
    <r>
      <rPr>
        <b/>
        <u/>
        <sz val="10.5"/>
        <color rgb="FFFF0000"/>
        <rFont val="Calibri"/>
        <family val="2"/>
      </rPr>
      <t>por carretera</t>
    </r>
    <r>
      <rPr>
        <b/>
        <sz val="10.5"/>
        <color rgb="FFFF0000"/>
        <rFont val="Calibri"/>
        <family val="2"/>
      </rPr>
      <t xml:space="preserve"> (se reduce)** / Rail/Ramp via Charleston peso maximo el de carretera solo</t>
    </r>
  </si>
  <si>
    <t>Se puede aceptar hasta 20' gp 21.540 kgs  y 40'gp-hq 26.300 kgs con un adicional de OverWeight de USD 230/cntr</t>
  </si>
  <si>
    <t>PESO MAXIMO AUTORIZADO PARA CIRCULAR POR CARRETERA EL INTERIOR DE EEUU</t>
  </si>
  <si>
    <r>
      <t>·</t>
    </r>
    <r>
      <rPr>
        <sz val="7"/>
        <rFont val="Times New Roman"/>
        <family val="1"/>
      </rPr>
      <t xml:space="preserve">         </t>
    </r>
    <r>
      <rPr>
        <sz val="10.5"/>
        <rFont val="Calibri"/>
        <family val="2"/>
      </rPr>
      <t>20´dv- 39,500lbs – 17920 kgs</t>
    </r>
  </si>
  <si>
    <r>
      <t>·</t>
    </r>
    <r>
      <rPr>
        <sz val="7"/>
        <rFont val="Times New Roman"/>
        <family val="1"/>
      </rPr>
      <t xml:space="preserve">         </t>
    </r>
    <r>
      <rPr>
        <sz val="10.5"/>
        <rFont val="Calibri"/>
        <family val="2"/>
      </rPr>
      <t>40´dv- 44,500lbs – 20190 kgs</t>
    </r>
  </si>
  <si>
    <r>
      <t>Pesos máximos que podremos aceptar para sus embarques hasta puerto americano</t>
    </r>
    <r>
      <rPr>
        <b/>
        <sz val="10"/>
        <rFont val="Verdana"/>
        <family val="2"/>
      </rPr>
      <t>:</t>
    </r>
  </si>
  <si>
    <t>USA DRY</t>
  </si>
  <si>
    <t>20 ft GP</t>
  </si>
  <si>
    <t>40 ft GP/HQ</t>
  </si>
  <si>
    <t>45 ft HQ</t>
  </si>
  <si>
    <t>Service</t>
  </si>
  <si>
    <t>Action required</t>
  </si>
  <si>
    <t>Maximum cargo weight allowed for use of OOCL container</t>
  </si>
  <si>
    <t>62.100 lbs- 28165KGS</t>
  </si>
  <si>
    <t>58,700 lbs-26623KGS</t>
  </si>
  <si>
    <t xml:space="preserve">56,600 lbs- 25671KGS </t>
  </si>
  <si>
    <t>Port CY service only</t>
  </si>
  <si>
    <t>Cargo weight can not move via highway.  Transload arrangements, highway permits and special use equipment are the responsibility of the customer.  Customer is responsible for all additional cost, including transload, highway weight penalty/fine, etc.   OOCL does not provide chassis.  Requires re-work at marine terminal before highway move.</t>
  </si>
  <si>
    <r>
      <t>INLAND RAMP STORAGE COST</t>
    </r>
    <r>
      <rPr>
        <sz val="11"/>
        <rFont val="Calibri"/>
        <family val="2"/>
      </rPr>
      <t>:</t>
    </r>
  </si>
  <si>
    <t>Customer is responsible for rail ramp storage charges, according to tariff terms. Allow 48 hours for special chassis or permit request.</t>
  </si>
  <si>
    <t>If special equipment not available, OOCL is not responsible for delay, customer is responsible for storage cost.</t>
  </si>
  <si>
    <t>FREE TIME EN USA:</t>
  </si>
  <si>
    <t>Rule Tariff Detail (oocl.com)</t>
  </si>
  <si>
    <t>EXPORT ALG/BCN/VLC &gt; SUDAMERICA</t>
  </si>
  <si>
    <t>Buenos Aires, Argentina</t>
  </si>
  <si>
    <t>Via Algeciras</t>
  </si>
  <si>
    <t>ONLY PREPAID</t>
  </si>
  <si>
    <t>Paranagua, Parana, Brazil</t>
  </si>
  <si>
    <t>825</t>
  </si>
  <si>
    <t>875</t>
  </si>
  <si>
    <t>Rio de Janeiro, Brazil</t>
  </si>
  <si>
    <t>Santos, Sao Paulo, Brazil</t>
  </si>
  <si>
    <t>Montevideo, Uruguay</t>
  </si>
  <si>
    <t>300</t>
  </si>
  <si>
    <r>
      <rPr>
        <b/>
        <sz val="10"/>
        <rFont val="Arial"/>
        <family val="2"/>
      </rPr>
      <t>c</t>
    </r>
    <r>
      <rPr>
        <sz val="10"/>
        <rFont val="Arial"/>
        <family val="2"/>
      </rPr>
      <t>. DG charge of EUR 250/cntr</t>
    </r>
  </si>
  <si>
    <t>d. FCR INCLUDED</t>
  </si>
  <si>
    <r>
      <rPr>
        <b/>
        <sz val="10"/>
        <color theme="1"/>
        <rFont val="Arial"/>
        <family val="2"/>
      </rPr>
      <t>h.</t>
    </r>
    <r>
      <rPr>
        <sz val="10"/>
        <color theme="1"/>
        <rFont val="Arial"/>
        <family val="2"/>
      </rPr>
      <t xml:space="preserve"> Equipmen maintenance premium(Buenos Aires):  USD 30/cntr - COLLECT</t>
    </r>
  </si>
  <si>
    <r>
      <rPr>
        <b/>
        <sz val="10"/>
        <color rgb="FF000000"/>
        <rFont val="Arial"/>
        <family val="2"/>
      </rPr>
      <t xml:space="preserve">i. </t>
    </r>
    <r>
      <rPr>
        <sz val="10"/>
        <color indexed="8"/>
        <rFont val="Arial"/>
        <family val="2"/>
      </rPr>
      <t>B/L - M/F Correction on AMS :</t>
    </r>
    <r>
      <rPr>
        <sz val="10"/>
        <rFont val="Arial"/>
        <family val="2"/>
      </rPr>
      <t xml:space="preserve"> EUR 50</t>
    </r>
    <r>
      <rPr>
        <sz val="10"/>
        <color indexed="8"/>
        <rFont val="Arial"/>
        <family val="2"/>
      </rPr>
      <t xml:space="preserve"> / correction</t>
    </r>
  </si>
  <si>
    <r>
      <rPr>
        <b/>
        <sz val="10"/>
        <rFont val="Arial"/>
        <family val="2"/>
      </rPr>
      <t>j</t>
    </r>
    <r>
      <rPr>
        <sz val="10"/>
        <rFont val="Arial"/>
        <family val="2"/>
      </rPr>
      <t>. B/L Fee EUR 100/BL for manual submission, EUR 30/BL  for submission (BKG&amp;SI) through My OOCL Center</t>
    </r>
  </si>
  <si>
    <r>
      <rPr>
        <b/>
        <sz val="10"/>
        <color indexed="8"/>
        <rFont val="Arial"/>
        <family val="2"/>
      </rPr>
      <t>k.</t>
    </r>
    <r>
      <rPr>
        <sz val="10"/>
        <color indexed="8"/>
        <rFont val="Arial"/>
        <family val="2"/>
      </rPr>
      <t xml:space="preserve"> Sujetos a VGM (VLC = EUR 10/cntr) - resto de puertos por cta cliente (si no consultar)</t>
    </r>
  </si>
  <si>
    <r>
      <rPr>
        <b/>
        <sz val="10"/>
        <color indexed="8"/>
        <rFont val="Arial"/>
        <family val="2"/>
      </rPr>
      <t>l.</t>
    </r>
    <r>
      <rPr>
        <sz val="10"/>
        <color indexed="8"/>
        <rFont val="Arial"/>
        <family val="2"/>
      </rPr>
      <t xml:space="preserve"> INCLUIDA TCM EUR 10/cntr</t>
    </r>
  </si>
  <si>
    <r>
      <rPr>
        <b/>
        <sz val="10"/>
        <color indexed="8"/>
        <rFont val="Arial"/>
        <family val="2"/>
      </rPr>
      <t>m.</t>
    </r>
    <r>
      <rPr>
        <sz val="10"/>
        <color indexed="8"/>
        <rFont val="Arial"/>
        <family val="2"/>
      </rPr>
      <t xml:space="preserve">  Sujetos a T3 - BCN/VLC/Algeciras simplificada </t>
    </r>
  </si>
  <si>
    <t>Piraeus</t>
  </si>
  <si>
    <t>POL: Barcelona/Valencia/Bilbao/Vigo/Algeciras</t>
  </si>
  <si>
    <t>EXPORT</t>
  </si>
  <si>
    <t>Export</t>
  </si>
  <si>
    <t>DRY</t>
  </si>
  <si>
    <t>REEFER</t>
  </si>
  <si>
    <t>20'GP</t>
  </si>
  <si>
    <t>40'GP/HQ</t>
  </si>
  <si>
    <t>20'RF</t>
  </si>
  <si>
    <t>40'RQ</t>
  </si>
  <si>
    <t>Manipulaciones/THC - BCN/VLC/ALG/BIO/VGO</t>
  </si>
  <si>
    <t>Eur 210,- x cntr DRY</t>
  </si>
  <si>
    <t>Eur 320,- x cntr Reefer</t>
  </si>
  <si>
    <t>Documentacion/DOC (*) from 1/1/2022</t>
  </si>
  <si>
    <t>Eur 100,- x BL</t>
  </si>
  <si>
    <t>IMO Documentation/DGF</t>
  </si>
  <si>
    <t>Eur 40,- x ONU (maximo 3 x doc)*</t>
  </si>
  <si>
    <t>* Eur 5 x ONU adicional</t>
  </si>
  <si>
    <t>T-3 commodity - Wharfage / WHF-WHO - BIO</t>
  </si>
  <si>
    <t>Eur 2,65 x ton</t>
  </si>
  <si>
    <t>T-3 tara - Wharfage / PDU - Bilbao</t>
  </si>
  <si>
    <t>Eur 2,51</t>
  </si>
  <si>
    <t>Eur 5,02</t>
  </si>
  <si>
    <t>T-3 Simplificada - WHF - Algeciras</t>
  </si>
  <si>
    <t>Eur 26,55</t>
  </si>
  <si>
    <t>Eur 35,78</t>
  </si>
  <si>
    <t>T-3 simplificada / WHF - Barcelona</t>
  </si>
  <si>
    <t>Eur 21,20</t>
  </si>
  <si>
    <t>Eur 31,80</t>
  </si>
  <si>
    <t>T-3 simplificada / WHF - Valencia</t>
  </si>
  <si>
    <t>Eur 25,44</t>
  </si>
  <si>
    <t>Eur 38,16</t>
  </si>
  <si>
    <t>T-3 simplificada / TPI   - Vigo</t>
  </si>
  <si>
    <t>USA/China/Japan M/F Transmission</t>
  </si>
  <si>
    <t>Eur 25,- x BL</t>
  </si>
  <si>
    <t>Amendment after transmission USA</t>
  </si>
  <si>
    <t>TERMINAL CUSTOMS MONITORING (TCM)</t>
  </si>
  <si>
    <t>Eur 10/cntr</t>
  </si>
  <si>
    <t>VALENCIA/BARCELONA: Cambio Status cntr (*)</t>
  </si>
  <si>
    <t>Eur 50/cntr</t>
  </si>
  <si>
    <t>VGM Valencia (Noatum- all cntrs will be weighted)**</t>
  </si>
  <si>
    <t>Eur 10,- x cntr</t>
  </si>
  <si>
    <t>VGM Valencia (APM Terminals) **Optional - TRUCK</t>
  </si>
  <si>
    <t>Eur 30.00 x cntr</t>
  </si>
  <si>
    <t>VGM Valencia (APM Terminals) **Optional  - RAIL</t>
  </si>
  <si>
    <t>Eur 60.00 x cntr</t>
  </si>
  <si>
    <t>VGM VIGO (VGM done by TML at arrival)</t>
  </si>
  <si>
    <t>Eur 6,58 x cntr</t>
  </si>
  <si>
    <t>VGM BILBAO (VGM done by TML at arrival)</t>
  </si>
  <si>
    <r>
      <t xml:space="preserve">VGM BCN </t>
    </r>
    <r>
      <rPr>
        <b/>
        <sz val="11"/>
        <color theme="1"/>
        <rFont val="Calibri"/>
        <family val="2"/>
        <scheme val="minor"/>
      </rPr>
      <t>*** - opcional</t>
    </r>
  </si>
  <si>
    <t>Eur 23.37 x cntr</t>
  </si>
  <si>
    <t>VGM BCN (BEST Terminals) **Optional  - RAIL</t>
  </si>
  <si>
    <t>Eur 53.65 x cntr</t>
  </si>
  <si>
    <t>VGM  ALGECIRAS - opcional - Solo con Carrier Haulage</t>
  </si>
  <si>
    <t>Eur 55,- x cntr</t>
  </si>
  <si>
    <t>La terminal no pesa</t>
  </si>
  <si>
    <t>Certificate</t>
  </si>
  <si>
    <t>Eur 30,- x Certificate</t>
  </si>
  <si>
    <t>BOOKING CANCELATION FEE (BCF)</t>
  </si>
  <si>
    <t>Eur 50/teu</t>
  </si>
  <si>
    <t>Applicable if the booking is cancelled or transfered to the next vessel 5 or less working days before the cutoff</t>
  </si>
  <si>
    <t>Amendment B/L after 5 days departure</t>
  </si>
  <si>
    <t>Eur 50,- x BL</t>
  </si>
  <si>
    <t>Late Pick Up Fee (1)</t>
  </si>
  <si>
    <t>Quebranto / BNK</t>
  </si>
  <si>
    <t>Customs movement (Posicionado en terminal) BCN - Dry</t>
  </si>
  <si>
    <t>Eur 76/cntr</t>
  </si>
  <si>
    <t>Customs movement (Posicionado en terminal) BCN - Reefer</t>
  </si>
  <si>
    <t>Eur 95/ cntr</t>
  </si>
  <si>
    <t>Customs movement (Posicionado en terminal) VLC</t>
  </si>
  <si>
    <t>Eur 105/cntr</t>
  </si>
  <si>
    <t>Customs movement (Posicionado en terminal) ALR</t>
  </si>
  <si>
    <t>Customs movement (Posicionado en terminal) BIO</t>
  </si>
  <si>
    <t>Customs movement (Posicionado en terminal) VIGO</t>
  </si>
  <si>
    <t>Eur 35/cntr</t>
  </si>
  <si>
    <t>Gate In/Out (puertas) BCN</t>
  </si>
  <si>
    <t xml:space="preserve">Eur 85/20' </t>
  </si>
  <si>
    <t>Eur 95/40'</t>
  </si>
  <si>
    <t>Gate In/Out (puertas) VLC</t>
  </si>
  <si>
    <t>Eur 85/20'</t>
  </si>
  <si>
    <t>Gate In/Out (puertas) BIO</t>
  </si>
  <si>
    <t>Eur 95/20'</t>
  </si>
  <si>
    <t>Gate In/Out (puertas) VIGO</t>
  </si>
  <si>
    <t>Eur 55/20'</t>
  </si>
  <si>
    <t>Eur 55/40'</t>
  </si>
  <si>
    <t>Gate In/Out (puertas) ALGECIRAS</t>
  </si>
  <si>
    <t>Customs Clearance</t>
  </si>
  <si>
    <t>Eur 50,-</t>
  </si>
  <si>
    <t xml:space="preserve"> DAE - Green</t>
  </si>
  <si>
    <t>Eur 20,- x DAE</t>
  </si>
  <si>
    <t>DAE - Orange</t>
  </si>
  <si>
    <t>Eur 25,- x DAE</t>
  </si>
  <si>
    <t xml:space="preserve"> DAE - Red</t>
  </si>
  <si>
    <t>Eur30,- x DAE</t>
  </si>
  <si>
    <t>PTI fail</t>
  </si>
  <si>
    <t>Eur 75,-</t>
  </si>
  <si>
    <t>Eur 95,-</t>
  </si>
  <si>
    <t>Cntr pre-assignation BCN/VLC/BIO/VGO/AGR</t>
  </si>
  <si>
    <t xml:space="preserve">Eur 75,-   </t>
  </si>
  <si>
    <t>Data logger, etc (MOR)</t>
  </si>
  <si>
    <t>Usd 300</t>
  </si>
  <si>
    <t>Cntr Food Grade preparation</t>
  </si>
  <si>
    <t>Cesion Transporte en Bilbao/Vigo</t>
  </si>
  <si>
    <t>Eur 20,-</t>
  </si>
  <si>
    <t xml:space="preserve">Custom Stop (Doble parada tte.) - BCN </t>
  </si>
  <si>
    <t>EUR 92/cntr</t>
  </si>
  <si>
    <t>Custom Stop (Doble parada tte.) - ZARAGOZA</t>
  </si>
  <si>
    <t>EUR 60/cntr</t>
  </si>
  <si>
    <t>Custom Stop (Doble parada tte.) - VLC</t>
  </si>
  <si>
    <t>Custom Stop (Doble parada tte.) - MADRID</t>
  </si>
  <si>
    <t>EUR 72/cntr</t>
  </si>
  <si>
    <t>Custom Stop (Doble parada tte.) - ALG</t>
  </si>
  <si>
    <t>Custom Stop (Doble parada tte.) - BIO</t>
  </si>
  <si>
    <t>Custom Stop (Doble parada tte.) - VIGO</t>
  </si>
  <si>
    <t>EUR 51/cntr</t>
  </si>
  <si>
    <t>Eur 40,- x bl</t>
  </si>
  <si>
    <t xml:space="preserve">(*) Booking &amp; Shipping Instructions BY OOCL WEB </t>
  </si>
  <si>
    <t>Eur 30,- x bl</t>
  </si>
  <si>
    <t>(1) Late Pick up Fee</t>
  </si>
  <si>
    <t>Si el BL no se retira antes de 5 dias laborables a la salida del buque</t>
  </si>
  <si>
    <t>(***) VGM BCN:</t>
  </si>
  <si>
    <t>If done by customer VGM must be transmitted within the 24 hrs of cntr arrival. If not done in time there will be one horizontal movement applied by terminal Eur 50,- x cntr</t>
  </si>
  <si>
    <t>(**) VGM VLC:</t>
  </si>
  <si>
    <t>NOATUM - Done  always by terminal, so applicable TO ALL cntrs moved via Valencia port (Noatum Terminal)</t>
  </si>
  <si>
    <t>(*) Cambio Status cntr (VLC-BCN)</t>
  </si>
  <si>
    <t>Cambio destino/Cambio Buque/Rolling falta despacho - Una vez el cntr esta dentro de terminal</t>
  </si>
  <si>
    <t>Outbound Combined Demurrage and Detention (DD2in1)</t>
  </si>
  <si>
    <t>Trade</t>
  </si>
  <si>
    <t>Cargo Nature/Equipment Type</t>
  </si>
  <si>
    <t>Free Time</t>
  </si>
  <si>
    <t>Day Range</t>
  </si>
  <si>
    <t>20'</t>
  </si>
  <si>
    <t>40'</t>
  </si>
  <si>
    <t>40'HQ</t>
  </si>
  <si>
    <t>All trade</t>
  </si>
  <si>
    <t>Dry Container</t>
  </si>
  <si>
    <t>12C</t>
  </si>
  <si>
    <t>1--5</t>
  </si>
  <si>
    <t>Thereafter</t>
  </si>
  <si>
    <t>Special Equipment</t>
  </si>
  <si>
    <t>1--7</t>
  </si>
  <si>
    <t>Reefer Container</t>
  </si>
  <si>
    <t>6C</t>
  </si>
  <si>
    <t>1--2</t>
  </si>
  <si>
    <t>-</t>
  </si>
  <si>
    <t>3--7</t>
  </si>
  <si>
    <t>Non-operating Reefer Container</t>
  </si>
  <si>
    <t>Outbound Combined Demurrage and Detention (DD2in1) Calculation shall commerce on the same day of empty gate out and end at 23:59 on cargo cutoff day.</t>
  </si>
  <si>
    <t>Reefer Monitoring</t>
  </si>
  <si>
    <t>All trade/Barcelona/Valencia/Algeciras/Vigo</t>
  </si>
  <si>
    <t>4C</t>
  </si>
  <si>
    <t>All trade/ Bilbao</t>
  </si>
  <si>
    <t>3C</t>
  </si>
  <si>
    <t>Outbound Quay Rent/Storages at terminal</t>
  </si>
  <si>
    <t>Port</t>
  </si>
  <si>
    <t>Castello de la Plana</t>
  </si>
  <si>
    <t>All</t>
  </si>
  <si>
    <t>10C</t>
  </si>
  <si>
    <t>7C</t>
  </si>
  <si>
    <t>Bilbao</t>
  </si>
  <si>
    <t>1--3</t>
  </si>
  <si>
    <t>4--14</t>
  </si>
  <si>
    <t>15--26</t>
  </si>
  <si>
    <t>Vigo</t>
  </si>
  <si>
    <t>5C</t>
  </si>
  <si>
    <t>1--9</t>
  </si>
  <si>
    <t>10--25</t>
  </si>
  <si>
    <t>8--13</t>
  </si>
  <si>
    <r>
      <t xml:space="preserve">* En caso de equipo especial extramedidas, se factura adicional de </t>
    </r>
    <r>
      <rPr>
        <b/>
        <sz val="11"/>
        <color theme="1"/>
        <rFont val="Calibri"/>
        <family val="2"/>
        <scheme val="minor"/>
      </rPr>
      <t>80 EUR</t>
    </r>
  </si>
  <si>
    <t>Pre-cooling</t>
  </si>
  <si>
    <t>Recargo mercancia caliente Valencia</t>
  </si>
  <si>
    <t>(*) Booking by OOCL WEB</t>
  </si>
  <si>
    <t>Via Fos sur Mer/Port Klang / 57 dias</t>
  </si>
  <si>
    <t>Via Singapore / 43 dias</t>
  </si>
  <si>
    <t>1600</t>
  </si>
  <si>
    <t>1800</t>
  </si>
  <si>
    <t>1300</t>
  </si>
  <si>
    <t>CAF, BAF, GAS, SUZ, LSA, EMS, THC</t>
  </si>
  <si>
    <r>
      <t xml:space="preserve">b. </t>
    </r>
    <r>
      <rPr>
        <sz val="10"/>
        <color theme="1"/>
        <rFont val="Arial"/>
        <family val="2"/>
      </rPr>
      <t xml:space="preserve">Fletes incluyen CAF, BAF, GAS, EMS, LSA, THC origen &amp; SUZ y estan sujetos </t>
    </r>
    <r>
      <rPr>
        <sz val="10"/>
        <rFont val="Arial"/>
        <family val="2"/>
      </rPr>
      <t>DOC/AMS/T3 y resto de gastos locales</t>
    </r>
  </si>
  <si>
    <t>Xiamen</t>
  </si>
  <si>
    <t>Direct / IP1 / 35 dias</t>
  </si>
  <si>
    <t>Direct / IP1 / 39 dias</t>
  </si>
  <si>
    <t>1000</t>
  </si>
  <si>
    <t>Subject to RSM: USD 200/CNTR</t>
  </si>
  <si>
    <t>o. Routing Emergency Surcharge(only for Pakistan) : USD 200/CNTR</t>
  </si>
  <si>
    <r>
      <t xml:space="preserve">p.  </t>
    </r>
    <r>
      <rPr>
        <sz val="10"/>
        <rFont val="Arial"/>
        <family val="2"/>
      </rPr>
      <t>DG Documentation fee:    Eur 40,- x ONU (maximo 3 x doc)</t>
    </r>
  </si>
  <si>
    <t>1100</t>
  </si>
  <si>
    <t>CAF; CSC; FCR; SED</t>
  </si>
  <si>
    <t>INCLUDED</t>
  </si>
  <si>
    <t>FCR (Fuel Cost Recovery) - INCLUDED</t>
  </si>
  <si>
    <t>Miami, Miami-Dade, Florida, United States</t>
  </si>
  <si>
    <t>CONSULTAR CON DPT COMERCIAL PARA CHEQUEAR TIPO DE PSA APLICABLE</t>
  </si>
  <si>
    <t>1825</t>
  </si>
  <si>
    <r>
      <t xml:space="preserve">b. </t>
    </r>
    <r>
      <rPr>
        <sz val="10"/>
        <color theme="1"/>
        <rFont val="Arial"/>
        <family val="2"/>
      </rPr>
      <t>Fletes para Dakar, Abidjan y Tema incluyen LSA y ETS, todos incluyen CAF. Sujetos a otros gastos en origen y destino.</t>
    </r>
  </si>
  <si>
    <r>
      <rPr>
        <b/>
        <sz val="10"/>
        <color theme="1"/>
        <rFont val="Arial"/>
        <family val="2"/>
      </rPr>
      <t>g.</t>
    </r>
    <r>
      <rPr>
        <sz val="10"/>
        <color theme="1"/>
        <rFont val="Arial"/>
        <family val="2"/>
      </rPr>
      <t xml:space="preserve"> River Plate Channel Toll (Buenos Aires):  USD 175/cntr - COLLECT</t>
    </r>
  </si>
  <si>
    <t>350</t>
  </si>
  <si>
    <t>Singapore WM1</t>
  </si>
  <si>
    <t>Hong kong</t>
  </si>
  <si>
    <t>450</t>
  </si>
  <si>
    <t>625</t>
  </si>
  <si>
    <t>Nanjing, Nanjing, Jiangsu, China</t>
  </si>
  <si>
    <t>Hong Kong</t>
  </si>
  <si>
    <t>via Port Kelang / 48 dias</t>
  </si>
  <si>
    <t>via Port Kelang / 50 dias</t>
  </si>
  <si>
    <t>Jebel Ali WM3 31 days</t>
  </si>
  <si>
    <t>Directo WM3/ 32 dias</t>
  </si>
  <si>
    <t>Port Kelang / 45 dias</t>
  </si>
  <si>
    <t xml:space="preserve">        THC Origen (CSC) - INCLUDED</t>
  </si>
  <si>
    <t>(**) Aplica el peso maximo de carretera  ** Standard Road weight limits apply of 17.92T and 20.19T tare weight</t>
  </si>
  <si>
    <r>
      <rPr>
        <b/>
        <sz val="10"/>
        <rFont val="Arial"/>
        <family val="2"/>
      </rPr>
      <t>n.</t>
    </r>
    <r>
      <rPr>
        <sz val="10"/>
        <rFont val="Arial"/>
        <family val="2"/>
      </rPr>
      <t xml:space="preserve"> SOC SURCHARGE: a consultar</t>
    </r>
  </si>
  <si>
    <r>
      <rPr>
        <b/>
        <sz val="10"/>
        <rFont val="Arial"/>
        <family val="2"/>
      </rPr>
      <t xml:space="preserve">n. </t>
    </r>
    <r>
      <rPr>
        <sz val="10"/>
        <rFont val="Arial"/>
        <family val="2"/>
      </rPr>
      <t>SOC SURCHARGE: a consultar</t>
    </r>
  </si>
  <si>
    <t>k. SOC surcharge: a consultar</t>
  </si>
  <si>
    <t>1245</t>
  </si>
  <si>
    <t>1385</t>
  </si>
  <si>
    <t>1405</t>
  </si>
  <si>
    <t>1925</t>
  </si>
  <si>
    <t>Ningbo</t>
  </si>
  <si>
    <t>WM1 TT 53 dias / WM2 T 78 dias</t>
  </si>
  <si>
    <t>EUR 200</t>
  </si>
  <si>
    <t xml:space="preserve">Aplicable a todas aquellas unidades cuya temperatura difiera en más de ±4 grados desde la primera lectura registrada después de su entrada en la terminal hasta el día siguiente a su entrada. </t>
  </si>
  <si>
    <r>
      <t>All trade</t>
    </r>
    <r>
      <rPr>
        <sz val="10"/>
        <rFont val="Arial"/>
        <family val="2"/>
      </rPr>
      <t> </t>
    </r>
  </si>
  <si>
    <r>
      <t>Outbound</t>
    </r>
    <r>
      <rPr>
        <sz val="10"/>
        <rFont val="Arial"/>
        <family val="2"/>
      </rPr>
      <t xml:space="preserve"> </t>
    </r>
    <r>
      <rPr>
        <sz val="12"/>
        <color theme="1"/>
        <rFont val="Calibri"/>
        <family val="2"/>
        <scheme val="minor"/>
      </rPr>
      <t>Quay Rent Calculation shall commence at 00:00am on the first calendar day after full gate in and end at 23:59 on cargo cutoff day</t>
    </r>
  </si>
  <si>
    <t>DEMURRAGES/DETENTIONS/QUAY RENT/REEFER MONITORING from 20/November/2025</t>
  </si>
  <si>
    <t>Rule Tariff Detail</t>
  </si>
  <si>
    <t>Piraeus/Singapore</t>
  </si>
  <si>
    <t>Piraeus / Hong Kong / WM1</t>
  </si>
  <si>
    <t>Piraeus / Port Klang, Selangor, Malaysia;Singapore, Singapore</t>
  </si>
  <si>
    <t>Piraeus / Shanghai, China</t>
  </si>
  <si>
    <t>Piraeus / Singapore, Singapore</t>
  </si>
  <si>
    <t>Piraeus / Singapore</t>
  </si>
  <si>
    <t xml:space="preserve">Piraeus / Ningbo </t>
  </si>
  <si>
    <t>Piraeus / Xiamen</t>
  </si>
  <si>
    <t>Piraeus / Kobe, Hyogo-ken, Japan</t>
  </si>
  <si>
    <t>Piraeus / Nansha;HKG</t>
  </si>
  <si>
    <t>Piraeus / Kaohsiung, Taiwan</t>
  </si>
  <si>
    <t>Piraeus / Tokyo, Japan</t>
  </si>
  <si>
    <t>Piraeus / Qingdao, China</t>
  </si>
  <si>
    <t>Piraeus / Hong Kong, Hong Kong;Shekou, Shenzhen, Guangdong, China</t>
  </si>
  <si>
    <t>Piraeus / Ningbo;shanghai</t>
  </si>
  <si>
    <t>i. DG charge of USD 75/20' Usd 75/40' To India and Pakistan services not routed via Port Klang or Singapore.</t>
  </si>
  <si>
    <r>
      <rPr>
        <b/>
        <sz val="10"/>
        <color indexed="8"/>
        <rFont val="Arial"/>
        <family val="2"/>
      </rPr>
      <t>j.</t>
    </r>
    <r>
      <rPr>
        <sz val="10"/>
        <color indexed="8"/>
        <rFont val="Arial"/>
        <family val="2"/>
      </rPr>
      <t xml:space="preserve">  Sujetos a TCM EUR/10 cntr)</t>
    </r>
  </si>
  <si>
    <r>
      <rPr>
        <b/>
        <sz val="10"/>
        <rFont val="Arial"/>
        <family val="2"/>
      </rPr>
      <t>k</t>
    </r>
    <r>
      <rPr>
        <sz val="10"/>
        <rFont val="Arial"/>
        <family val="2"/>
      </rPr>
      <t>. LSA (Low Sulphur Additional) DRY  INCLUIDO</t>
    </r>
  </si>
  <si>
    <r>
      <rPr>
        <b/>
        <sz val="10"/>
        <rFont val="Arial"/>
        <family val="2"/>
      </rPr>
      <t>m.</t>
    </r>
    <r>
      <rPr>
        <sz val="10"/>
        <rFont val="Arial"/>
        <family val="2"/>
      </rPr>
      <t xml:space="preserve"> SOC SURCHARGE: a consultar</t>
    </r>
  </si>
  <si>
    <t>n. EMS (Emergency surcharge) INCLUDED (USD 100/TEU)</t>
  </si>
  <si>
    <t>e. EU ETS compliance Fee - Eur 13x20' &amp; EUR 26/40'- PREPAID(no aplica para destinos Dakar, Abidjan y Tema)</t>
  </si>
  <si>
    <t>l. EU ETS compliance Fee - Usd 34/x20' &amp; EUR 68/40' - PREPAID</t>
  </si>
  <si>
    <t>l. EU ETS compliance Fee - Usd 34/x20' &amp; USD 68/40' - PREPAID</t>
  </si>
  <si>
    <t>EUR 69/20' &amp; EUR 138/40'</t>
  </si>
  <si>
    <t>e. EU ETS compliance Fee - EUR18/TEU - PREPAID</t>
  </si>
  <si>
    <t>14 free days dem/det(2in1) at POD</t>
  </si>
  <si>
    <t>14 free days dem/det(2in1) at POD Abidjan, Ghana, Togo, Cote d'Ivoire, 14c free days demurrages in Senegal</t>
  </si>
  <si>
    <t>Europe to Africa Dry - tariff 062</t>
  </si>
  <si>
    <t>Itajai, Santa Cararina, Brazil</t>
  </si>
  <si>
    <t>925</t>
  </si>
  <si>
    <r>
      <rPr>
        <b/>
        <sz val="10"/>
        <rFont val="Arial"/>
        <family val="2"/>
      </rPr>
      <t>b.</t>
    </r>
    <r>
      <rPr>
        <sz val="10"/>
        <rFont val="Arial"/>
        <family val="2"/>
      </rPr>
      <t xml:space="preserve"> Fletes incluyen AMS/CWC/CWX/THC/FCR y estan sujetos a THD/DOC/T3/ETS/TCM</t>
    </r>
  </si>
  <si>
    <r>
      <rPr>
        <b/>
        <sz val="10"/>
        <color indexed="8"/>
        <rFont val="Arial"/>
        <family val="2"/>
      </rPr>
      <t>n.</t>
    </r>
    <r>
      <rPr>
        <sz val="10"/>
        <color indexed="8"/>
        <rFont val="Arial"/>
        <family val="2"/>
      </rPr>
      <t xml:space="preserve">  Sujetos a TCM - EUR 10/CNTR</t>
    </r>
  </si>
  <si>
    <t>o. FREE TIME AT POL: 12 Calendar days Dem/Det(2in1) + Subject to storages as per terminal tariff</t>
  </si>
  <si>
    <r>
      <rPr>
        <b/>
        <sz val="10"/>
        <color rgb="FF000000"/>
        <rFont val="Arial"/>
        <family val="2"/>
      </rPr>
      <t>p.</t>
    </r>
    <r>
      <rPr>
        <sz val="10"/>
        <color indexed="8"/>
        <rFont val="Arial"/>
        <family val="2"/>
      </rPr>
      <t xml:space="preserve">  DG Documentation fee:    Eur 40,- x ONU (maximo 3 x doc)</t>
    </r>
  </si>
  <si>
    <t>USD 290/20' y USD 580/40'(INCLUDED IN FREIGHT)</t>
  </si>
  <si>
    <t>suspendido</t>
  </si>
  <si>
    <t>FCR, THC origen</t>
  </si>
  <si>
    <t xml:space="preserve">g. DG charge of USD 100/cntr, excluding PSA charges via T/S Singapore . </t>
  </si>
  <si>
    <t xml:space="preserve">h. DG charge of USD 150/20' Usd 200/40' To Port Klang as port of discharge. </t>
  </si>
  <si>
    <t>VALIDEZ: 1 Abril 2026 hasta 30 Abril 2026</t>
  </si>
  <si>
    <t>d. LSA    Eur 24x20' &amp; EUR 48/40'</t>
  </si>
  <si>
    <t>EMERGENCY BUNKER SURCHARGE: EUR 50/20´DC &amp; EUR 100/40´DC or HC, from 23rd.March.26</t>
  </si>
  <si>
    <t>I. Emergency Bunker Surcharge:    EUR 50/20`&amp; EUR 100/40´ from 23/March/2026</t>
  </si>
  <si>
    <t>EMERGENCY BUNKER SURCHARGE: USD 60/20´DC &amp; USD 120/40´DC or HC, from 23rd.March.26</t>
  </si>
  <si>
    <t>O. Emergency Bunker Surcharge:    USD 60/20`&amp; USD 120/40´ from 23/March/2026</t>
  </si>
  <si>
    <t>EBS (TEU)</t>
  </si>
  <si>
    <t>EBS/THC/DOC/T3/ETS</t>
  </si>
  <si>
    <t>EBS/ETS</t>
  </si>
  <si>
    <t>EBS/DOC/T3/ETS</t>
  </si>
  <si>
    <t>EMERGENCY BUNKER SURCHARGE: USD 150/20´DC &amp; USD 300/40´DC or HC, from 13th.April.26</t>
  </si>
  <si>
    <t>EBS;THD;ETS</t>
  </si>
  <si>
    <t>EBS Emergency Bunker Surcharge</t>
  </si>
  <si>
    <t>USD 150/20' &amp; USD 300/40' only from 13th.April.2026 gate in</t>
  </si>
  <si>
    <t>Piraeus 31 dias</t>
  </si>
  <si>
    <t>Piraeus/Jebel Ali WM3 31 days</t>
  </si>
  <si>
    <t>Piraeus WM3/ 35 dias</t>
  </si>
  <si>
    <t>Piraeus WM3/ 37 dias</t>
  </si>
  <si>
    <t>EBS/RSM/DOC/T3/ETS</t>
  </si>
  <si>
    <t>q. Emergency Bunker Surcharge:    USD 60/20`&amp; USD 120/40´ from 23/March/2026</t>
  </si>
  <si>
    <t>EMERGENCY BUNKER SURCHARGE: EUR 75/20´DC &amp; EUR 150/40´DC or HC, from 23rd.March.26</t>
  </si>
  <si>
    <t>EBS;RCT;THD;DOC;T3;ETS;TCM</t>
  </si>
  <si>
    <t>EBS;THD;DOC;T3;ETS;TCM</t>
  </si>
  <si>
    <t>Q. Emergency Bunker Surcharge:    EUR 75/20`&amp; EUR 150/40´ from 23/March/2026</t>
  </si>
  <si>
    <t>990</t>
  </si>
  <si>
    <t>870</t>
  </si>
  <si>
    <t>720</t>
  </si>
  <si>
    <t>1345</t>
  </si>
  <si>
    <t>1840</t>
  </si>
  <si>
    <t>895</t>
  </si>
  <si>
    <t>1265</t>
  </si>
  <si>
    <t>150</t>
  </si>
  <si>
    <t>200</t>
  </si>
  <si>
    <t>425</t>
  </si>
  <si>
    <t>525</t>
  </si>
  <si>
    <t>225</t>
  </si>
  <si>
    <t>1200</t>
  </si>
  <si>
    <t>950</t>
  </si>
  <si>
    <t>1125</t>
  </si>
  <si>
    <t>1325</t>
  </si>
  <si>
    <t>800</t>
  </si>
  <si>
    <t>575</t>
  </si>
  <si>
    <t>700</t>
  </si>
  <si>
    <t>1025</t>
  </si>
  <si>
    <t>A consultar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</si>
</sst>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2]\ #,##0"/>
    <numFmt numFmtId="165" formatCode="&quot;€&quot;#,##0.00"/>
    <numFmt numFmtId="166" formatCode="#,##0.00\ [$€-42D]"/>
    <numFmt numFmtId="167" formatCode="0;[Red]0"/>
  </numFmts>
  <fonts count="8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10"/>
      <name val="Arial"/>
      <family val="2"/>
    </font>
    <font>
      <sz val="11"/>
      <name val="Calibri"/>
      <family val="2"/>
    </font>
    <font>
      <b/>
      <sz val="11"/>
      <name val="Calibri"/>
      <family val="2"/>
    </font>
    <font>
      <u/>
      <sz val="10"/>
      <color theme="10"/>
      <name val="Arial"/>
      <family val="2"/>
    </font>
    <font>
      <b/>
      <sz val="10"/>
      <color rgb="FFFF0000"/>
      <name val="Arial"/>
      <family val="2"/>
    </font>
    <font>
      <b/>
      <sz val="10"/>
      <color theme="0"/>
      <name val="Arial"/>
      <family val="2"/>
    </font>
    <font>
      <sz val="10"/>
      <color indexed="8"/>
      <name val="Arial"/>
      <family val="2"/>
    </font>
    <font>
      <b/>
      <sz val="10"/>
      <color indexed="8"/>
      <name val="Arial"/>
      <family val="2"/>
    </font>
    <font>
      <sz val="10"/>
      <color theme="1"/>
      <name val="Arial"/>
      <family val="2"/>
    </font>
    <font>
      <b/>
      <sz val="10"/>
      <color theme="1"/>
      <name val="Arial"/>
      <family val="2"/>
    </font>
    <font>
      <sz val="10"/>
      <color rgb="FFFF0000"/>
      <name val="Arial"/>
      <family val="2"/>
    </font>
    <font>
      <sz val="11"/>
      <name val="Calibri"/>
      <family val="2"/>
      <scheme val="minor"/>
    </font>
    <font>
      <u/>
      <sz val="11"/>
      <color theme="10"/>
      <name val="Calibri"/>
      <family val="2"/>
    </font>
    <font>
      <b/>
      <sz val="14"/>
      <color theme="1"/>
      <name val="Calibri"/>
      <family val="2"/>
      <scheme val="minor"/>
    </font>
    <font>
      <b/>
      <sz val="12"/>
      <name val="Arial"/>
      <family val="2"/>
    </font>
    <font>
      <sz val="11"/>
      <color rgb="FF9C0006"/>
      <name val="Calibri"/>
      <family val="2"/>
      <scheme val="minor"/>
    </font>
    <font>
      <b/>
      <sz val="12"/>
      <name val="Calibri"/>
      <family val="2"/>
      <scheme val="minor"/>
    </font>
    <font>
      <b/>
      <u/>
      <sz val="10"/>
      <color rgb="FFFF0000"/>
      <name val="Arial"/>
      <family val="2"/>
    </font>
    <font>
      <b/>
      <sz val="13"/>
      <name val="Calibri"/>
      <family val="2"/>
      <scheme val="minor"/>
    </font>
    <font>
      <b/>
      <sz val="13"/>
      <name val="Arial"/>
      <family val="2"/>
    </font>
    <font>
      <b/>
      <sz val="11"/>
      <name val="Calibri"/>
      <family val="2"/>
      <scheme val="minor"/>
    </font>
    <font>
      <b/>
      <sz val="10.5"/>
      <color rgb="FFFF0000"/>
      <name val="Calibri"/>
      <family val="2"/>
    </font>
    <font>
      <b/>
      <u/>
      <sz val="10.5"/>
      <color rgb="FFFF0000"/>
      <name val="Calibri"/>
      <family val="2"/>
    </font>
    <font>
      <sz val="8"/>
      <color rgb="FF1F497D"/>
      <name val="Calibri"/>
      <family val="2"/>
      <scheme val="minor"/>
    </font>
    <font>
      <b/>
      <sz val="14"/>
      <color rgb="FF9C0006"/>
      <name val="Calibri"/>
      <family val="2"/>
      <scheme val="minor"/>
    </font>
    <font>
      <b/>
      <sz val="8"/>
      <name val="Arial"/>
      <family val="2"/>
    </font>
    <font>
      <b/>
      <sz val="11"/>
      <color theme="1"/>
      <name val="Calibri"/>
      <family val="2"/>
      <scheme val="minor"/>
    </font>
    <font>
      <b/>
      <sz val="14"/>
      <color rgb="FF000000"/>
      <name val="Calibri"/>
      <family val="2"/>
    </font>
    <font>
      <sz val="9"/>
      <color rgb="FF000000"/>
      <name val="Calibri"/>
      <family val="2"/>
    </font>
    <font>
      <b/>
      <sz val="11"/>
      <color rgb="FF000000"/>
      <name val="Calibri"/>
      <family val="2"/>
      <scheme val="minor"/>
    </font>
    <font>
      <sz val="11"/>
      <color rgb="FF000000"/>
      <name val="Calibri"/>
      <family val="2"/>
      <scheme val="minor"/>
    </font>
    <font>
      <b/>
      <sz val="11"/>
      <color rgb="FFFF0000"/>
      <name val="Arial"/>
      <family val="2"/>
    </font>
    <font>
      <sz val="10"/>
      <name val="Calibri"/>
      <family val="2"/>
    </font>
    <font>
      <b/>
      <sz val="10"/>
      <name val="Calibri"/>
      <family val="2"/>
    </font>
    <font>
      <sz val="8"/>
      <color rgb="FFFF0000"/>
      <name val="Arial"/>
      <family val="2"/>
    </font>
    <font>
      <sz val="12"/>
      <color theme="1"/>
      <name val="Calibri"/>
      <family val="2"/>
      <scheme val="minor"/>
    </font>
    <font>
      <sz val="8"/>
      <name val="Arial"/>
      <family val="2"/>
    </font>
    <font>
      <b/>
      <sz val="12"/>
      <color rgb="FFFF0000"/>
      <name val="Calibri"/>
      <family val="2"/>
      <scheme val="minor"/>
    </font>
    <font>
      <b/>
      <sz val="10"/>
      <color rgb="FF000000"/>
      <name val="Arial"/>
      <family val="2"/>
    </font>
    <font>
      <b/>
      <sz val="11"/>
      <name val="Arial"/>
      <family val="2"/>
    </font>
    <font>
      <b/>
      <sz val="9"/>
      <name val="Arial"/>
      <family val="2"/>
    </font>
    <font>
      <sz val="11"/>
      <name val="Arial"/>
      <family val="2"/>
    </font>
    <font>
      <b/>
      <sz val="8"/>
      <color rgb="FFFF0000"/>
      <name val="Arial"/>
      <family val="2"/>
    </font>
    <font>
      <b/>
      <sz val="8"/>
      <name val="Tahoma"/>
      <family val="2"/>
    </font>
    <font>
      <b/>
      <sz val="14"/>
      <name val="Arial"/>
      <family val="2"/>
    </font>
    <font>
      <b/>
      <sz val="10"/>
      <color rgb="FF9C0006"/>
      <name val="Arial"/>
      <family val="2"/>
    </font>
    <font>
      <b/>
      <sz val="8"/>
      <color rgb="FF00B0F0"/>
      <name val="Arial"/>
      <family val="2"/>
    </font>
    <font>
      <b/>
      <u/>
      <sz val="14"/>
      <color rgb="FFFF0000"/>
      <name val="Arial"/>
      <family val="2"/>
    </font>
    <font>
      <b/>
      <u/>
      <sz val="10.5"/>
      <name val="Calibri"/>
      <family val="2"/>
    </font>
    <font>
      <sz val="10.5"/>
      <name val="Calibri"/>
      <family val="2"/>
    </font>
    <font>
      <sz val="10.5"/>
      <name val="Symbol"/>
      <family val="1"/>
      <charset val="2"/>
    </font>
    <font>
      <sz val="7"/>
      <name val="Times New Roman"/>
      <family val="1"/>
    </font>
    <font>
      <b/>
      <u/>
      <sz val="10"/>
      <name val="Verdana"/>
      <family val="2"/>
    </font>
    <font>
      <b/>
      <sz val="10"/>
      <name val="Verdana"/>
      <family val="2"/>
    </font>
    <font>
      <sz val="10"/>
      <name val="Verdana"/>
      <family val="2"/>
    </font>
    <font>
      <b/>
      <sz val="10"/>
      <name val="Tahoma"/>
      <family val="2"/>
    </font>
    <font>
      <sz val="9"/>
      <name val="Arial"/>
      <family val="2"/>
    </font>
    <font>
      <sz val="8"/>
      <name val="Arial"/>
      <family val="2"/>
    </font>
    <font>
      <b/>
      <sz val="12"/>
      <color theme="1"/>
      <name val="Calibri"/>
      <family val="2"/>
      <scheme val="minor"/>
    </font>
    <font>
      <sz val="10"/>
      <color theme="0"/>
      <name val="Arial"/>
      <family val="2"/>
    </font>
    <font>
      <sz val="8"/>
      <color theme="1"/>
      <name val="Arial"/>
      <family val="2"/>
    </font>
    <font>
      <sz val="9"/>
      <color rgb="FFFF0000"/>
      <name val="Arial"/>
      <family val="2"/>
    </font>
    <font>
      <sz val="16"/>
      <name val="Calibri"/>
      <family val="2"/>
    </font>
    <font>
      <u/>
      <sz val="16"/>
      <color theme="10"/>
      <name val="Arial"/>
      <family val="2"/>
    </font>
    <font>
      <b/>
      <sz val="16"/>
      <name val="Arial"/>
      <family val="2"/>
    </font>
  </fonts>
  <fills count="19">
    <fill>
      <patternFill patternType="none"/>
    </fill>
    <fill>
      <patternFill patternType="gray125"/>
    </fill>
    <fill>
      <patternFill patternType="solid">
        <fgColor indexed="62"/>
      </patternFill>
    </fill>
    <fill>
      <patternFill patternType="solid">
        <fgColor rgb="FFFFFF00"/>
        <bgColor indexed="64"/>
      </patternFill>
    </fill>
    <fill>
      <patternFill patternType="solid">
        <fgColor rgb="FFC00000"/>
        <bgColor indexed="64"/>
      </patternFill>
    </fill>
    <fill>
      <patternFill patternType="solid">
        <fgColor rgb="FFCCFFFF"/>
        <bgColor indexed="64"/>
      </patternFill>
    </fill>
    <fill>
      <patternFill patternType="solid">
        <fgColor theme="6" tint="0.79998168889431442"/>
        <bgColor indexed="64"/>
      </patternFill>
    </fill>
    <fill>
      <patternFill patternType="solid">
        <fgColor rgb="FFFFCCCC"/>
        <bgColor indexed="64"/>
      </patternFill>
    </fill>
    <fill>
      <patternFill patternType="solid">
        <fgColor rgb="FFCCFF33"/>
        <bgColor indexed="64"/>
      </patternFill>
    </fill>
    <fill>
      <patternFill patternType="solid">
        <fgColor rgb="FFFFC000"/>
        <bgColor indexed="64"/>
      </patternFill>
    </fill>
    <fill>
      <patternFill patternType="solid">
        <fgColor rgb="FFFFC7CE"/>
      </patternFill>
    </fill>
    <fill>
      <patternFill patternType="solid">
        <fgColor rgb="FF969696"/>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theme="6" tint="0.39994506668294322"/>
        <bgColor indexed="64"/>
      </patternFill>
    </fill>
    <fill>
      <patternFill patternType="solid">
        <fgColor theme="9" tint="0.59996337778862885"/>
        <bgColor indexed="64"/>
      </patternFill>
    </fill>
  </fills>
  <borders count="6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auto="1"/>
      </left>
      <right style="medium">
        <color auto="1"/>
      </right>
      <top style="medium">
        <color auto="1"/>
      </top>
      <bottom/>
      <diagonal/>
    </border>
    <border>
      <left style="medium">
        <color auto="1"/>
      </left>
      <right style="medium">
        <color auto="1"/>
      </right>
      <top/>
      <bottom/>
      <diagonal/>
    </border>
    <border>
      <left style="hair">
        <color auto="1"/>
      </left>
      <right style="hair">
        <color auto="1"/>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medium">
        <color auto="1"/>
      </left>
      <right style="medium">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hair">
        <color indexed="64"/>
      </right>
      <top style="hair">
        <color indexed="64"/>
      </top>
      <bottom style="thin">
        <color indexed="64"/>
      </bottom>
      <diagonal/>
    </border>
    <border>
      <left style="thin">
        <color auto="1"/>
      </left>
      <right/>
      <top style="thin">
        <color auto="1"/>
      </top>
      <bottom style="thin">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indexed="64"/>
      </left>
      <right style="hair">
        <color auto="1"/>
      </right>
      <top style="thin">
        <color indexed="64"/>
      </top>
      <bottom style="hair">
        <color auto="1"/>
      </bottom>
      <diagonal/>
    </border>
    <border>
      <left style="hair">
        <color auto="1"/>
      </left>
      <right style="hair">
        <color auto="1"/>
      </right>
      <top style="thin">
        <color indexed="64"/>
      </top>
      <bottom style="hair">
        <color auto="1"/>
      </bottom>
      <diagonal/>
    </border>
    <border>
      <left style="hair">
        <color auto="1"/>
      </left>
      <right style="thin">
        <color indexed="64"/>
      </right>
      <top style="thin">
        <color indexed="64"/>
      </top>
      <bottom style="hair">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hair">
        <color auto="1"/>
      </left>
      <right/>
      <top style="hair">
        <color auto="1"/>
      </top>
      <bottom style="thin">
        <color auto="1"/>
      </bottom>
      <diagonal/>
    </border>
    <border>
      <left style="hair">
        <color auto="1"/>
      </left>
      <right style="hair">
        <color auto="1"/>
      </right>
      <top style="hair">
        <color auto="1"/>
      </top>
      <bottom/>
      <diagonal/>
    </border>
    <border>
      <left/>
      <right style="thin">
        <color auto="1"/>
      </right>
      <top style="hair">
        <color auto="1"/>
      </top>
      <bottom style="thin">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top/>
      <bottom style="thin">
        <color indexed="64"/>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hair">
        <color indexed="64"/>
      </right>
      <top style="hair">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thin">
        <color indexed="64"/>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thin">
        <color indexed="64"/>
      </left>
      <right style="hair">
        <color auto="1"/>
      </right>
      <top style="thin">
        <color indexed="64"/>
      </top>
      <bottom style="thin">
        <color indexed="64"/>
      </bottom>
      <diagonal/>
    </border>
    <border>
      <left style="hair">
        <color auto="1"/>
      </left>
      <right style="hair">
        <color auto="1"/>
      </right>
      <top style="thin">
        <color indexed="64"/>
      </top>
      <bottom style="thin">
        <color indexed="64"/>
      </bottom>
      <diagonal/>
    </border>
    <border>
      <left style="hair">
        <color auto="1"/>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19">
    <xf numFmtId="0" fontId="0" fillId="0" borderId="0"/>
    <xf numFmtId="0" fontId="18" fillId="0" borderId="0" applyNumberFormat="0" applyFill="0" applyBorder="0" applyAlignment="0" applyProtection="0">
      <alignment vertical="top"/>
      <protection locked="0"/>
    </xf>
    <xf numFmtId="0" fontId="13" fillId="0" borderId="0"/>
    <xf numFmtId="0" fontId="13" fillId="0" borderId="0"/>
    <xf numFmtId="0" fontId="12" fillId="0" borderId="0"/>
    <xf numFmtId="0" fontId="11" fillId="0" borderId="0"/>
    <xf numFmtId="0" fontId="10" fillId="0" borderId="0"/>
    <xf numFmtId="0" fontId="10" fillId="0" borderId="0"/>
    <xf numFmtId="0" fontId="30" fillId="10" borderId="0" applyNumberFormat="0" applyBorder="0" applyAlignment="0" applyProtection="0"/>
    <xf numFmtId="0" fontId="9"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4">
    <xf numFmtId="0" fontId="0" fillId="0" borderId="0" xfId="0"/>
    <xf numFmtId="0" fontId="0" fillId="0" borderId="0" xfId="0" applyAlignment="1">
      <alignment horizontal="center"/>
    </xf>
    <xf numFmtId="0" fontId="15" fillId="0" borderId="0" xfId="0" applyFont="1"/>
    <xf numFmtId="0" fontId="13" fillId="0" borderId="0" xfId="0" applyFont="1"/>
    <xf numFmtId="164" fontId="21" fillId="0" borderId="4" xfId="2" applyNumberFormat="1" applyFont="1" applyBorder="1"/>
    <xf numFmtId="165" fontId="21" fillId="0" borderId="0" xfId="2" applyNumberFormat="1" applyFont="1" applyAlignment="1">
      <alignment horizontal="center"/>
    </xf>
    <xf numFmtId="0" fontId="23" fillId="0" borderId="4" xfId="0" applyFont="1" applyBorder="1"/>
    <xf numFmtId="0" fontId="22" fillId="0" borderId="0" xfId="3" applyFont="1" applyAlignment="1">
      <alignment horizontal="center"/>
    </xf>
    <xf numFmtId="3" fontId="22" fillId="0" borderId="0" xfId="3" applyNumberFormat="1" applyFont="1" applyAlignment="1">
      <alignment horizontal="center"/>
    </xf>
    <xf numFmtId="0" fontId="24" fillId="0" borderId="4" xfId="0" applyFont="1" applyBorder="1"/>
    <xf numFmtId="164" fontId="13" fillId="0" borderId="0" xfId="2" applyNumberFormat="1"/>
    <xf numFmtId="3" fontId="13" fillId="0" borderId="0" xfId="2" applyNumberFormat="1"/>
    <xf numFmtId="164" fontId="13" fillId="0" borderId="0" xfId="2" applyNumberFormat="1" applyAlignment="1">
      <alignment wrapText="1"/>
    </xf>
    <xf numFmtId="164" fontId="13" fillId="0" borderId="4" xfId="2" applyNumberFormat="1" applyBorder="1"/>
    <xf numFmtId="164" fontId="15" fillId="0" borderId="0" xfId="2" applyNumberFormat="1" applyFont="1"/>
    <xf numFmtId="3" fontId="15" fillId="0" borderId="0" xfId="2" applyNumberFormat="1" applyFont="1"/>
    <xf numFmtId="164" fontId="27" fillId="0" borderId="4" xfId="1" applyNumberFormat="1" applyFont="1" applyBorder="1" applyAlignment="1" applyProtection="1"/>
    <xf numFmtId="164" fontId="27" fillId="0" borderId="8" xfId="1" applyNumberFormat="1" applyFont="1" applyBorder="1" applyAlignment="1" applyProtection="1"/>
    <xf numFmtId="164" fontId="13" fillId="0" borderId="9" xfId="2" applyNumberFormat="1" applyBorder="1"/>
    <xf numFmtId="0" fontId="0" fillId="0" borderId="5" xfId="0" applyBorder="1"/>
    <xf numFmtId="0" fontId="0" fillId="0" borderId="10" xfId="0" applyBorder="1"/>
    <xf numFmtId="0" fontId="13" fillId="0" borderId="0" xfId="2" applyAlignment="1">
      <alignment horizontal="center" vertical="center"/>
    </xf>
    <xf numFmtId="0" fontId="0" fillId="0" borderId="0" xfId="0" applyAlignment="1">
      <alignment horizontal="center" vertical="center"/>
    </xf>
    <xf numFmtId="0" fontId="13" fillId="0" borderId="5" xfId="2" applyBorder="1" applyAlignment="1">
      <alignment horizontal="center" vertical="center"/>
    </xf>
    <xf numFmtId="164" fontId="21" fillId="0" borderId="4" xfId="2" applyNumberFormat="1" applyFont="1" applyBorder="1" applyAlignment="1">
      <alignment horizontal="left" vertical="center"/>
    </xf>
    <xf numFmtId="0" fontId="24" fillId="0" borderId="4" xfId="2" applyFont="1" applyBorder="1" applyAlignment="1">
      <alignment horizontal="left" vertical="center"/>
    </xf>
    <xf numFmtId="0" fontId="23" fillId="0" borderId="4" xfId="2" applyFont="1" applyBorder="1" applyAlignment="1">
      <alignment horizontal="left" vertical="center"/>
    </xf>
    <xf numFmtId="0" fontId="19" fillId="0" borderId="4" xfId="3" applyFont="1" applyBorder="1" applyAlignment="1">
      <alignment horizontal="left" vertical="center"/>
    </xf>
    <xf numFmtId="164" fontId="15" fillId="0" borderId="4" xfId="2" applyNumberFormat="1" applyFont="1" applyBorder="1" applyAlignment="1">
      <alignment horizontal="left" vertical="center"/>
    </xf>
    <xf numFmtId="164" fontId="27" fillId="0" borderId="4" xfId="1" applyNumberFormat="1" applyFont="1" applyBorder="1" applyAlignment="1" applyProtection="1">
      <alignment horizontal="left" vertical="center"/>
    </xf>
    <xf numFmtId="164" fontId="27" fillId="0" borderId="8" xfId="1" applyNumberFormat="1" applyFont="1" applyBorder="1" applyAlignment="1" applyProtection="1">
      <alignment horizontal="left" vertical="center"/>
    </xf>
    <xf numFmtId="0" fontId="13" fillId="0" borderId="0" xfId="2"/>
    <xf numFmtId="0" fontId="0" fillId="0" borderId="9" xfId="0" applyBorder="1"/>
    <xf numFmtId="0" fontId="13" fillId="0" borderId="0" xfId="0" applyFont="1" applyAlignment="1">
      <alignment wrapText="1"/>
    </xf>
    <xf numFmtId="0" fontId="15" fillId="0" borderId="0" xfId="2" applyFont="1"/>
    <xf numFmtId="0" fontId="0" fillId="0" borderId="0" xfId="0" applyAlignment="1">
      <alignment horizontal="left" vertical="center" wrapText="1"/>
    </xf>
    <xf numFmtId="164" fontId="19" fillId="0" borderId="4" xfId="2" applyNumberFormat="1" applyFont="1" applyBorder="1"/>
    <xf numFmtId="0" fontId="13" fillId="0" borderId="0" xfId="2" applyAlignment="1">
      <alignment horizontal="center"/>
    </xf>
    <xf numFmtId="0" fontId="13" fillId="8" borderId="0" xfId="2" applyFill="1"/>
    <xf numFmtId="0" fontId="13" fillId="0" borderId="0" xfId="0" applyFont="1" applyAlignment="1">
      <alignment horizontal="center"/>
    </xf>
    <xf numFmtId="0" fontId="14" fillId="0" borderId="0" xfId="0" applyFont="1" applyAlignment="1">
      <alignment horizontal="center"/>
    </xf>
    <xf numFmtId="49" fontId="14" fillId="0" borderId="0" xfId="2" applyNumberFormat="1" applyFont="1" applyAlignment="1">
      <alignment horizontal="center" vertical="center" wrapText="1"/>
    </xf>
    <xf numFmtId="164" fontId="13" fillId="0" borderId="0" xfId="2" applyNumberFormat="1" applyAlignment="1">
      <alignment horizontal="center"/>
    </xf>
    <xf numFmtId="164" fontId="25" fillId="0" borderId="0" xfId="2" applyNumberFormat="1" applyFont="1" applyAlignment="1">
      <alignment horizontal="center"/>
    </xf>
    <xf numFmtId="0" fontId="0" fillId="0" borderId="5" xfId="0" applyBorder="1" applyAlignment="1">
      <alignment horizontal="center"/>
    </xf>
    <xf numFmtId="164" fontId="13" fillId="0" borderId="9" xfId="2" applyNumberFormat="1" applyBorder="1" applyAlignment="1">
      <alignment horizontal="center"/>
    </xf>
    <xf numFmtId="49" fontId="14" fillId="0" borderId="0" xfId="2" applyNumberFormat="1" applyFont="1" applyAlignment="1">
      <alignment horizontal="left" vertical="center" wrapText="1"/>
    </xf>
    <xf numFmtId="164" fontId="15" fillId="0" borderId="4" xfId="2" applyNumberFormat="1" applyFont="1" applyBorder="1"/>
    <xf numFmtId="0" fontId="31" fillId="0" borderId="0" xfId="0" applyFont="1" applyAlignment="1">
      <alignment horizontal="left"/>
    </xf>
    <xf numFmtId="1" fontId="13" fillId="0" borderId="0" xfId="2" applyNumberFormat="1"/>
    <xf numFmtId="49" fontId="14" fillId="0" borderId="0" xfId="2" applyNumberFormat="1" applyFont="1" applyAlignment="1">
      <alignment horizontal="right" vertical="center" wrapText="1"/>
    </xf>
    <xf numFmtId="1" fontId="14" fillId="0" borderId="0" xfId="2" applyNumberFormat="1" applyFont="1" applyAlignment="1">
      <alignment horizontal="right" vertical="center" wrapText="1"/>
    </xf>
    <xf numFmtId="0" fontId="23" fillId="0" borderId="4" xfId="2" applyFont="1" applyBorder="1"/>
    <xf numFmtId="1" fontId="13" fillId="0" borderId="9" xfId="2" applyNumberFormat="1" applyBorder="1"/>
    <xf numFmtId="1" fontId="13" fillId="0" borderId="0" xfId="2" applyNumberFormat="1" applyAlignment="1">
      <alignment horizontal="center" vertical="center"/>
    </xf>
    <xf numFmtId="0" fontId="0" fillId="0" borderId="9" xfId="0" applyBorder="1" applyAlignment="1">
      <alignment horizontal="center"/>
    </xf>
    <xf numFmtId="0" fontId="25" fillId="0" borderId="0" xfId="0" applyFont="1"/>
    <xf numFmtId="0" fontId="46" fillId="0" borderId="0" xfId="2" applyFont="1" applyAlignment="1">
      <alignment horizontal="center" vertical="center"/>
    </xf>
    <xf numFmtId="0" fontId="25" fillId="0" borderId="0" xfId="2" applyFont="1"/>
    <xf numFmtId="0" fontId="14" fillId="0" borderId="0" xfId="0" applyFont="1" applyAlignment="1">
      <alignment horizontal="left" vertical="center" wrapText="1"/>
    </xf>
    <xf numFmtId="0" fontId="26" fillId="0" borderId="0" xfId="0" applyFont="1" applyAlignment="1">
      <alignment horizontal="left" indent="2"/>
    </xf>
    <xf numFmtId="0" fontId="26" fillId="0" borderId="0" xfId="0" applyFont="1"/>
    <xf numFmtId="0" fontId="26" fillId="0" borderId="0" xfId="0" applyFont="1" applyAlignment="1">
      <alignment horizontal="left" indent="15"/>
    </xf>
    <xf numFmtId="1" fontId="15" fillId="0" borderId="0" xfId="2" applyNumberFormat="1" applyFont="1"/>
    <xf numFmtId="0" fontId="13" fillId="0" borderId="10" xfId="2" applyBorder="1" applyAlignment="1">
      <alignment horizontal="center" vertical="center"/>
    </xf>
    <xf numFmtId="14" fontId="14" fillId="6" borderId="16" xfId="2" applyNumberFormat="1" applyFont="1" applyFill="1" applyBorder="1" applyAlignment="1">
      <alignment horizontal="center" vertical="center"/>
    </xf>
    <xf numFmtId="14" fontId="13" fillId="6" borderId="16" xfId="0" applyNumberFormat="1" applyFont="1" applyFill="1" applyBorder="1" applyAlignment="1">
      <alignment horizontal="center" vertical="center"/>
    </xf>
    <xf numFmtId="0" fontId="39" fillId="0" borderId="0" xfId="8" applyFont="1" applyFill="1"/>
    <xf numFmtId="1" fontId="39" fillId="0" borderId="0" xfId="8" applyNumberFormat="1" applyFont="1" applyFill="1"/>
    <xf numFmtId="0" fontId="39" fillId="0" borderId="0" xfId="8" applyFont="1" applyFill="1" applyAlignment="1">
      <alignment horizontal="center"/>
    </xf>
    <xf numFmtId="0" fontId="14" fillId="0" borderId="0" xfId="2" applyFont="1" applyAlignment="1">
      <alignment horizontal="center" vertical="center"/>
    </xf>
    <xf numFmtId="0" fontId="14" fillId="0" borderId="0" xfId="2" applyFont="1"/>
    <xf numFmtId="0" fontId="14" fillId="0" borderId="0" xfId="0" applyFont="1"/>
    <xf numFmtId="0" fontId="13" fillId="0" borderId="0" xfId="2" applyAlignment="1">
      <alignment horizontal="left" vertical="center"/>
    </xf>
    <xf numFmtId="0" fontId="14" fillId="6" borderId="16" xfId="2" applyFont="1" applyFill="1" applyBorder="1" applyAlignment="1">
      <alignment horizontal="center" vertical="center"/>
    </xf>
    <xf numFmtId="164" fontId="21" fillId="0" borderId="0" xfId="2" applyNumberFormat="1" applyFont="1" applyAlignment="1">
      <alignment horizontal="center" vertical="center"/>
    </xf>
    <xf numFmtId="3" fontId="21" fillId="0" borderId="0" xfId="2" applyNumberFormat="1" applyFont="1" applyAlignment="1">
      <alignment horizontal="center" vertical="center"/>
    </xf>
    <xf numFmtId="10" fontId="21" fillId="0" borderId="0" xfId="2" applyNumberFormat="1" applyFont="1" applyAlignment="1">
      <alignment horizontal="center" vertical="center" wrapText="1"/>
    </xf>
    <xf numFmtId="0" fontId="22" fillId="0" borderId="0" xfId="3" applyFont="1" applyAlignment="1">
      <alignment horizontal="center" vertical="center"/>
    </xf>
    <xf numFmtId="3" fontId="22" fillId="0" borderId="0" xfId="3" applyNumberFormat="1" applyFont="1" applyAlignment="1">
      <alignment horizontal="center" vertical="center"/>
    </xf>
    <xf numFmtId="0" fontId="24" fillId="0" borderId="0" xfId="2" applyFont="1" applyAlignment="1">
      <alignment horizontal="center" vertical="center"/>
    </xf>
    <xf numFmtId="164" fontId="13" fillId="0" borderId="0" xfId="2" applyNumberFormat="1" applyAlignment="1">
      <alignment horizontal="center" vertical="center"/>
    </xf>
    <xf numFmtId="3" fontId="13" fillId="0" borderId="0" xfId="2" applyNumberFormat="1" applyAlignment="1">
      <alignment horizontal="center" vertical="center"/>
    </xf>
    <xf numFmtId="164" fontId="13" fillId="0" borderId="0" xfId="2" applyNumberFormat="1" applyAlignment="1">
      <alignment horizontal="center" vertical="center" wrapText="1"/>
    </xf>
    <xf numFmtId="164" fontId="25" fillId="0" borderId="0" xfId="2" applyNumberFormat="1" applyFont="1" applyAlignment="1">
      <alignment horizontal="center" vertical="center"/>
    </xf>
    <xf numFmtId="3" fontId="25" fillId="0" borderId="0" xfId="2" applyNumberFormat="1" applyFont="1" applyAlignment="1">
      <alignment horizontal="center" vertical="center"/>
    </xf>
    <xf numFmtId="164" fontId="25" fillId="0" borderId="0" xfId="2" applyNumberFormat="1" applyFont="1" applyAlignment="1">
      <alignment horizontal="center" vertical="center" wrapText="1"/>
    </xf>
    <xf numFmtId="164" fontId="19" fillId="0" borderId="0" xfId="2" applyNumberFormat="1" applyFont="1" applyAlignment="1">
      <alignment horizontal="center" vertical="center" wrapText="1"/>
    </xf>
    <xf numFmtId="164" fontId="23" fillId="0" borderId="0" xfId="0" applyNumberFormat="1" applyFont="1"/>
    <xf numFmtId="164" fontId="19" fillId="8" borderId="0" xfId="2" applyNumberFormat="1" applyFont="1" applyFill="1" applyAlignment="1">
      <alignment horizontal="center" vertical="center"/>
    </xf>
    <xf numFmtId="3" fontId="19" fillId="8" borderId="0" xfId="2" applyNumberFormat="1" applyFont="1" applyFill="1" applyAlignment="1">
      <alignment horizontal="center" vertical="center"/>
    </xf>
    <xf numFmtId="164" fontId="15" fillId="0" borderId="0" xfId="2" applyNumberFormat="1" applyFont="1" applyAlignment="1">
      <alignment horizontal="center" vertical="center"/>
    </xf>
    <xf numFmtId="3" fontId="15" fillId="0" borderId="0" xfId="2" applyNumberFormat="1" applyFont="1" applyAlignment="1">
      <alignment horizontal="center" vertical="center"/>
    </xf>
    <xf numFmtId="164" fontId="15" fillId="0" borderId="0" xfId="2" applyNumberFormat="1" applyFont="1" applyAlignment="1">
      <alignment horizontal="center" vertical="center" wrapText="1"/>
    </xf>
    <xf numFmtId="164" fontId="13" fillId="3" borderId="0" xfId="2" applyNumberFormat="1" applyFill="1" applyAlignment="1">
      <alignment horizontal="center" vertical="center"/>
    </xf>
    <xf numFmtId="3" fontId="13" fillId="3" borderId="0" xfId="2" applyNumberFormat="1" applyFill="1" applyAlignment="1">
      <alignment horizontal="center" vertical="center"/>
    </xf>
    <xf numFmtId="164" fontId="13" fillId="3" borderId="0" xfId="2" applyNumberFormat="1" applyFill="1" applyAlignment="1">
      <alignment horizontal="center" vertical="center" wrapText="1"/>
    </xf>
    <xf numFmtId="0" fontId="13" fillId="3" borderId="0" xfId="2" applyFill="1" applyAlignment="1">
      <alignment horizontal="center" vertical="center"/>
    </xf>
    <xf numFmtId="0" fontId="0" fillId="0" borderId="5" xfId="0" applyBorder="1" applyAlignment="1">
      <alignment horizontal="center" vertical="center"/>
    </xf>
    <xf numFmtId="0" fontId="13" fillId="0" borderId="4" xfId="0" applyFont="1" applyBorder="1"/>
    <xf numFmtId="0" fontId="13" fillId="0" borderId="5" xfId="2" applyBorder="1"/>
    <xf numFmtId="0" fontId="17" fillId="3" borderId="4" xfId="0" applyFont="1" applyFill="1" applyBorder="1"/>
    <xf numFmtId="0" fontId="13" fillId="0" borderId="10" xfId="2" applyBorder="1"/>
    <xf numFmtId="164" fontId="21" fillId="0" borderId="0" xfId="2" applyNumberFormat="1" applyFont="1" applyAlignment="1">
      <alignment horizontal="center"/>
    </xf>
    <xf numFmtId="3" fontId="21" fillId="0" borderId="0" xfId="2" applyNumberFormat="1" applyFont="1" applyAlignment="1">
      <alignment horizontal="center"/>
    </xf>
    <xf numFmtId="10" fontId="21" fillId="0" borderId="0" xfId="2" applyNumberFormat="1" applyFont="1" applyAlignment="1">
      <alignment horizontal="center" wrapText="1"/>
    </xf>
    <xf numFmtId="14" fontId="14" fillId="6" borderId="16" xfId="2" applyNumberFormat="1" applyFont="1" applyFill="1" applyBorder="1" applyAlignment="1">
      <alignment horizontal="center" vertical="center" wrapText="1"/>
    </xf>
    <xf numFmtId="0" fontId="19" fillId="0" borderId="0" xfId="2" applyFont="1"/>
    <xf numFmtId="1" fontId="13" fillId="0" borderId="0" xfId="2" applyNumberFormat="1" applyAlignment="1">
      <alignment horizontal="center"/>
    </xf>
    <xf numFmtId="1" fontId="14" fillId="0" borderId="0" xfId="2" applyNumberFormat="1" applyFont="1" applyAlignment="1">
      <alignment horizontal="center" vertical="center" wrapText="1"/>
    </xf>
    <xf numFmtId="0" fontId="55" fillId="0" borderId="0" xfId="2" applyFont="1"/>
    <xf numFmtId="0" fontId="31" fillId="0" borderId="0" xfId="2" applyFont="1" applyAlignment="1">
      <alignment horizontal="left"/>
    </xf>
    <xf numFmtId="0" fontId="14" fillId="0" borderId="0" xfId="2" applyFont="1" applyAlignment="1">
      <alignment horizontal="center"/>
    </xf>
    <xf numFmtId="0" fontId="13" fillId="0" borderId="0" xfId="2" applyAlignment="1">
      <alignment wrapText="1"/>
    </xf>
    <xf numFmtId="0" fontId="13" fillId="0" borderId="5" xfId="2" applyBorder="1" applyAlignment="1">
      <alignment horizontal="center"/>
    </xf>
    <xf numFmtId="164" fontId="56" fillId="0" borderId="9" xfId="2" applyNumberFormat="1" applyFont="1" applyBorder="1"/>
    <xf numFmtId="0" fontId="0" fillId="0" borderId="0" xfId="2" applyFont="1"/>
    <xf numFmtId="0" fontId="16" fillId="0" borderId="4" xfId="0" applyFont="1" applyBorder="1" applyAlignment="1">
      <alignment vertical="center"/>
    </xf>
    <xf numFmtId="0" fontId="0" fillId="0" borderId="0" xfId="0" applyAlignment="1">
      <alignment horizontal="center" vertical="center" wrapText="1"/>
    </xf>
    <xf numFmtId="0" fontId="13" fillId="0" borderId="0" xfId="0" applyFont="1" applyAlignment="1">
      <alignment horizontal="center" wrapText="1"/>
    </xf>
    <xf numFmtId="9" fontId="13" fillId="0" borderId="0" xfId="2" applyNumberFormat="1" applyAlignment="1">
      <alignment horizontal="center"/>
    </xf>
    <xf numFmtId="14" fontId="49" fillId="0" borderId="16" xfId="2" applyNumberFormat="1" applyFont="1" applyBorder="1" applyAlignment="1">
      <alignment horizontal="center" vertical="center"/>
    </xf>
    <xf numFmtId="49" fontId="49" fillId="0" borderId="16" xfId="2" applyNumberFormat="1" applyFont="1" applyBorder="1" applyAlignment="1">
      <alignment horizontal="center" vertical="center" wrapText="1"/>
    </xf>
    <xf numFmtId="1" fontId="49" fillId="0" borderId="16" xfId="2" applyNumberFormat="1" applyFont="1" applyBorder="1" applyAlignment="1">
      <alignment horizontal="center" vertical="center" wrapText="1"/>
    </xf>
    <xf numFmtId="0" fontId="15" fillId="0" borderId="0" xfId="2" applyFont="1" applyAlignment="1">
      <alignment vertical="center"/>
    </xf>
    <xf numFmtId="0" fontId="15" fillId="0" borderId="0" xfId="2" applyFont="1" applyAlignment="1">
      <alignment horizontal="left" vertical="center"/>
    </xf>
    <xf numFmtId="0" fontId="15" fillId="0" borderId="0" xfId="2" applyFont="1" applyAlignment="1">
      <alignment horizontal="center" vertical="center"/>
    </xf>
    <xf numFmtId="0" fontId="15" fillId="8" borderId="4" xfId="0" applyFont="1" applyFill="1" applyBorder="1"/>
    <xf numFmtId="164" fontId="15" fillId="8" borderId="0" xfId="2" applyNumberFormat="1" applyFont="1" applyFill="1" applyAlignment="1">
      <alignment horizontal="center" vertical="center"/>
    </xf>
    <xf numFmtId="3" fontId="15" fillId="8" borderId="0" xfId="2" applyNumberFormat="1" applyFont="1" applyFill="1" applyAlignment="1">
      <alignment horizontal="center" vertical="center"/>
    </xf>
    <xf numFmtId="0" fontId="0" fillId="0" borderId="0" xfId="2" applyFont="1" applyAlignment="1">
      <alignment horizontal="left" vertical="center"/>
    </xf>
    <xf numFmtId="164" fontId="21" fillId="0" borderId="6" xfId="2" applyNumberFormat="1" applyFont="1" applyBorder="1" applyAlignment="1">
      <alignment horizontal="left" vertical="center"/>
    </xf>
    <xf numFmtId="164" fontId="21" fillId="0" borderId="7" xfId="2" applyNumberFormat="1" applyFont="1" applyBorder="1" applyAlignment="1">
      <alignment horizontal="center" vertical="center"/>
    </xf>
    <xf numFmtId="3" fontId="21" fillId="0" borderId="7" xfId="2" applyNumberFormat="1" applyFont="1" applyBorder="1" applyAlignment="1">
      <alignment horizontal="center" vertical="center"/>
    </xf>
    <xf numFmtId="10" fontId="21" fillId="0" borderId="7" xfId="2" applyNumberFormat="1" applyFont="1" applyBorder="1" applyAlignment="1">
      <alignment horizontal="center" vertical="center" wrapText="1"/>
    </xf>
    <xf numFmtId="0" fontId="13" fillId="0" borderId="7" xfId="2" applyBorder="1" applyAlignment="1">
      <alignment horizontal="center" vertical="center"/>
    </xf>
    <xf numFmtId="0" fontId="13" fillId="0" borderId="11" xfId="2" applyBorder="1" applyAlignment="1">
      <alignment horizontal="center" vertical="center"/>
    </xf>
    <xf numFmtId="164" fontId="19" fillId="0" borderId="0" xfId="2" applyNumberFormat="1" applyFont="1" applyAlignment="1">
      <alignment horizontal="center" vertical="center"/>
    </xf>
    <xf numFmtId="3" fontId="19" fillId="0" borderId="0" xfId="2" applyNumberFormat="1" applyFont="1" applyAlignment="1">
      <alignment horizontal="center" vertical="center"/>
    </xf>
    <xf numFmtId="164" fontId="19" fillId="3" borderId="0" xfId="2" applyNumberFormat="1" applyFont="1" applyFill="1" applyAlignment="1">
      <alignment horizontal="center" vertical="center"/>
    </xf>
    <xf numFmtId="3" fontId="19" fillId="3" borderId="0" xfId="2" applyNumberFormat="1" applyFont="1" applyFill="1" applyAlignment="1">
      <alignment horizontal="center" vertical="center"/>
    </xf>
    <xf numFmtId="0" fontId="13" fillId="0" borderId="4" xfId="2" applyBorder="1"/>
    <xf numFmtId="0" fontId="13" fillId="0" borderId="8" xfId="2" applyBorder="1"/>
    <xf numFmtId="0" fontId="13" fillId="0" borderId="9" xfId="2" applyBorder="1"/>
    <xf numFmtId="164" fontId="19" fillId="3" borderId="4" xfId="2" applyNumberFormat="1" applyFont="1" applyFill="1" applyBorder="1" applyAlignment="1">
      <alignment horizontal="left" vertical="center"/>
    </xf>
    <xf numFmtId="0" fontId="59" fillId="0" borderId="0" xfId="2" applyFont="1"/>
    <xf numFmtId="0" fontId="59" fillId="0" borderId="0" xfId="0" applyFont="1"/>
    <xf numFmtId="164" fontId="15" fillId="0" borderId="0" xfId="2" applyNumberFormat="1" applyFont="1" applyAlignment="1">
      <alignment horizontal="center" wrapText="1"/>
    </xf>
    <xf numFmtId="164" fontId="15" fillId="0" borderId="0" xfId="2" applyNumberFormat="1" applyFont="1" applyAlignment="1">
      <alignment horizontal="center"/>
    </xf>
    <xf numFmtId="164" fontId="13" fillId="0" borderId="0" xfId="2" applyNumberFormat="1" applyAlignment="1">
      <alignment horizontal="center" wrapText="1"/>
    </xf>
    <xf numFmtId="0" fontId="47" fillId="0" borderId="0" xfId="0" applyFont="1" applyAlignment="1">
      <alignment vertical="center"/>
    </xf>
    <xf numFmtId="0" fontId="15" fillId="0" borderId="0" xfId="0" applyFont="1" applyAlignment="1">
      <alignment horizontal="left"/>
    </xf>
    <xf numFmtId="0" fontId="24" fillId="0" borderId="0" xfId="0" applyFont="1" applyAlignment="1">
      <alignment horizontal="center"/>
    </xf>
    <xf numFmtId="164" fontId="19" fillId="0" borderId="0" xfId="2" applyNumberFormat="1" applyFont="1"/>
    <xf numFmtId="3" fontId="19" fillId="0" borderId="0" xfId="2" applyNumberFormat="1" applyFont="1"/>
    <xf numFmtId="164" fontId="19" fillId="0" borderId="0" xfId="2" applyNumberFormat="1" applyFont="1" applyAlignment="1">
      <alignment horizontal="center" wrapText="1"/>
    </xf>
    <xf numFmtId="164" fontId="19" fillId="0" borderId="0" xfId="2" applyNumberFormat="1" applyFont="1" applyAlignment="1">
      <alignment horizontal="center"/>
    </xf>
    <xf numFmtId="9" fontId="0" fillId="0" borderId="0" xfId="0" applyNumberFormat="1"/>
    <xf numFmtId="0" fontId="47" fillId="0" borderId="4" xfId="0" applyFont="1" applyBorder="1" applyAlignment="1">
      <alignment vertical="center"/>
    </xf>
    <xf numFmtId="0" fontId="48" fillId="0" borderId="4" xfId="0" applyFont="1" applyBorder="1" applyAlignment="1">
      <alignment horizontal="left" vertical="center" indent="1"/>
    </xf>
    <xf numFmtId="0" fontId="48" fillId="0" borderId="0" xfId="0" applyFont="1" applyAlignment="1">
      <alignment horizontal="left" vertical="center" indent="1"/>
    </xf>
    <xf numFmtId="0" fontId="47" fillId="0" borderId="4" xfId="0" applyFont="1" applyBorder="1" applyAlignment="1">
      <alignment horizontal="left" vertical="center" indent="1"/>
    </xf>
    <xf numFmtId="0" fontId="47" fillId="0" borderId="0" xfId="0" applyFont="1" applyAlignment="1">
      <alignment horizontal="left" vertical="center" indent="1"/>
    </xf>
    <xf numFmtId="0" fontId="13" fillId="0" borderId="8" xfId="0" applyFont="1" applyBorder="1"/>
    <xf numFmtId="0" fontId="13" fillId="0" borderId="9" xfId="0" applyFont="1" applyBorder="1"/>
    <xf numFmtId="0" fontId="24" fillId="0" borderId="0" xfId="2" applyFont="1" applyAlignment="1">
      <alignment horizontal="center"/>
    </xf>
    <xf numFmtId="164" fontId="56" fillId="0" borderId="0" xfId="2" applyNumberFormat="1" applyFont="1"/>
    <xf numFmtId="164" fontId="54" fillId="0" borderId="0" xfId="2" applyNumberFormat="1" applyFont="1"/>
    <xf numFmtId="0" fontId="15" fillId="0" borderId="5" xfId="2" applyFont="1" applyBorder="1"/>
    <xf numFmtId="0" fontId="0" fillId="0" borderId="5" xfId="0" applyBorder="1" applyAlignment="1">
      <alignment horizontal="left" vertical="center" wrapText="1"/>
    </xf>
    <xf numFmtId="0" fontId="15" fillId="0" borderId="5" xfId="2" applyFont="1" applyBorder="1" applyAlignment="1">
      <alignment horizontal="left"/>
    </xf>
    <xf numFmtId="164" fontId="54" fillId="0" borderId="4" xfId="2" applyNumberFormat="1" applyFont="1" applyBorder="1"/>
    <xf numFmtId="0" fontId="13" fillId="0" borderId="10" xfId="2" applyBorder="1" applyAlignment="1">
      <alignment horizontal="center"/>
    </xf>
    <xf numFmtId="0" fontId="15" fillId="4" borderId="3" xfId="2" applyFont="1" applyFill="1" applyBorder="1"/>
    <xf numFmtId="0" fontId="13" fillId="0" borderId="0" xfId="3" applyAlignment="1">
      <alignment horizontal="center"/>
    </xf>
    <xf numFmtId="3" fontId="13" fillId="0" borderId="0" xfId="3" applyNumberFormat="1" applyAlignment="1">
      <alignment horizontal="center"/>
    </xf>
    <xf numFmtId="14" fontId="14" fillId="6" borderId="26" xfId="2" applyNumberFormat="1" applyFont="1" applyFill="1" applyBorder="1" applyAlignment="1">
      <alignment horizontal="center" vertical="center"/>
    </xf>
    <xf numFmtId="14" fontId="14" fillId="6" borderId="23" xfId="2" applyNumberFormat="1" applyFont="1" applyFill="1" applyBorder="1" applyAlignment="1">
      <alignment horizontal="center" vertical="center"/>
    </xf>
    <xf numFmtId="14" fontId="14" fillId="6" borderId="25" xfId="2" applyNumberFormat="1" applyFont="1" applyFill="1" applyBorder="1" applyAlignment="1">
      <alignment horizontal="center" vertical="center"/>
    </xf>
    <xf numFmtId="164" fontId="19" fillId="0" borderId="0" xfId="0" applyNumberFormat="1" applyFont="1"/>
    <xf numFmtId="14" fontId="49" fillId="0" borderId="23" xfId="2" applyNumberFormat="1" applyFont="1" applyBorder="1" applyAlignment="1">
      <alignment horizontal="center" vertical="center"/>
    </xf>
    <xf numFmtId="14" fontId="49" fillId="0" borderId="26" xfId="2" applyNumberFormat="1" applyFont="1" applyBorder="1" applyAlignment="1">
      <alignment horizontal="center" vertical="center"/>
    </xf>
    <xf numFmtId="1" fontId="49" fillId="0" borderId="26" xfId="2" applyNumberFormat="1" applyFont="1" applyBorder="1" applyAlignment="1">
      <alignment horizontal="center" vertical="center" wrapText="1"/>
    </xf>
    <xf numFmtId="49" fontId="49" fillId="0" borderId="26" xfId="2" applyNumberFormat="1" applyFont="1" applyBorder="1" applyAlignment="1">
      <alignment horizontal="center" vertical="center" wrapText="1"/>
    </xf>
    <xf numFmtId="0" fontId="15" fillId="8" borderId="0" xfId="3" applyFont="1" applyFill="1" applyAlignment="1">
      <alignment horizontal="center"/>
    </xf>
    <xf numFmtId="3" fontId="15" fillId="8" borderId="0" xfId="3" applyNumberFormat="1" applyFont="1" applyFill="1" applyAlignment="1">
      <alignment horizontal="center"/>
    </xf>
    <xf numFmtId="1" fontId="15" fillId="10" borderId="6" xfId="8" applyNumberFormat="1" applyFont="1" applyBorder="1"/>
    <xf numFmtId="1" fontId="39" fillId="10" borderId="7" xfId="8" applyNumberFormat="1" applyFont="1" applyBorder="1" applyAlignment="1">
      <alignment horizontal="center"/>
    </xf>
    <xf numFmtId="1" fontId="13" fillId="0" borderId="9" xfId="2" applyNumberFormat="1" applyBorder="1" applyAlignment="1">
      <alignment horizontal="center" vertical="center"/>
    </xf>
    <xf numFmtId="0" fontId="13" fillId="0" borderId="9" xfId="2" applyBorder="1" applyAlignment="1">
      <alignment horizontal="center"/>
    </xf>
    <xf numFmtId="1" fontId="15" fillId="13" borderId="6" xfId="8" applyNumberFormat="1" applyFont="1" applyFill="1" applyBorder="1"/>
    <xf numFmtId="0" fontId="13" fillId="13" borderId="7" xfId="2" applyFill="1" applyBorder="1"/>
    <xf numFmtId="1" fontId="13" fillId="13" borderId="7" xfId="2" applyNumberFormat="1" applyFill="1" applyBorder="1" applyAlignment="1">
      <alignment horizontal="center" vertical="center"/>
    </xf>
    <xf numFmtId="1" fontId="39" fillId="13" borderId="11" xfId="8" applyNumberFormat="1" applyFont="1" applyFill="1" applyBorder="1" applyAlignment="1">
      <alignment horizontal="center"/>
    </xf>
    <xf numFmtId="0" fontId="15" fillId="0" borderId="4" xfId="2" applyFont="1" applyBorder="1" applyAlignment="1">
      <alignment horizontal="left"/>
    </xf>
    <xf numFmtId="0" fontId="31" fillId="0" borderId="5" xfId="2" applyFont="1" applyBorder="1" applyAlignment="1">
      <alignment horizontal="center"/>
    </xf>
    <xf numFmtId="0" fontId="15" fillId="0" borderId="8" xfId="0" applyFont="1" applyBorder="1" applyAlignment="1">
      <alignment horizontal="left"/>
    </xf>
    <xf numFmtId="0" fontId="31" fillId="0" borderId="9" xfId="0" applyFont="1" applyBorder="1" applyAlignment="1">
      <alignment horizontal="left"/>
    </xf>
    <xf numFmtId="0" fontId="31" fillId="0" borderId="10" xfId="0" applyFont="1" applyBorder="1" applyAlignment="1">
      <alignment horizontal="left"/>
    </xf>
    <xf numFmtId="1" fontId="15" fillId="14" borderId="6" xfId="8" applyNumberFormat="1" applyFont="1" applyFill="1" applyBorder="1"/>
    <xf numFmtId="1" fontId="39" fillId="14" borderId="11" xfId="8" applyNumberFormat="1" applyFont="1" applyFill="1" applyBorder="1"/>
    <xf numFmtId="0" fontId="29" fillId="7" borderId="7" xfId="2" applyFont="1" applyFill="1" applyBorder="1" applyAlignment="1">
      <alignment horizontal="left"/>
    </xf>
    <xf numFmtId="164" fontId="13" fillId="0" borderId="4" xfId="2" applyNumberFormat="1" applyBorder="1" applyAlignment="1">
      <alignment horizontal="left" vertical="center"/>
    </xf>
    <xf numFmtId="1" fontId="39" fillId="10" borderId="11" xfId="8" applyNumberFormat="1" applyFont="1" applyBorder="1" applyAlignment="1">
      <alignment horizontal="center"/>
    </xf>
    <xf numFmtId="0" fontId="31" fillId="0" borderId="10" xfId="0" applyFont="1" applyBorder="1" applyAlignment="1">
      <alignment horizontal="center"/>
    </xf>
    <xf numFmtId="1" fontId="14" fillId="6" borderId="16" xfId="2" applyNumberFormat="1" applyFont="1" applyFill="1" applyBorder="1" applyAlignment="1">
      <alignment horizontal="center" vertical="center" wrapText="1"/>
    </xf>
    <xf numFmtId="49" fontId="14" fillId="6" borderId="16" xfId="2" applyNumberFormat="1" applyFont="1" applyFill="1" applyBorder="1" applyAlignment="1">
      <alignment horizontal="center" vertical="center" wrapText="1"/>
    </xf>
    <xf numFmtId="0" fontId="14" fillId="6" borderId="24" xfId="2" applyFont="1" applyFill="1" applyBorder="1" applyAlignment="1">
      <alignment horizontal="center" vertical="center"/>
    </xf>
    <xf numFmtId="1" fontId="39" fillId="14" borderId="7" xfId="8" applyNumberFormat="1" applyFont="1" applyFill="1" applyBorder="1"/>
    <xf numFmtId="1" fontId="60" fillId="14" borderId="6" xfId="8" applyNumberFormat="1" applyFont="1" applyFill="1" applyBorder="1"/>
    <xf numFmtId="0" fontId="15" fillId="0" borderId="4" xfId="0" applyFont="1" applyBorder="1"/>
    <xf numFmtId="0" fontId="13" fillId="6" borderId="24" xfId="2" applyFill="1" applyBorder="1" applyAlignment="1">
      <alignment horizontal="center" vertical="center"/>
    </xf>
    <xf numFmtId="1" fontId="14" fillId="6" borderId="26" xfId="2" applyNumberFormat="1" applyFont="1" applyFill="1" applyBorder="1" applyAlignment="1">
      <alignment horizontal="center" vertical="center" wrapText="1"/>
    </xf>
    <xf numFmtId="49" fontId="14" fillId="6" borderId="26" xfId="2" applyNumberFormat="1" applyFont="1" applyFill="1" applyBorder="1" applyAlignment="1">
      <alignment horizontal="center" vertical="center" wrapText="1"/>
    </xf>
    <xf numFmtId="0" fontId="13" fillId="6" borderId="27" xfId="2" applyFill="1" applyBorder="1" applyAlignment="1">
      <alignment horizontal="center" vertical="center"/>
    </xf>
    <xf numFmtId="0" fontId="14" fillId="6" borderId="27" xfId="2" applyFont="1" applyFill="1" applyBorder="1" applyAlignment="1">
      <alignment horizontal="center" vertical="center"/>
    </xf>
    <xf numFmtId="49" fontId="58" fillId="2" borderId="28" xfId="2" applyNumberFormat="1" applyFont="1" applyFill="1" applyBorder="1" applyAlignment="1">
      <alignment horizontal="center" vertical="center" wrapText="1"/>
    </xf>
    <xf numFmtId="49" fontId="58" fillId="2" borderId="29" xfId="2" applyNumberFormat="1" applyFont="1" applyFill="1" applyBorder="1" applyAlignment="1">
      <alignment horizontal="center" vertical="center" wrapText="1"/>
    </xf>
    <xf numFmtId="49" fontId="58" fillId="2" borderId="29" xfId="0" applyNumberFormat="1" applyFont="1" applyFill="1" applyBorder="1" applyAlignment="1">
      <alignment horizontal="center" vertical="center" wrapText="1"/>
    </xf>
    <xf numFmtId="49" fontId="58" fillId="2" borderId="30" xfId="0" applyNumberFormat="1" applyFont="1" applyFill="1" applyBorder="1" applyAlignment="1">
      <alignment horizontal="center" vertical="center" wrapText="1"/>
    </xf>
    <xf numFmtId="49" fontId="70" fillId="2" borderId="29" xfId="0" applyNumberFormat="1" applyFont="1" applyFill="1" applyBorder="1" applyAlignment="1">
      <alignment horizontal="center" vertical="center" wrapText="1"/>
    </xf>
    <xf numFmtId="0" fontId="14" fillId="0" borderId="24" xfId="2" applyFont="1" applyBorder="1" applyAlignment="1">
      <alignment horizontal="center" vertical="center"/>
    </xf>
    <xf numFmtId="0" fontId="55" fillId="6" borderId="24" xfId="2" applyFont="1" applyFill="1" applyBorder="1" applyAlignment="1">
      <alignment horizontal="center" vertical="center"/>
    </xf>
    <xf numFmtId="14" fontId="71" fillId="6" borderId="23" xfId="2" applyNumberFormat="1" applyFont="1" applyFill="1" applyBorder="1" applyAlignment="1">
      <alignment horizontal="center" vertical="center"/>
    </xf>
    <xf numFmtId="14" fontId="71" fillId="6" borderId="16" xfId="2" applyNumberFormat="1" applyFont="1" applyFill="1" applyBorder="1" applyAlignment="1">
      <alignment horizontal="center" vertical="center"/>
    </xf>
    <xf numFmtId="14" fontId="71" fillId="6" borderId="25" xfId="2" applyNumberFormat="1" applyFont="1" applyFill="1" applyBorder="1" applyAlignment="1">
      <alignment horizontal="center" vertical="center"/>
    </xf>
    <xf numFmtId="14" fontId="71" fillId="6" borderId="26" xfId="2" applyNumberFormat="1" applyFont="1" applyFill="1" applyBorder="1" applyAlignment="1">
      <alignment horizontal="center" vertical="center"/>
    </xf>
    <xf numFmtId="49" fontId="55" fillId="2" borderId="28" xfId="2" applyNumberFormat="1" applyFont="1" applyFill="1" applyBorder="1" applyAlignment="1">
      <alignment horizontal="center" vertical="center" wrapText="1"/>
    </xf>
    <xf numFmtId="49" fontId="55" fillId="2" borderId="29" xfId="2" applyNumberFormat="1" applyFont="1" applyFill="1" applyBorder="1" applyAlignment="1">
      <alignment horizontal="center" vertical="center" wrapText="1"/>
    </xf>
    <xf numFmtId="49" fontId="55" fillId="2" borderId="30" xfId="2" applyNumberFormat="1" applyFont="1" applyFill="1" applyBorder="1" applyAlignment="1">
      <alignment horizontal="center" vertical="center" wrapText="1"/>
    </xf>
    <xf numFmtId="0" fontId="71" fillId="6" borderId="16" xfId="2" applyFont="1" applyFill="1" applyBorder="1" applyAlignment="1">
      <alignment horizontal="center" vertical="center"/>
    </xf>
    <xf numFmtId="1" fontId="71" fillId="6" borderId="16" xfId="2" applyNumberFormat="1" applyFont="1" applyFill="1" applyBorder="1" applyAlignment="1">
      <alignment horizontal="center" vertical="center" wrapText="1"/>
    </xf>
    <xf numFmtId="49" fontId="71" fillId="6" borderId="16" xfId="2" applyNumberFormat="1" applyFont="1" applyFill="1" applyBorder="1" applyAlignment="1">
      <alignment horizontal="center" vertical="center" wrapText="1"/>
    </xf>
    <xf numFmtId="0" fontId="71" fillId="6" borderId="24" xfId="2" applyFont="1" applyFill="1" applyBorder="1" applyAlignment="1">
      <alignment horizontal="center" vertical="center"/>
    </xf>
    <xf numFmtId="0" fontId="71" fillId="6" borderId="26" xfId="2" applyFont="1" applyFill="1" applyBorder="1" applyAlignment="1">
      <alignment horizontal="center" vertical="center"/>
    </xf>
    <xf numFmtId="1" fontId="71" fillId="6" borderId="26" xfId="2" applyNumberFormat="1" applyFont="1" applyFill="1" applyBorder="1" applyAlignment="1">
      <alignment horizontal="center" vertical="center" wrapText="1"/>
    </xf>
    <xf numFmtId="49" fontId="71" fillId="6" borderId="26" xfId="2" applyNumberFormat="1" applyFont="1" applyFill="1" applyBorder="1" applyAlignment="1">
      <alignment horizontal="center" vertical="center" wrapText="1"/>
    </xf>
    <xf numFmtId="0" fontId="15" fillId="7" borderId="6" xfId="2" applyFont="1" applyFill="1" applyBorder="1"/>
    <xf numFmtId="0" fontId="15" fillId="7" borderId="7" xfId="2" applyFont="1" applyFill="1" applyBorder="1"/>
    <xf numFmtId="0" fontId="13" fillId="7" borderId="7" xfId="2" applyFill="1" applyBorder="1" applyAlignment="1">
      <alignment horizontal="center" vertical="center"/>
    </xf>
    <xf numFmtId="0" fontId="13" fillId="7" borderId="7" xfId="2" applyFill="1" applyBorder="1" applyAlignment="1">
      <alignment horizontal="center"/>
    </xf>
    <xf numFmtId="0" fontId="13" fillId="7" borderId="11" xfId="2" applyFill="1" applyBorder="1"/>
    <xf numFmtId="0" fontId="31" fillId="0" borderId="9" xfId="0" applyFont="1" applyBorder="1" applyAlignment="1">
      <alignment horizontal="center"/>
    </xf>
    <xf numFmtId="0" fontId="29" fillId="14" borderId="7" xfId="2" applyFont="1" applyFill="1" applyBorder="1"/>
    <xf numFmtId="1" fontId="39" fillId="14" borderId="11" xfId="8" applyNumberFormat="1" applyFont="1" applyFill="1" applyBorder="1" applyAlignment="1">
      <alignment horizontal="center"/>
    </xf>
    <xf numFmtId="0" fontId="15" fillId="0" borderId="0" xfId="2" applyFont="1" applyAlignment="1">
      <alignment horizontal="center"/>
    </xf>
    <xf numFmtId="0" fontId="31" fillId="0" borderId="0" xfId="2" applyFont="1" applyAlignment="1">
      <alignment horizontal="center"/>
    </xf>
    <xf numFmtId="0" fontId="31" fillId="0" borderId="5" xfId="2" applyFont="1" applyBorder="1" applyAlignment="1">
      <alignment horizontal="left"/>
    </xf>
    <xf numFmtId="0" fontId="32" fillId="0" borderId="8" xfId="2" applyFont="1" applyBorder="1"/>
    <xf numFmtId="0" fontId="14" fillId="5" borderId="0" xfId="2" applyFont="1" applyFill="1"/>
    <xf numFmtId="0" fontId="14" fillId="5" borderId="0" xfId="2" applyFont="1" applyFill="1" applyAlignment="1">
      <alignment horizontal="center" vertical="center"/>
    </xf>
    <xf numFmtId="0" fontId="34" fillId="0" borderId="0" xfId="2" applyFont="1"/>
    <xf numFmtId="14" fontId="15" fillId="5" borderId="0" xfId="2" applyNumberFormat="1" applyFont="1" applyFill="1" applyAlignment="1">
      <alignment horizontal="left" vertical="center"/>
    </xf>
    <xf numFmtId="14" fontId="29" fillId="5" borderId="0" xfId="2" applyNumberFormat="1" applyFont="1" applyFill="1" applyAlignment="1">
      <alignment horizontal="left" vertical="center"/>
    </xf>
    <xf numFmtId="0" fontId="13" fillId="5" borderId="0" xfId="2" applyFill="1"/>
    <xf numFmtId="0" fontId="13" fillId="5" borderId="0" xfId="2" applyFill="1" applyAlignment="1">
      <alignment horizontal="center"/>
    </xf>
    <xf numFmtId="14" fontId="14" fillId="0" borderId="0" xfId="2" applyNumberFormat="1" applyFont="1" applyAlignment="1">
      <alignment horizontal="center" vertical="center"/>
    </xf>
    <xf numFmtId="0" fontId="62" fillId="0" borderId="0" xfId="2" applyFont="1" applyAlignment="1">
      <alignment vertical="center"/>
    </xf>
    <xf numFmtId="0" fontId="19" fillId="0" borderId="0" xfId="2" applyFont="1" applyAlignment="1">
      <alignment horizontal="center"/>
    </xf>
    <xf numFmtId="0" fontId="63" fillId="0" borderId="0" xfId="2" applyFont="1" applyAlignment="1">
      <alignment vertical="center"/>
    </xf>
    <xf numFmtId="0" fontId="64" fillId="0" borderId="0" xfId="2" applyFont="1" applyAlignment="1">
      <alignment vertical="center"/>
    </xf>
    <xf numFmtId="0" fontId="36" fillId="0" borderId="0" xfId="2" applyFont="1" applyAlignment="1">
      <alignment vertical="center"/>
    </xf>
    <xf numFmtId="0" fontId="65" fillId="0" borderId="0" xfId="2" applyFont="1" applyAlignment="1">
      <alignment horizontal="left" vertical="center" indent="5"/>
    </xf>
    <xf numFmtId="0" fontId="67" fillId="0" borderId="0" xfId="2" applyFont="1" applyAlignment="1">
      <alignment vertical="center"/>
    </xf>
    <xf numFmtId="0" fontId="38" fillId="0" borderId="0" xfId="2" applyFont="1" applyAlignment="1">
      <alignment vertical="center"/>
    </xf>
    <xf numFmtId="0" fontId="68" fillId="11" borderId="12" xfId="2" applyFont="1" applyFill="1" applyBorder="1" applyAlignment="1">
      <alignment horizontal="center" vertical="center" wrapText="1"/>
    </xf>
    <xf numFmtId="0" fontId="68" fillId="11" borderId="3" xfId="2" applyFont="1" applyFill="1" applyBorder="1" applyAlignment="1">
      <alignment horizontal="center" vertical="center" wrapText="1"/>
    </xf>
    <xf numFmtId="0" fontId="69" fillId="0" borderId="13" xfId="2" applyFont="1" applyBorder="1" applyAlignment="1">
      <alignment horizontal="center" vertical="center" wrapText="1"/>
    </xf>
    <xf numFmtId="0" fontId="69" fillId="0" borderId="12" xfId="2" applyFont="1" applyBorder="1" applyAlignment="1">
      <alignment horizontal="center" vertical="center" wrapText="1"/>
    </xf>
    <xf numFmtId="0" fontId="69" fillId="0" borderId="3" xfId="2" applyFont="1" applyBorder="1" applyAlignment="1">
      <alignment horizontal="center" vertical="center" wrapText="1"/>
    </xf>
    <xf numFmtId="0" fontId="69" fillId="3" borderId="3" xfId="2" applyFont="1" applyFill="1" applyBorder="1" applyAlignment="1">
      <alignment horizontal="center" vertical="center" wrapText="1"/>
    </xf>
    <xf numFmtId="0" fontId="69" fillId="0" borderId="10" xfId="2" applyFont="1" applyBorder="1" applyAlignment="1">
      <alignment horizontal="center" vertical="center" wrapText="1"/>
    </xf>
    <xf numFmtId="0" fontId="17" fillId="0" borderId="0" xfId="2" applyFont="1" applyAlignment="1">
      <alignment vertical="center"/>
    </xf>
    <xf numFmtId="0" fontId="16" fillId="0" borderId="0" xfId="2" applyFont="1" applyAlignment="1">
      <alignment vertical="center"/>
    </xf>
    <xf numFmtId="0" fontId="21" fillId="0" borderId="0" xfId="3" applyFont="1" applyAlignment="1">
      <alignment horizontal="center"/>
    </xf>
    <xf numFmtId="3" fontId="21" fillId="0" borderId="0" xfId="3" applyNumberFormat="1" applyFont="1" applyAlignment="1">
      <alignment horizontal="center"/>
    </xf>
    <xf numFmtId="0" fontId="2" fillId="0" borderId="0" xfId="17" applyAlignment="1">
      <alignment horizontal="center"/>
    </xf>
    <xf numFmtId="0" fontId="2" fillId="0" borderId="0" xfId="17"/>
    <xf numFmtId="0" fontId="26" fillId="0" borderId="0" xfId="17" applyFont="1" applyAlignment="1">
      <alignment horizontal="center"/>
    </xf>
    <xf numFmtId="0" fontId="26" fillId="0" borderId="0" xfId="17" applyFont="1" applyAlignment="1">
      <alignment horizontal="left" indent="2"/>
    </xf>
    <xf numFmtId="0" fontId="26" fillId="0" borderId="0" xfId="17" applyFont="1"/>
    <xf numFmtId="0" fontId="26" fillId="0" borderId="0" xfId="17" applyFont="1" applyAlignment="1">
      <alignment horizontal="left"/>
    </xf>
    <xf numFmtId="0" fontId="35" fillId="0" borderId="0" xfId="17" applyFont="1" applyAlignment="1">
      <alignment horizontal="left" indent="2"/>
    </xf>
    <xf numFmtId="0" fontId="35" fillId="0" borderId="0" xfId="17" applyFont="1"/>
    <xf numFmtId="0" fontId="35" fillId="3" borderId="0" xfId="17" applyFont="1" applyFill="1" applyAlignment="1">
      <alignment horizontal="left" indent="2"/>
    </xf>
    <xf numFmtId="0" fontId="35" fillId="3" borderId="0" xfId="17" applyFont="1" applyFill="1"/>
    <xf numFmtId="14" fontId="71" fillId="6" borderId="33" xfId="2" applyNumberFormat="1" applyFont="1" applyFill="1" applyBorder="1" applyAlignment="1">
      <alignment horizontal="center" vertical="center"/>
    </xf>
    <xf numFmtId="0" fontId="71" fillId="6" borderId="35" xfId="2" applyFont="1" applyFill="1" applyBorder="1" applyAlignment="1">
      <alignment horizontal="center" vertical="center"/>
    </xf>
    <xf numFmtId="1" fontId="71" fillId="6" borderId="34" xfId="2" applyNumberFormat="1" applyFont="1" applyFill="1" applyBorder="1" applyAlignment="1">
      <alignment horizontal="center" vertical="center" wrapText="1"/>
    </xf>
    <xf numFmtId="49" fontId="71" fillId="6" borderId="34" xfId="2" applyNumberFormat="1" applyFont="1" applyFill="1" applyBorder="1" applyAlignment="1">
      <alignment horizontal="center" vertical="center" wrapText="1"/>
    </xf>
    <xf numFmtId="0" fontId="0" fillId="0" borderId="0" xfId="2" applyFont="1" applyAlignment="1">
      <alignment horizontal="center"/>
    </xf>
    <xf numFmtId="0" fontId="63" fillId="3" borderId="0" xfId="2" applyFont="1" applyFill="1" applyAlignment="1">
      <alignment vertical="center"/>
    </xf>
    <xf numFmtId="0" fontId="2" fillId="3" borderId="0" xfId="17" applyFill="1"/>
    <xf numFmtId="0" fontId="2" fillId="3" borderId="0" xfId="17" applyFill="1" applyAlignment="1">
      <alignment horizontal="center"/>
    </xf>
    <xf numFmtId="0" fontId="64" fillId="3" borderId="0" xfId="2" applyFont="1" applyFill="1" applyAlignment="1">
      <alignment vertical="center"/>
    </xf>
    <xf numFmtId="0" fontId="13" fillId="3" borderId="0" xfId="2" applyFill="1"/>
    <xf numFmtId="0" fontId="13" fillId="3" borderId="0" xfId="2" applyFill="1" applyAlignment="1">
      <alignment horizontal="center"/>
    </xf>
    <xf numFmtId="0" fontId="18" fillId="0" borderId="0" xfId="1" applyAlignment="1" applyProtection="1"/>
    <xf numFmtId="0" fontId="14" fillId="0" borderId="0" xfId="2" quotePrefix="1" applyFont="1" applyAlignment="1">
      <alignment horizontal="center" vertical="center"/>
    </xf>
    <xf numFmtId="14" fontId="15" fillId="0" borderId="39" xfId="2" applyNumberFormat="1" applyFont="1" applyBorder="1" applyAlignment="1">
      <alignment vertical="center"/>
    </xf>
    <xf numFmtId="14" fontId="40" fillId="0" borderId="39" xfId="2" applyNumberFormat="1" applyFont="1" applyBorder="1" applyAlignment="1">
      <alignment vertical="center"/>
    </xf>
    <xf numFmtId="14" fontId="40" fillId="0" borderId="39" xfId="2" applyNumberFormat="1" applyFont="1" applyBorder="1" applyAlignment="1">
      <alignment horizontal="center" vertical="center"/>
    </xf>
    <xf numFmtId="0" fontId="33" fillId="0" borderId="22" xfId="17" applyFont="1" applyBorder="1" applyAlignment="1">
      <alignment horizontal="left" vertical="center"/>
    </xf>
    <xf numFmtId="49" fontId="13" fillId="0" borderId="0" xfId="2" applyNumberFormat="1"/>
    <xf numFmtId="14" fontId="14" fillId="6" borderId="40" xfId="2" applyNumberFormat="1" applyFont="1" applyFill="1" applyBorder="1" applyAlignment="1">
      <alignment horizontal="center" vertical="center"/>
    </xf>
    <xf numFmtId="14" fontId="13" fillId="6" borderId="41" xfId="0" applyNumberFormat="1" applyFont="1" applyFill="1" applyBorder="1" applyAlignment="1">
      <alignment horizontal="center" vertical="center"/>
    </xf>
    <xf numFmtId="14" fontId="14" fillId="6" borderId="41" xfId="2" applyNumberFormat="1" applyFont="1" applyFill="1" applyBorder="1" applyAlignment="1">
      <alignment horizontal="center" vertical="center"/>
    </xf>
    <xf numFmtId="0" fontId="14" fillId="6" borderId="41" xfId="2" applyFont="1" applyFill="1" applyBorder="1" applyAlignment="1">
      <alignment horizontal="center" vertical="center"/>
    </xf>
    <xf numFmtId="49" fontId="14" fillId="6" borderId="41" xfId="2" applyNumberFormat="1" applyFont="1" applyFill="1" applyBorder="1" applyAlignment="1">
      <alignment horizontal="center" vertical="center" wrapText="1"/>
    </xf>
    <xf numFmtId="0" fontId="13" fillId="6" borderId="42" xfId="2" applyFill="1" applyBorder="1" applyAlignment="1">
      <alignment horizontal="center" vertical="center"/>
    </xf>
    <xf numFmtId="1" fontId="14" fillId="16" borderId="16" xfId="2" applyNumberFormat="1" applyFont="1" applyFill="1" applyBorder="1" applyAlignment="1">
      <alignment horizontal="center" vertical="center" wrapText="1"/>
    </xf>
    <xf numFmtId="164" fontId="25" fillId="8" borderId="0" xfId="2" applyNumberFormat="1" applyFont="1" applyFill="1" applyAlignment="1">
      <alignment horizontal="center" vertical="center"/>
    </xf>
    <xf numFmtId="3" fontId="25" fillId="8" borderId="0" xfId="2" applyNumberFormat="1" applyFont="1" applyFill="1" applyAlignment="1">
      <alignment horizontal="center" vertical="center"/>
    </xf>
    <xf numFmtId="164" fontId="18" fillId="0" borderId="4" xfId="1" applyNumberFormat="1" applyBorder="1" applyAlignment="1" applyProtection="1">
      <alignment horizontal="left" vertical="center"/>
    </xf>
    <xf numFmtId="164" fontId="15" fillId="3" borderId="4" xfId="2" applyNumberFormat="1" applyFont="1" applyFill="1" applyBorder="1" applyAlignment="1">
      <alignment horizontal="left" vertical="center"/>
    </xf>
    <xf numFmtId="164" fontId="15" fillId="3" borderId="0" xfId="2" applyNumberFormat="1" applyFont="1" applyFill="1" applyAlignment="1">
      <alignment horizontal="center" vertical="center"/>
    </xf>
    <xf numFmtId="3" fontId="15" fillId="3" borderId="0" xfId="2" applyNumberFormat="1" applyFont="1" applyFill="1" applyAlignment="1">
      <alignment horizontal="center" vertical="center"/>
    </xf>
    <xf numFmtId="49" fontId="14" fillId="16" borderId="16" xfId="2" applyNumberFormat="1" applyFont="1" applyFill="1" applyBorder="1" applyAlignment="1">
      <alignment horizontal="center" vertical="center" wrapText="1"/>
    </xf>
    <xf numFmtId="0" fontId="17" fillId="0" borderId="4" xfId="0" applyFont="1" applyBorder="1"/>
    <xf numFmtId="0" fontId="18" fillId="0" borderId="4" xfId="1" applyFill="1" applyBorder="1" applyAlignment="1" applyProtection="1"/>
    <xf numFmtId="14" fontId="14" fillId="6" borderId="26" xfId="2" applyNumberFormat="1" applyFont="1" applyFill="1" applyBorder="1" applyAlignment="1">
      <alignment horizontal="center" vertical="center" wrapText="1"/>
    </xf>
    <xf numFmtId="3" fontId="22" fillId="8" borderId="0" xfId="3" applyNumberFormat="1" applyFont="1" applyFill="1" applyAlignment="1">
      <alignment horizontal="center"/>
    </xf>
    <xf numFmtId="0" fontId="24" fillId="8" borderId="0" xfId="0" applyFont="1" applyFill="1" applyAlignment="1">
      <alignment horizontal="center"/>
    </xf>
    <xf numFmtId="0" fontId="74" fillId="0" borderId="0" xfId="2" applyFont="1"/>
    <xf numFmtId="0" fontId="41" fillId="0" borderId="0" xfId="17" applyFont="1" applyAlignment="1">
      <alignment horizontal="left" wrapText="1"/>
    </xf>
    <xf numFmtId="14" fontId="14" fillId="6" borderId="53" xfId="2" applyNumberFormat="1" applyFont="1" applyFill="1" applyBorder="1" applyAlignment="1">
      <alignment horizontal="center" vertical="center"/>
    </xf>
    <xf numFmtId="14" fontId="14" fillId="6" borderId="54" xfId="2" applyNumberFormat="1" applyFont="1" applyFill="1" applyBorder="1" applyAlignment="1">
      <alignment horizontal="center" vertical="center"/>
    </xf>
    <xf numFmtId="1" fontId="14" fillId="6" borderId="54" xfId="2" applyNumberFormat="1" applyFont="1" applyFill="1" applyBorder="1" applyAlignment="1">
      <alignment horizontal="center" vertical="center" wrapText="1"/>
    </xf>
    <xf numFmtId="49" fontId="14" fillId="6" borderId="54" xfId="2" applyNumberFormat="1" applyFont="1" applyFill="1" applyBorder="1" applyAlignment="1">
      <alignment horizontal="center" vertical="center" wrapText="1"/>
    </xf>
    <xf numFmtId="0" fontId="13" fillId="6" borderId="55" xfId="2" applyFill="1" applyBorder="1" applyAlignment="1">
      <alignment horizontal="center" vertical="center"/>
    </xf>
    <xf numFmtId="49" fontId="58" fillId="15" borderId="56" xfId="2" applyNumberFormat="1" applyFont="1" applyFill="1" applyBorder="1" applyAlignment="1">
      <alignment horizontal="center" vertical="center" wrapText="1"/>
    </xf>
    <xf numFmtId="49" fontId="58" fillId="15" borderId="57" xfId="2" applyNumberFormat="1" applyFont="1" applyFill="1" applyBorder="1" applyAlignment="1">
      <alignment horizontal="center" vertical="center" wrapText="1"/>
    </xf>
    <xf numFmtId="49" fontId="58" fillId="15" borderId="58" xfId="2" applyNumberFormat="1" applyFont="1" applyFill="1" applyBorder="1" applyAlignment="1">
      <alignment horizontal="center" vertical="center" wrapText="1"/>
    </xf>
    <xf numFmtId="1" fontId="75" fillId="16" borderId="16" xfId="2" applyNumberFormat="1" applyFont="1" applyFill="1" applyBorder="1" applyAlignment="1">
      <alignment horizontal="center" vertical="center" wrapText="1"/>
    </xf>
    <xf numFmtId="1" fontId="75" fillId="16" borderId="36" xfId="2" applyNumberFormat="1" applyFont="1" applyFill="1" applyBorder="1" applyAlignment="1">
      <alignment horizontal="center" vertical="center" wrapText="1"/>
    </xf>
    <xf numFmtId="1" fontId="75" fillId="16" borderId="37" xfId="2" applyNumberFormat="1" applyFont="1" applyFill="1" applyBorder="1" applyAlignment="1">
      <alignment horizontal="center" vertical="center" wrapText="1"/>
    </xf>
    <xf numFmtId="1" fontId="75" fillId="16" borderId="26" xfId="2" applyNumberFormat="1" applyFont="1" applyFill="1" applyBorder="1" applyAlignment="1">
      <alignment horizontal="center" vertical="center" wrapText="1"/>
    </xf>
    <xf numFmtId="1" fontId="75" fillId="16" borderId="38" xfId="2" applyNumberFormat="1" applyFont="1" applyFill="1" applyBorder="1" applyAlignment="1">
      <alignment horizontal="center" vertical="center" wrapText="1"/>
    </xf>
    <xf numFmtId="49" fontId="75" fillId="16" borderId="16" xfId="2" applyNumberFormat="1" applyFont="1" applyFill="1" applyBorder="1" applyAlignment="1">
      <alignment horizontal="center" vertical="center" wrapText="1"/>
    </xf>
    <xf numFmtId="0" fontId="41" fillId="12" borderId="0" xfId="18" applyFont="1" applyFill="1"/>
    <xf numFmtId="0" fontId="1" fillId="0" borderId="0" xfId="18"/>
    <xf numFmtId="0" fontId="41" fillId="0" borderId="12" xfId="18" applyFont="1" applyBorder="1" applyAlignment="1">
      <alignment horizontal="center"/>
    </xf>
    <xf numFmtId="0" fontId="1" fillId="0" borderId="18" xfId="18" applyBorder="1"/>
    <xf numFmtId="0" fontId="1" fillId="3" borderId="0" xfId="18" applyFill="1" applyAlignment="1">
      <alignment wrapText="1"/>
    </xf>
    <xf numFmtId="0" fontId="1" fillId="0" borderId="59" xfId="18" applyBorder="1"/>
    <xf numFmtId="0" fontId="1" fillId="0" borderId="43" xfId="18" applyBorder="1" applyAlignment="1">
      <alignment horizontal="center"/>
    </xf>
    <xf numFmtId="0" fontId="1" fillId="0" borderId="61" xfId="18" applyBorder="1" applyAlignment="1">
      <alignment horizontal="center"/>
    </xf>
    <xf numFmtId="0" fontId="1" fillId="3" borderId="0" xfId="18" applyFill="1"/>
    <xf numFmtId="0" fontId="1" fillId="0" borderId="62" xfId="18" applyBorder="1" applyAlignment="1">
      <alignment horizontal="center"/>
    </xf>
    <xf numFmtId="166" fontId="1" fillId="0" borderId="47" xfId="18" applyNumberFormat="1" applyBorder="1" applyAlignment="1">
      <alignment horizontal="center"/>
    </xf>
    <xf numFmtId="166" fontId="1" fillId="0" borderId="21" xfId="18" applyNumberFormat="1" applyBorder="1" applyAlignment="1">
      <alignment horizontal="center"/>
    </xf>
    <xf numFmtId="0" fontId="1" fillId="0" borderId="44" xfId="18" applyBorder="1" applyAlignment="1">
      <alignment horizontal="center"/>
    </xf>
    <xf numFmtId="0" fontId="1" fillId="0" borderId="45" xfId="18" applyBorder="1" applyAlignment="1">
      <alignment horizontal="center"/>
    </xf>
    <xf numFmtId="0" fontId="1" fillId="9" borderId="59" xfId="18" applyFill="1" applyBorder="1"/>
    <xf numFmtId="9" fontId="25" fillId="9" borderId="0" xfId="18" applyNumberFormat="1" applyFont="1" applyFill="1" applyAlignment="1">
      <alignment wrapText="1"/>
    </xf>
    <xf numFmtId="0" fontId="1" fillId="0" borderId="62" xfId="18" applyBorder="1"/>
    <xf numFmtId="0" fontId="1" fillId="0" borderId="59" xfId="18" applyBorder="1" applyAlignment="1">
      <alignment horizontal="left" vertical="center"/>
    </xf>
    <xf numFmtId="9" fontId="13" fillId="0" borderId="0" xfId="18" applyNumberFormat="1" applyFont="1" applyAlignment="1">
      <alignment wrapText="1"/>
    </xf>
    <xf numFmtId="0" fontId="1" fillId="0" borderId="48" xfId="18" applyBorder="1"/>
    <xf numFmtId="0" fontId="73" fillId="0" borderId="0" xfId="18" applyFont="1"/>
    <xf numFmtId="0" fontId="50" fillId="0" borderId="0" xfId="18" applyFont="1"/>
    <xf numFmtId="0" fontId="50" fillId="0" borderId="0" xfId="18" applyFont="1" applyAlignment="1">
      <alignment horizontal="center"/>
    </xf>
    <xf numFmtId="0" fontId="41" fillId="0" borderId="0" xfId="18" applyFont="1"/>
    <xf numFmtId="0" fontId="1" fillId="0" borderId="0" xfId="18" applyAlignment="1">
      <alignment horizontal="center"/>
    </xf>
    <xf numFmtId="0" fontId="41" fillId="3" borderId="0" xfId="18" applyFont="1" applyFill="1" applyAlignment="1">
      <alignment horizontal="left" vertical="center"/>
    </xf>
    <xf numFmtId="0" fontId="41" fillId="9" borderId="0" xfId="18" applyFont="1" applyFill="1" applyAlignment="1">
      <alignment horizontal="left" vertical="center"/>
    </xf>
    <xf numFmtId="0" fontId="28" fillId="3" borderId="0" xfId="18" applyFont="1" applyFill="1"/>
    <xf numFmtId="0" fontId="28" fillId="3" borderId="0" xfId="18" applyFont="1" applyFill="1" applyAlignment="1">
      <alignment horizontal="center"/>
    </xf>
    <xf numFmtId="0" fontId="42" fillId="3" borderId="0" xfId="18" applyFont="1" applyFill="1" applyAlignment="1">
      <alignment vertical="center"/>
    </xf>
    <xf numFmtId="0" fontId="43" fillId="0" borderId="0" xfId="18" applyFont="1" applyAlignment="1">
      <alignment horizontal="center" vertical="center"/>
    </xf>
    <xf numFmtId="0" fontId="41" fillId="0" borderId="0" xfId="18" applyFont="1" applyAlignment="1">
      <alignment vertical="center"/>
    </xf>
    <xf numFmtId="0" fontId="44" fillId="0" borderId="13" xfId="18" applyFont="1" applyBorder="1" applyAlignment="1">
      <alignment vertical="center"/>
    </xf>
    <xf numFmtId="0" fontId="44" fillId="0" borderId="10" xfId="18" applyFont="1" applyBorder="1" applyAlignment="1">
      <alignment vertical="center"/>
    </xf>
    <xf numFmtId="0" fontId="44" fillId="0" borderId="10" xfId="18" applyFont="1" applyBorder="1" applyAlignment="1">
      <alignment horizontal="center" vertical="center"/>
    </xf>
    <xf numFmtId="0" fontId="45" fillId="0" borderId="13" xfId="18" applyFont="1" applyBorder="1" applyAlignment="1">
      <alignment vertical="center"/>
    </xf>
    <xf numFmtId="0" fontId="45" fillId="0" borderId="10" xfId="18" applyFont="1" applyBorder="1" applyAlignment="1">
      <alignment vertical="center"/>
    </xf>
    <xf numFmtId="0" fontId="45" fillId="0" borderId="10" xfId="18" applyFont="1" applyBorder="1" applyAlignment="1">
      <alignment horizontal="center" vertical="center"/>
    </xf>
    <xf numFmtId="0" fontId="45" fillId="0" borderId="0" xfId="18" applyFont="1" applyAlignment="1">
      <alignment vertical="center"/>
    </xf>
    <xf numFmtId="0" fontId="45" fillId="0" borderId="0" xfId="18" applyFont="1" applyAlignment="1">
      <alignment horizontal="center" vertical="center"/>
    </xf>
    <xf numFmtId="14" fontId="14" fillId="17" borderId="23" xfId="2" applyNumberFormat="1" applyFont="1" applyFill="1" applyBorder="1" applyAlignment="1">
      <alignment horizontal="center" vertical="center"/>
    </xf>
    <xf numFmtId="14" fontId="14" fillId="17" borderId="16" xfId="2" applyNumberFormat="1" applyFont="1" applyFill="1" applyBorder="1" applyAlignment="1">
      <alignment horizontal="center" vertical="center"/>
    </xf>
    <xf numFmtId="1" fontId="75" fillId="17" borderId="16" xfId="2" applyNumberFormat="1" applyFont="1" applyFill="1" applyBorder="1" applyAlignment="1">
      <alignment horizontal="center" vertical="center" wrapText="1"/>
    </xf>
    <xf numFmtId="1" fontId="14" fillId="17" borderId="16" xfId="2" applyNumberFormat="1" applyFont="1" applyFill="1" applyBorder="1" applyAlignment="1">
      <alignment horizontal="center" vertical="center" wrapText="1"/>
    </xf>
    <xf numFmtId="49" fontId="14" fillId="17" borderId="16" xfId="2" applyNumberFormat="1" applyFont="1" applyFill="1" applyBorder="1" applyAlignment="1">
      <alignment horizontal="center" vertical="center" wrapText="1"/>
    </xf>
    <xf numFmtId="0" fontId="14" fillId="17" borderId="24" xfId="2" applyFont="1" applyFill="1" applyBorder="1" applyAlignment="1">
      <alignment horizontal="center" vertical="center"/>
    </xf>
    <xf numFmtId="14" fontId="14" fillId="18" borderId="23" xfId="2" applyNumberFormat="1" applyFont="1" applyFill="1" applyBorder="1" applyAlignment="1">
      <alignment horizontal="center" vertical="center"/>
    </xf>
    <xf numFmtId="14" fontId="14" fillId="18" borderId="16" xfId="2" applyNumberFormat="1" applyFont="1" applyFill="1" applyBorder="1" applyAlignment="1">
      <alignment horizontal="center" vertical="center"/>
    </xf>
    <xf numFmtId="1" fontId="75" fillId="18" borderId="16" xfId="2" applyNumberFormat="1" applyFont="1" applyFill="1" applyBorder="1" applyAlignment="1">
      <alignment horizontal="center" vertical="center" wrapText="1"/>
    </xf>
    <xf numFmtId="1" fontId="14" fillId="18" borderId="16" xfId="2" applyNumberFormat="1" applyFont="1" applyFill="1" applyBorder="1" applyAlignment="1">
      <alignment horizontal="center" vertical="center" wrapText="1"/>
    </xf>
    <xf numFmtId="49" fontId="14" fillId="18" borderId="16" xfId="2" applyNumberFormat="1" applyFont="1" applyFill="1" applyBorder="1" applyAlignment="1">
      <alignment horizontal="center" vertical="center" wrapText="1"/>
    </xf>
    <xf numFmtId="0" fontId="14" fillId="18" borderId="24" xfId="2" applyFont="1" applyFill="1" applyBorder="1" applyAlignment="1">
      <alignment horizontal="center" vertical="center"/>
    </xf>
    <xf numFmtId="14" fontId="49" fillId="0" borderId="25" xfId="2" applyNumberFormat="1" applyFont="1" applyBorder="1" applyAlignment="1">
      <alignment horizontal="center" vertical="center"/>
    </xf>
    <xf numFmtId="0" fontId="14" fillId="0" borderId="27" xfId="2" applyFont="1" applyBorder="1" applyAlignment="1">
      <alignment horizontal="center" vertical="center"/>
    </xf>
    <xf numFmtId="0" fontId="13" fillId="0" borderId="52" xfId="2" applyBorder="1"/>
    <xf numFmtId="0" fontId="0" fillId="0" borderId="0" xfId="2" applyFont="1" applyAlignment="1">
      <alignment horizontal="center" vertical="center"/>
    </xf>
    <xf numFmtId="0" fontId="0" fillId="0" borderId="5" xfId="2" applyFont="1" applyBorder="1" applyAlignment="1">
      <alignment horizontal="center" vertical="center"/>
    </xf>
    <xf numFmtId="0" fontId="76" fillId="6" borderId="24" xfId="2" applyFont="1" applyFill="1" applyBorder="1" applyAlignment="1">
      <alignment horizontal="left" vertical="center"/>
    </xf>
    <xf numFmtId="0" fontId="0" fillId="0" borderId="7" xfId="2" applyFont="1" applyBorder="1" applyAlignment="1">
      <alignment horizontal="center" vertical="center"/>
    </xf>
    <xf numFmtId="164" fontId="0" fillId="0" borderId="0" xfId="2" applyNumberFormat="1" applyFont="1" applyAlignment="1">
      <alignment horizontal="center"/>
    </xf>
    <xf numFmtId="0" fontId="0" fillId="0" borderId="9" xfId="2" applyFont="1" applyBorder="1"/>
    <xf numFmtId="1" fontId="0" fillId="0" borderId="9" xfId="2" applyNumberFormat="1" applyFont="1" applyBorder="1"/>
    <xf numFmtId="0" fontId="15" fillId="0" borderId="4" xfId="0" applyFont="1" applyBorder="1" applyAlignment="1">
      <alignment horizontal="left"/>
    </xf>
    <xf numFmtId="0" fontId="31" fillId="0" borderId="5" xfId="0" applyFont="1" applyBorder="1" applyAlignment="1">
      <alignment horizontal="left"/>
    </xf>
    <xf numFmtId="0" fontId="15" fillId="0" borderId="8" xfId="2" applyFont="1" applyBorder="1"/>
    <xf numFmtId="14" fontId="49" fillId="6" borderId="23" xfId="2" applyNumberFormat="1" applyFont="1" applyFill="1" applyBorder="1" applyAlignment="1">
      <alignment horizontal="center" vertical="center"/>
    </xf>
    <xf numFmtId="14" fontId="25" fillId="6" borderId="16" xfId="0" applyNumberFormat="1" applyFont="1" applyFill="1" applyBorder="1" applyAlignment="1">
      <alignment horizontal="center" vertical="center"/>
    </xf>
    <xf numFmtId="14" fontId="49" fillId="6" borderId="16" xfId="2" applyNumberFormat="1" applyFont="1" applyFill="1" applyBorder="1" applyAlignment="1">
      <alignment horizontal="center" vertical="center"/>
    </xf>
    <xf numFmtId="0" fontId="49" fillId="6" borderId="16" xfId="2" applyFont="1" applyFill="1" applyBorder="1" applyAlignment="1">
      <alignment horizontal="center" vertical="center"/>
    </xf>
    <xf numFmtId="1" fontId="49" fillId="6" borderId="16" xfId="2" applyNumberFormat="1" applyFont="1" applyFill="1" applyBorder="1" applyAlignment="1">
      <alignment horizontal="center" vertical="center" wrapText="1"/>
    </xf>
    <xf numFmtId="49" fontId="49" fillId="6" borderId="16" xfId="2" applyNumberFormat="1" applyFont="1" applyFill="1" applyBorder="1" applyAlignment="1">
      <alignment horizontal="center" vertical="center" wrapText="1"/>
    </xf>
    <xf numFmtId="0" fontId="25" fillId="6" borderId="24" xfId="2" applyFont="1" applyFill="1" applyBorder="1" applyAlignment="1">
      <alignment horizontal="center" vertical="center"/>
    </xf>
    <xf numFmtId="0" fontId="77" fillId="0" borderId="0" xfId="2" applyFont="1" applyAlignment="1">
      <alignment vertical="center"/>
    </xf>
    <xf numFmtId="0" fontId="78" fillId="0" borderId="0" xfId="1" applyFont="1" applyAlignment="1" applyProtection="1"/>
    <xf numFmtId="164" fontId="15" fillId="3" borderId="0" xfId="2" applyNumberFormat="1" applyFont="1" applyFill="1" applyAlignment="1">
      <alignment horizontal="center" vertical="center" wrapText="1"/>
    </xf>
    <xf numFmtId="0" fontId="40" fillId="0" borderId="0" xfId="2" applyFont="1"/>
    <xf numFmtId="167" fontId="14" fillId="16" borderId="54" xfId="2" applyNumberFormat="1" applyFont="1" applyFill="1" applyBorder="1" applyAlignment="1">
      <alignment horizontal="center" vertical="center" wrapText="1"/>
    </xf>
    <xf numFmtId="167" fontId="14" fillId="16" borderId="26" xfId="2" applyNumberFormat="1" applyFont="1" applyFill="1" applyBorder="1" applyAlignment="1">
      <alignment horizontal="center" vertical="center" wrapText="1"/>
    </xf>
    <xf numFmtId="167" fontId="14" fillId="16" borderId="16" xfId="2" applyNumberFormat="1" applyFont="1" applyFill="1" applyBorder="1" applyAlignment="1">
      <alignment horizontal="center" vertical="center" wrapText="1"/>
    </xf>
    <xf numFmtId="0" fontId="59" fillId="3" borderId="1" xfId="2" applyFont="1" applyFill="1" applyBorder="1"/>
    <xf numFmtId="0" fontId="79" fillId="3" borderId="2" xfId="2" applyFont="1" applyFill="1" applyBorder="1"/>
    <xf numFmtId="0" fontId="79" fillId="3" borderId="2" xfId="2" applyFont="1" applyFill="1" applyBorder="1" applyAlignment="1">
      <alignment horizontal="left" vertical="center"/>
    </xf>
    <xf numFmtId="0" fontId="13" fillId="3" borderId="2" xfId="2" applyFill="1" applyBorder="1"/>
    <xf numFmtId="0" fontId="13" fillId="3" borderId="3" xfId="2" applyFill="1" applyBorder="1"/>
    <xf numFmtId="0" fontId="79" fillId="3" borderId="1" xfId="2" applyFont="1" applyFill="1" applyBorder="1"/>
    <xf numFmtId="0" fontId="79" fillId="3" borderId="3" xfId="2" applyFont="1" applyFill="1" applyBorder="1"/>
    <xf numFmtId="14" fontId="14" fillId="17" borderId="16" xfId="2" applyNumberFormat="1" applyFont="1" applyFill="1" applyBorder="1" applyAlignment="1">
      <alignment horizontal="center" vertical="center" wrapText="1"/>
    </xf>
    <xf numFmtId="14" fontId="14" fillId="18" borderId="16" xfId="2" applyNumberFormat="1" applyFont="1" applyFill="1" applyBorder="1" applyAlignment="1">
      <alignment horizontal="center" vertical="center" wrapText="1"/>
    </xf>
    <xf numFmtId="0" fontId="15" fillId="3" borderId="0" xfId="2" applyFont="1" applyFill="1" applyAlignment="1">
      <alignment horizontal="center"/>
    </xf>
    <xf numFmtId="49" fontId="71" fillId="16" borderId="16" xfId="2" applyNumberFormat="1" applyFont="1" applyFill="1" applyBorder="1" applyAlignment="1">
      <alignment horizontal="center" vertical="center" wrapText="1"/>
    </xf>
    <xf numFmtId="1" fontId="71" fillId="16" borderId="16" xfId="2" applyNumberFormat="1" applyFont="1" applyFill="1" applyBorder="1" applyAlignment="1">
      <alignment horizontal="center" vertical="center" wrapText="1"/>
    </xf>
    <xf numFmtId="49" fontId="71" fillId="16" borderId="26" xfId="2" applyNumberFormat="1" applyFont="1" applyFill="1" applyBorder="1" applyAlignment="1">
      <alignment horizontal="center" vertical="center" wrapText="1"/>
    </xf>
    <xf numFmtId="49" fontId="0" fillId="0" borderId="0" xfId="0" applyNumberFormat="1"/>
    <xf numFmtId="49" fontId="14" fillId="16" borderId="41" xfId="2" applyNumberFormat="1" applyFont="1" applyFill="1" applyBorder="1" applyAlignment="1">
      <alignment horizontal="center" vertical="center" wrapText="1"/>
    </xf>
    <xf numFmtId="1" fontId="14" fillId="16" borderId="41" xfId="2" applyNumberFormat="1" applyFont="1" applyFill="1" applyBorder="1" applyAlignment="1">
      <alignment horizontal="center" vertical="center" wrapText="1"/>
    </xf>
    <xf numFmtId="49" fontId="71" fillId="16" borderId="34" xfId="2" applyNumberFormat="1" applyFont="1" applyFill="1" applyBorder="1" applyAlignment="1">
      <alignment horizontal="center" vertical="center" wrapText="1"/>
    </xf>
    <xf numFmtId="49" fontId="57" fillId="0" borderId="0" xfId="2" applyNumberFormat="1" applyFont="1" applyAlignment="1">
      <alignment horizontal="left" vertical="center" wrapText="1"/>
    </xf>
    <xf numFmtId="14" fontId="61" fillId="0" borderId="0" xfId="2" applyNumberFormat="1" applyFont="1" applyAlignment="1">
      <alignment horizontal="left" vertical="center"/>
    </xf>
    <xf numFmtId="14" fontId="15" fillId="0" borderId="39" xfId="2" applyNumberFormat="1" applyFont="1" applyBorder="1" applyAlignment="1">
      <alignment horizontal="left" vertical="center"/>
    </xf>
    <xf numFmtId="0" fontId="31" fillId="0" borderId="31" xfId="17" applyFont="1" applyBorder="1" applyAlignment="1">
      <alignment horizontal="center" vertical="center" wrapText="1"/>
    </xf>
    <xf numFmtId="0" fontId="31" fillId="0" borderId="32" xfId="17" applyFont="1" applyBorder="1" applyAlignment="1">
      <alignment horizontal="center" vertical="center" wrapText="1"/>
    </xf>
    <xf numFmtId="0" fontId="36" fillId="3" borderId="0" xfId="2" applyFont="1" applyFill="1" applyAlignment="1">
      <alignment horizontal="center" vertical="center" wrapText="1"/>
    </xf>
    <xf numFmtId="49" fontId="49" fillId="16" borderId="36" xfId="2" applyNumberFormat="1" applyFont="1" applyFill="1" applyBorder="1" applyAlignment="1">
      <alignment horizontal="center" vertical="center" wrapText="1"/>
    </xf>
    <xf numFmtId="49" fontId="49" fillId="16" borderId="37" xfId="2" applyNumberFormat="1" applyFont="1" applyFill="1" applyBorder="1" applyAlignment="1">
      <alignment horizontal="center" vertical="center" wrapText="1"/>
    </xf>
    <xf numFmtId="49" fontId="49" fillId="16" borderId="38" xfId="2" applyNumberFormat="1" applyFont="1" applyFill="1" applyBorder="1" applyAlignment="1">
      <alignment horizontal="center" vertical="center" wrapText="1"/>
    </xf>
    <xf numFmtId="0" fontId="15" fillId="0" borderId="0" xfId="0" applyFont="1" applyAlignment="1">
      <alignment horizontal="center"/>
    </xf>
    <xf numFmtId="164" fontId="20" fillId="4" borderId="1" xfId="2" applyNumberFormat="1" applyFont="1" applyFill="1" applyBorder="1" applyAlignment="1">
      <alignment horizontal="center"/>
    </xf>
    <xf numFmtId="164" fontId="20" fillId="4" borderId="2" xfId="2" applyNumberFormat="1" applyFont="1" applyFill="1" applyBorder="1" applyAlignment="1">
      <alignment horizontal="center"/>
    </xf>
    <xf numFmtId="164" fontId="20" fillId="4" borderId="3" xfId="2" applyNumberFormat="1" applyFont="1" applyFill="1" applyBorder="1" applyAlignment="1">
      <alignment horizontal="center"/>
    </xf>
    <xf numFmtId="164" fontId="20" fillId="4" borderId="1" xfId="2" applyNumberFormat="1" applyFont="1" applyFill="1" applyBorder="1" applyAlignment="1">
      <alignment horizontal="center" vertical="center"/>
    </xf>
    <xf numFmtId="164" fontId="20" fillId="4" borderId="2" xfId="2" applyNumberFormat="1" applyFont="1" applyFill="1" applyBorder="1" applyAlignment="1">
      <alignment horizontal="center" vertical="center"/>
    </xf>
    <xf numFmtId="164" fontId="20" fillId="4" borderId="3" xfId="2" applyNumberFormat="1" applyFont="1" applyFill="1" applyBorder="1" applyAlignment="1">
      <alignment horizontal="center" vertical="center"/>
    </xf>
    <xf numFmtId="49" fontId="49" fillId="16" borderId="16" xfId="2" applyNumberFormat="1" applyFont="1" applyFill="1" applyBorder="1" applyAlignment="1">
      <alignment horizontal="center" vertical="center" wrapText="1"/>
    </xf>
    <xf numFmtId="49" fontId="49" fillId="16" borderId="26" xfId="2" applyNumberFormat="1" applyFont="1" applyFill="1" applyBorder="1" applyAlignment="1">
      <alignment horizontal="center" vertical="center" wrapText="1"/>
    </xf>
    <xf numFmtId="0" fontId="15" fillId="0" borderId="0" xfId="2" applyFont="1" applyAlignment="1">
      <alignment horizontal="center"/>
    </xf>
    <xf numFmtId="0" fontId="1" fillId="0" borderId="62" xfId="18" applyBorder="1" applyAlignment="1">
      <alignment horizontal="center"/>
    </xf>
    <xf numFmtId="0" fontId="1" fillId="0" borderId="44" xfId="18" applyBorder="1" applyAlignment="1">
      <alignment horizontal="center"/>
    </xf>
    <xf numFmtId="0" fontId="1" fillId="0" borderId="45" xfId="18" applyBorder="1" applyAlignment="1">
      <alignment horizontal="center"/>
    </xf>
    <xf numFmtId="0" fontId="41" fillId="0" borderId="1" xfId="18" applyFont="1" applyBorder="1" applyAlignment="1">
      <alignment horizontal="center"/>
    </xf>
    <xf numFmtId="0" fontId="41" fillId="0" borderId="2" xfId="18" applyFont="1" applyBorder="1" applyAlignment="1">
      <alignment horizontal="center"/>
    </xf>
    <xf numFmtId="0" fontId="41" fillId="0" borderId="3" xfId="18" applyFont="1" applyBorder="1" applyAlignment="1">
      <alignment horizontal="center"/>
    </xf>
    <xf numFmtId="0" fontId="1" fillId="0" borderId="17" xfId="18" applyBorder="1" applyAlignment="1">
      <alignment horizontal="center"/>
    </xf>
    <xf numFmtId="0" fontId="1" fillId="0" borderId="19" xfId="18" applyBorder="1" applyAlignment="1">
      <alignment horizontal="center"/>
    </xf>
    <xf numFmtId="0" fontId="1" fillId="0" borderId="20" xfId="18" applyBorder="1" applyAlignment="1">
      <alignment horizontal="center"/>
    </xf>
    <xf numFmtId="0" fontId="1" fillId="0" borderId="60" xfId="18" applyBorder="1" applyAlignment="1">
      <alignment horizontal="center"/>
    </xf>
    <xf numFmtId="0" fontId="1" fillId="0" borderId="43" xfId="18" applyBorder="1" applyAlignment="1">
      <alignment horizontal="center"/>
    </xf>
    <xf numFmtId="0" fontId="1" fillId="0" borderId="61" xfId="18" applyBorder="1" applyAlignment="1">
      <alignment horizontal="center"/>
    </xf>
    <xf numFmtId="0" fontId="1" fillId="0" borderId="44" xfId="18" applyBorder="1"/>
    <xf numFmtId="0" fontId="1" fillId="0" borderId="45" xfId="18" applyBorder="1"/>
    <xf numFmtId="0" fontId="1" fillId="9" borderId="60" xfId="18" applyFill="1" applyBorder="1" applyAlignment="1">
      <alignment horizontal="center"/>
    </xf>
    <xf numFmtId="0" fontId="1" fillId="9" borderId="43" xfId="18" applyFill="1" applyBorder="1" applyAlignment="1">
      <alignment horizontal="center"/>
    </xf>
    <xf numFmtId="0" fontId="1" fillId="9" borderId="61" xfId="18" applyFill="1" applyBorder="1" applyAlignment="1">
      <alignment horizontal="center"/>
    </xf>
    <xf numFmtId="0" fontId="1" fillId="0" borderId="63" xfId="18" applyBorder="1" applyAlignment="1">
      <alignment horizontal="center"/>
    </xf>
    <xf numFmtId="0" fontId="1" fillId="0" borderId="64" xfId="18" applyBorder="1" applyAlignment="1">
      <alignment horizontal="center"/>
    </xf>
    <xf numFmtId="0" fontId="1" fillId="0" borderId="65" xfId="18" applyBorder="1" applyAlignment="1">
      <alignment horizontal="center"/>
    </xf>
    <xf numFmtId="9" fontId="1" fillId="0" borderId="60" xfId="18" applyNumberFormat="1" applyBorder="1" applyAlignment="1">
      <alignment horizontal="center"/>
    </xf>
    <xf numFmtId="9" fontId="1" fillId="0" borderId="43" xfId="18" applyNumberFormat="1" applyBorder="1" applyAlignment="1">
      <alignment horizontal="center"/>
    </xf>
    <xf numFmtId="9" fontId="1" fillId="0" borderId="61" xfId="18" applyNumberFormat="1" applyBorder="1" applyAlignment="1">
      <alignment horizontal="center"/>
    </xf>
    <xf numFmtId="0" fontId="1" fillId="0" borderId="46" xfId="18" applyBorder="1" applyAlignment="1">
      <alignment horizontal="center"/>
    </xf>
    <xf numFmtId="0" fontId="1" fillId="0" borderId="46" xfId="18" applyBorder="1" applyAlignment="1">
      <alignment horizontal="center" vertical="center"/>
    </xf>
    <xf numFmtId="0" fontId="1" fillId="0" borderId="45" xfId="18" applyBorder="1" applyAlignment="1">
      <alignment horizontal="center" vertical="center"/>
    </xf>
    <xf numFmtId="0" fontId="41" fillId="9" borderId="0" xfId="18" applyFont="1" applyFill="1" applyAlignment="1">
      <alignment horizontal="center" vertical="center" wrapText="1"/>
    </xf>
    <xf numFmtId="0" fontId="1" fillId="0" borderId="49" xfId="18" applyBorder="1" applyAlignment="1">
      <alignment horizontal="center"/>
    </xf>
    <xf numFmtId="0" fontId="1" fillId="0" borderId="50" xfId="18" applyBorder="1" applyAlignment="1">
      <alignment horizontal="center"/>
    </xf>
    <xf numFmtId="0" fontId="1" fillId="0" borderId="51" xfId="18" applyBorder="1" applyAlignment="1">
      <alignment horizontal="center"/>
    </xf>
    <xf numFmtId="0" fontId="41" fillId="3" borderId="0" xfId="18" applyFont="1" applyFill="1" applyAlignment="1">
      <alignment horizontal="left" vertical="center" wrapText="1"/>
    </xf>
    <xf numFmtId="0" fontId="45" fillId="0" borderId="14" xfId="18" applyFont="1" applyBorder="1" applyAlignment="1">
      <alignment vertical="center"/>
    </xf>
    <xf numFmtId="0" fontId="45" fillId="0" borderId="15" xfId="18" applyFont="1" applyBorder="1" applyAlignment="1">
      <alignment vertical="center"/>
    </xf>
    <xf numFmtId="0" fontId="45" fillId="0" borderId="13" xfId="18" applyFont="1" applyBorder="1" applyAlignment="1">
      <alignment vertical="center"/>
    </xf>
    <xf numFmtId="0" fontId="41" fillId="3" borderId="1" xfId="18" applyFont="1" applyFill="1" applyBorder="1" applyAlignment="1">
      <alignment horizontal="center" vertical="center"/>
    </xf>
    <xf numFmtId="0" fontId="41" fillId="3" borderId="2" xfId="18" applyFont="1" applyFill="1" applyBorder="1" applyAlignment="1">
      <alignment horizontal="center" vertical="center"/>
    </xf>
    <xf numFmtId="0" fontId="41" fillId="3" borderId="3" xfId="18" applyFont="1" applyFill="1" applyBorder="1" applyAlignment="1">
      <alignment horizontal="center" vertical="center"/>
    </xf>
    <xf numFmtId="0" fontId="44" fillId="3" borderId="1" xfId="18" applyFont="1" applyFill="1" applyBorder="1" applyAlignment="1">
      <alignment horizontal="center" vertical="center"/>
    </xf>
    <xf numFmtId="0" fontId="44" fillId="3" borderId="2" xfId="18" applyFont="1" applyFill="1" applyBorder="1" applyAlignment="1">
      <alignment horizontal="center" vertical="center"/>
    </xf>
    <xf numFmtId="0" fontId="44" fillId="3" borderId="3" xfId="18" applyFont="1" applyFill="1" applyBorder="1" applyAlignment="1">
      <alignment horizontal="center" vertical="center"/>
    </xf>
  </cellXfs>
  <cellStyles count="19">
    <cellStyle name="Hipervínculo" xfId="1" builtinId="8"/>
    <cellStyle name="Incorrecto" xfId="8" builtinId="27"/>
    <cellStyle name="Normal" xfId="0" builtinId="0"/>
    <cellStyle name="Normal 2" xfId="2" xr:uid="{00000000-0005-0000-0000-000003000000}"/>
    <cellStyle name="Normal 2 2 2 2" xfId="3" xr:uid="{00000000-0005-0000-0000-000004000000}"/>
    <cellStyle name="Normal 3" xfId="4" xr:uid="{00000000-0005-0000-0000-000005000000}"/>
    <cellStyle name="Normal 3 2" xfId="5" xr:uid="{00000000-0005-0000-0000-000006000000}"/>
    <cellStyle name="Normal 3 2 2" xfId="7" xr:uid="{00000000-0005-0000-0000-000007000000}"/>
    <cellStyle name="Normal 3 2 2 2" xfId="10" xr:uid="{00000000-0005-0000-0000-000008000000}"/>
    <cellStyle name="Normal 3 2 2 2 2" xfId="16" xr:uid="{9066399A-0CF1-4B18-AC81-79E91BF06EB0}"/>
    <cellStyle name="Normal 3 2 2 2 2 2" xfId="17" xr:uid="{45D7D42D-E1C4-42C0-B10C-CF9A0B25A914}"/>
    <cellStyle name="Normal 3 3" xfId="6" xr:uid="{00000000-0005-0000-0000-000009000000}"/>
    <cellStyle name="Normal 3 3 2" xfId="9" xr:uid="{00000000-0005-0000-0000-00000A000000}"/>
    <cellStyle name="Normal 4" xfId="11" xr:uid="{53042DA5-A32B-431B-9B9A-1163EDA5A707}"/>
    <cellStyle name="Normal 5" xfId="12" xr:uid="{66C332BB-24D1-40C9-BDFF-60E0DE3FA388}"/>
    <cellStyle name="Normal 6" xfId="13" xr:uid="{D141E903-7D5E-463E-8B5D-752C5BBBFC4E}"/>
    <cellStyle name="Normal 7" xfId="14" xr:uid="{C69C400E-849E-498E-B6A5-76E0D126E9E0}"/>
    <cellStyle name="Normal 8" xfId="15" xr:uid="{74850861-4CF3-4DD5-BB45-EE0BB27B1426}"/>
    <cellStyle name="Normal 9" xfId="18" xr:uid="{F5439A10-779F-4A16-834D-F416CA9C01C6}"/>
  </cellStyles>
  <dxfs count="63">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333399"/>
      <rgbColor rgb="00333333"/>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ECFFD2"/>
      <rgbColor rgb="00EBEADB"/>
      <rgbColor rgb="00A9A9A9"/>
      <rgbColor rgb="00C0C0C0"/>
      <rgbColor rgb="00808080"/>
    </indexedColors>
    <mruColors>
      <color rgb="FFCCFF33"/>
      <color rgb="FFCCFFFF"/>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590550</xdr:colOff>
      <xdr:row>1</xdr:row>
      <xdr:rowOff>38100</xdr:rowOff>
    </xdr:from>
    <xdr:to>
      <xdr:col>3</xdr:col>
      <xdr:colOff>304800</xdr:colOff>
      <xdr:row>4</xdr:row>
      <xdr:rowOff>138721</xdr:rowOff>
    </xdr:to>
    <xdr:pic>
      <xdr:nvPicPr>
        <xdr:cNvPr id="3" name="Picture 2" descr="cartoon">
          <a:extLst>
            <a:ext uri="{FF2B5EF4-FFF2-40B4-BE49-F238E27FC236}">
              <a16:creationId xmlns:a16="http://schemas.microsoft.com/office/drawing/2014/main" id="{8816A9F2-5B94-4ADC-B7E9-07BCA16E2CE8}"/>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200" y="200025"/>
          <a:ext cx="2124075" cy="700696"/>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628650</xdr:colOff>
      <xdr:row>1</xdr:row>
      <xdr:rowOff>114300</xdr:rowOff>
    </xdr:from>
    <xdr:to>
      <xdr:col>2</xdr:col>
      <xdr:colOff>1304925</xdr:colOff>
      <xdr:row>5</xdr:row>
      <xdr:rowOff>255037</xdr:rowOff>
    </xdr:to>
    <xdr:pic>
      <xdr:nvPicPr>
        <xdr:cNvPr id="3" name="Picture 2" descr="cartoon">
          <a:extLst>
            <a:ext uri="{FF2B5EF4-FFF2-40B4-BE49-F238E27FC236}">
              <a16:creationId xmlns:a16="http://schemas.microsoft.com/office/drawing/2014/main" id="{4C9ED728-08B6-4854-9DCD-9084D6C6003F}"/>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76300" y="285750"/>
          <a:ext cx="1704975" cy="92178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638175</xdr:colOff>
      <xdr:row>1</xdr:row>
      <xdr:rowOff>114300</xdr:rowOff>
    </xdr:from>
    <xdr:to>
      <xdr:col>2</xdr:col>
      <xdr:colOff>1590675</xdr:colOff>
      <xdr:row>5</xdr:row>
      <xdr:rowOff>52996</xdr:rowOff>
    </xdr:to>
    <xdr:pic>
      <xdr:nvPicPr>
        <xdr:cNvPr id="4" name="Picture 3" descr="cartoon">
          <a:extLst>
            <a:ext uri="{FF2B5EF4-FFF2-40B4-BE49-F238E27FC236}">
              <a16:creationId xmlns:a16="http://schemas.microsoft.com/office/drawing/2014/main" id="{E289B264-3C90-409C-90F5-2AA7DB6C5F45}"/>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85825" y="276225"/>
          <a:ext cx="2124075" cy="700696"/>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923925</xdr:colOff>
      <xdr:row>1</xdr:row>
      <xdr:rowOff>47625</xdr:rowOff>
    </xdr:from>
    <xdr:to>
      <xdr:col>2</xdr:col>
      <xdr:colOff>428625</xdr:colOff>
      <xdr:row>4</xdr:row>
      <xdr:rowOff>148246</xdr:rowOff>
    </xdr:to>
    <xdr:pic>
      <xdr:nvPicPr>
        <xdr:cNvPr id="2" name="Picture 1" descr="cartoon">
          <a:extLst>
            <a:ext uri="{FF2B5EF4-FFF2-40B4-BE49-F238E27FC236}">
              <a16:creationId xmlns:a16="http://schemas.microsoft.com/office/drawing/2014/main" id="{E5A9B543-9BBF-4D70-AED5-E9D8D0C34677}"/>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76325" y="219075"/>
          <a:ext cx="1666875" cy="710221"/>
        </a:xfrm>
        <a:prstGeom prst="rect">
          <a:avLst/>
        </a:prstGeom>
        <a:noFill/>
        <a:ln w="9525">
          <a:noFill/>
          <a:miter lim="800000"/>
          <a:headEnd/>
          <a:tailEnd/>
        </a:ln>
      </xdr:spPr>
    </xdr:pic>
    <xdr:clientData/>
  </xdr:twoCellAnchor>
  <xdr:twoCellAnchor>
    <xdr:from>
      <xdr:col>1</xdr:col>
      <xdr:colOff>923925</xdr:colOff>
      <xdr:row>1</xdr:row>
      <xdr:rowOff>47625</xdr:rowOff>
    </xdr:from>
    <xdr:to>
      <xdr:col>2</xdr:col>
      <xdr:colOff>428625</xdr:colOff>
      <xdr:row>4</xdr:row>
      <xdr:rowOff>148246</xdr:rowOff>
    </xdr:to>
    <xdr:pic>
      <xdr:nvPicPr>
        <xdr:cNvPr id="3" name="Picture 2" descr="cartoon">
          <a:extLst>
            <a:ext uri="{FF2B5EF4-FFF2-40B4-BE49-F238E27FC236}">
              <a16:creationId xmlns:a16="http://schemas.microsoft.com/office/drawing/2014/main" id="{7E779C65-F9CB-4064-A98B-A43B62BCF331}"/>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76325" y="225425"/>
          <a:ext cx="2540000" cy="722921"/>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581025</xdr:colOff>
      <xdr:row>0</xdr:row>
      <xdr:rowOff>57150</xdr:rowOff>
    </xdr:from>
    <xdr:to>
      <xdr:col>2</xdr:col>
      <xdr:colOff>1371600</xdr:colOff>
      <xdr:row>3</xdr:row>
      <xdr:rowOff>148246</xdr:rowOff>
    </xdr:to>
    <xdr:pic>
      <xdr:nvPicPr>
        <xdr:cNvPr id="3" name="Picture 2" descr="cartoon">
          <a:extLst>
            <a:ext uri="{FF2B5EF4-FFF2-40B4-BE49-F238E27FC236}">
              <a16:creationId xmlns:a16="http://schemas.microsoft.com/office/drawing/2014/main" id="{F80CA915-D372-4DF2-9BEA-012F1596A992}"/>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8675" y="57150"/>
          <a:ext cx="2219325" cy="710221"/>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266700</xdr:colOff>
      <xdr:row>0</xdr:row>
      <xdr:rowOff>114300</xdr:rowOff>
    </xdr:from>
    <xdr:to>
      <xdr:col>2</xdr:col>
      <xdr:colOff>1400175</xdr:colOff>
      <xdr:row>4</xdr:row>
      <xdr:rowOff>52996</xdr:rowOff>
    </xdr:to>
    <xdr:pic>
      <xdr:nvPicPr>
        <xdr:cNvPr id="4" name="Picture 3" descr="cartoon">
          <a:extLst>
            <a:ext uri="{FF2B5EF4-FFF2-40B4-BE49-F238E27FC236}">
              <a16:creationId xmlns:a16="http://schemas.microsoft.com/office/drawing/2014/main" id="{6165F6B6-CAF1-4F41-BE39-B79BE3962F41}"/>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14350" y="114300"/>
          <a:ext cx="2124075" cy="700696"/>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moc.oocl.com/wls_prs_rp/public/ruleTariff/OOLL-100/T-53/display/20260323" TargetMode="External"/><Relationship Id="rId2" Type="http://schemas.openxmlformats.org/officeDocument/2006/relationships/hyperlink" Target="http://www.oocl.com/eng/Pages/importantnoticeforratedocument.aspx" TargetMode="External"/><Relationship Id="rId1" Type="http://schemas.openxmlformats.org/officeDocument/2006/relationships/hyperlink" Target="http://www.oocl.com/eng/resourcecenter/surcharges/pages/aetsurcharges.aspx" TargetMode="External"/><Relationship Id="rId6" Type="http://schemas.openxmlformats.org/officeDocument/2006/relationships/drawing" Target="../drawings/drawing1.xml"/><Relationship Id="rId5" Type="http://schemas.openxmlformats.org/officeDocument/2006/relationships/customProperty" Target="../customProperty1.bin"/><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moc.oocl.com/wls_prs_rp/public/ruleTariff/OOLL-100/T-53/display/20260323" TargetMode="External"/><Relationship Id="rId2" Type="http://schemas.openxmlformats.org/officeDocument/2006/relationships/hyperlink" Target="http://www.oocl.com/eng/Pages/importantnoticeforratedocument.aspx" TargetMode="External"/><Relationship Id="rId1" Type="http://schemas.openxmlformats.org/officeDocument/2006/relationships/hyperlink" Target="http://www.oocl.com/eng/resourcecenter/surcharges/pages/aetsurcharges.aspx"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moc.oocl.com/wls_prs_rp/public/ruleTariff/OOLL-100/T-53/display/20260323" TargetMode="External"/><Relationship Id="rId2" Type="http://schemas.openxmlformats.org/officeDocument/2006/relationships/hyperlink" Target="http://www.oocl.com/eng/Pages/importantnoticeforratedocument.aspx" TargetMode="External"/><Relationship Id="rId1" Type="http://schemas.openxmlformats.org/officeDocument/2006/relationships/hyperlink" Target="http://www.oocl.com/eng/resourcecenter/surcharges/pages/aetsurcharges.aspx" TargetMode="External"/><Relationship Id="rId6" Type="http://schemas.openxmlformats.org/officeDocument/2006/relationships/drawing" Target="../drawings/drawing3.xml"/><Relationship Id="rId5" Type="http://schemas.openxmlformats.org/officeDocument/2006/relationships/customProperty" Target="../customProperty2.bin"/><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moc.oocl.com/wls_prs_rp/public/ruleTariff/OOLL-100/T-53/display/20260413" TargetMode="External"/><Relationship Id="rId1" Type="http://schemas.openxmlformats.org/officeDocument/2006/relationships/hyperlink" Target="https://moc.oocl.com/wls_prs_rp/public/ruleTariff/OOLL-100/E-40-72/display/today"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hyperlink" Target="https://moc.oocl.com/wls_prs_rp/public/ruleTariff/OOLL-100/T-53/display/20260323" TargetMode="External"/><Relationship Id="rId2" Type="http://schemas.openxmlformats.org/officeDocument/2006/relationships/hyperlink" Target="http://www.oocl.com/eng/Pages/importantnoticeforratedocument.aspx" TargetMode="External"/><Relationship Id="rId1" Type="http://schemas.openxmlformats.org/officeDocument/2006/relationships/hyperlink" Target="http://www.oocl.com/eng/resourcecenter/surcharges/pages/aetsurcharges.aspx" TargetMode="External"/><Relationship Id="rId6" Type="http://schemas.openxmlformats.org/officeDocument/2006/relationships/drawing" Target="../drawings/drawing5.xml"/><Relationship Id="rId5" Type="http://schemas.openxmlformats.org/officeDocument/2006/relationships/customProperty" Target="../customProperty3.bin"/><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moc.oocl.com/wls_prs_rp/public/ruleTariff/OOLL-100/T-53/display/20260323" TargetMode="External"/><Relationship Id="rId2" Type="http://schemas.openxmlformats.org/officeDocument/2006/relationships/hyperlink" Target="http://www.oocl.com/eng/Pages/importantnoticeforratedocument.aspx" TargetMode="External"/><Relationship Id="rId1" Type="http://schemas.openxmlformats.org/officeDocument/2006/relationships/hyperlink" Target="http://www.oocl.com/eng/resourcecenter/surcharges/pages/aetsurcharges.aspx" TargetMode="External"/><Relationship Id="rId5" Type="http://schemas.openxmlformats.org/officeDocument/2006/relationships/drawing" Target="../drawings/drawing6.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7"/>
  <dimension ref="B1:S57"/>
  <sheetViews>
    <sheetView tabSelected="1" workbookViewId="0">
      <selection activeCell="D21" sqref="D21"/>
    </sheetView>
  </sheetViews>
  <sheetFormatPr baseColWidth="10" defaultColWidth="8.88671875" defaultRowHeight="13.2" x14ac:dyDescent="0.25"/>
  <cols>
    <col min="1" max="1" width="3.6640625" style="31" customWidth="1"/>
    <col min="2" max="2" width="27.44140625" style="31" customWidth="1"/>
    <col min="3" max="3" width="8.6640625" style="31" customWidth="1"/>
    <col min="4" max="4" width="18.44140625" style="31" customWidth="1"/>
    <col min="5" max="5" width="8.33203125" style="31" customWidth="1"/>
    <col min="6" max="6" width="14.33203125" style="31" customWidth="1"/>
    <col min="7" max="8" width="15.6640625" style="21" customWidth="1"/>
    <col min="9" max="9" width="7.44140625" style="31" customWidth="1"/>
    <col min="10" max="11" width="10.33203125" style="21" customWidth="1"/>
    <col min="12" max="12" width="10.33203125" style="54" customWidth="1"/>
    <col min="13" max="13" width="8.88671875" style="54" bestFit="1" customWidth="1"/>
    <col min="14" max="14" width="8.6640625" style="54" bestFit="1" customWidth="1"/>
    <col min="15" max="15" width="16.109375" style="54" bestFit="1" customWidth="1"/>
    <col min="16" max="16" width="29.6640625" style="21" bestFit="1" customWidth="1"/>
    <col min="17" max="17" width="19.44140625" style="31" customWidth="1"/>
    <col min="18" max="18" width="9.33203125" style="31" customWidth="1"/>
    <col min="19" max="19" width="14.33203125" style="31" customWidth="1"/>
    <col min="20" max="20" width="12.44140625" style="31" customWidth="1"/>
    <col min="21" max="254" width="9.33203125" style="31"/>
    <col min="255" max="255" width="2.44140625" style="31" customWidth="1"/>
    <col min="256" max="256" width="15.33203125" style="31" customWidth="1"/>
    <col min="257" max="257" width="17.33203125" style="31" customWidth="1"/>
    <col min="258" max="258" width="3.5546875" style="31" customWidth="1"/>
    <col min="259" max="259" width="17.33203125" style="31" customWidth="1"/>
    <col min="260" max="260" width="0.33203125" style="31" customWidth="1"/>
    <col min="261" max="261" width="4.6640625" style="31" customWidth="1"/>
    <col min="262" max="263" width="7.6640625" style="31" customWidth="1"/>
    <col min="264" max="269" width="8.6640625" style="31" customWidth="1"/>
    <col min="270" max="272" width="10.6640625" style="31" customWidth="1"/>
    <col min="273" max="273" width="25.5546875" style="31" customWidth="1"/>
    <col min="274" max="274" width="9.33203125" style="31" customWidth="1"/>
    <col min="275" max="275" width="14.33203125" style="31" customWidth="1"/>
    <col min="276" max="276" width="12.44140625" style="31" customWidth="1"/>
    <col min="277" max="510" width="9.33203125" style="31"/>
    <col min="511" max="511" width="2.44140625" style="31" customWidth="1"/>
    <col min="512" max="512" width="15.33203125" style="31" customWidth="1"/>
    <col min="513" max="513" width="17.33203125" style="31" customWidth="1"/>
    <col min="514" max="514" width="3.5546875" style="31" customWidth="1"/>
    <col min="515" max="515" width="17.33203125" style="31" customWidth="1"/>
    <col min="516" max="516" width="0.33203125" style="31" customWidth="1"/>
    <col min="517" max="517" width="4.6640625" style="31" customWidth="1"/>
    <col min="518" max="519" width="7.6640625" style="31" customWidth="1"/>
    <col min="520" max="525" width="8.6640625" style="31" customWidth="1"/>
    <col min="526" max="528" width="10.6640625" style="31" customWidth="1"/>
    <col min="529" max="529" width="25.5546875" style="31" customWidth="1"/>
    <col min="530" max="530" width="9.33203125" style="31" customWidth="1"/>
    <col min="531" max="531" width="14.33203125" style="31" customWidth="1"/>
    <col min="532" max="532" width="12.44140625" style="31" customWidth="1"/>
    <col min="533" max="766" width="9.33203125" style="31"/>
    <col min="767" max="767" width="2.44140625" style="31" customWidth="1"/>
    <col min="768" max="768" width="15.33203125" style="31" customWidth="1"/>
    <col min="769" max="769" width="17.33203125" style="31" customWidth="1"/>
    <col min="770" max="770" width="3.5546875" style="31" customWidth="1"/>
    <col min="771" max="771" width="17.33203125" style="31" customWidth="1"/>
    <col min="772" max="772" width="0.33203125" style="31" customWidth="1"/>
    <col min="773" max="773" width="4.6640625" style="31" customWidth="1"/>
    <col min="774" max="775" width="7.6640625" style="31" customWidth="1"/>
    <col min="776" max="781" width="8.6640625" style="31" customWidth="1"/>
    <col min="782" max="784" width="10.6640625" style="31" customWidth="1"/>
    <col min="785" max="785" width="25.5546875" style="31" customWidth="1"/>
    <col min="786" max="786" width="9.33203125" style="31" customWidth="1"/>
    <col min="787" max="787" width="14.33203125" style="31" customWidth="1"/>
    <col min="788" max="788" width="12.44140625" style="31" customWidth="1"/>
    <col min="789" max="1022" width="9.33203125" style="31"/>
    <col min="1023" max="1023" width="2.44140625" style="31" customWidth="1"/>
    <col min="1024" max="1024" width="15.33203125" style="31" customWidth="1"/>
    <col min="1025" max="1025" width="17.33203125" style="31" customWidth="1"/>
    <col min="1026" max="1026" width="3.5546875" style="31" customWidth="1"/>
    <col min="1027" max="1027" width="17.33203125" style="31" customWidth="1"/>
    <col min="1028" max="1028" width="0.33203125" style="31" customWidth="1"/>
    <col min="1029" max="1029" width="4.6640625" style="31" customWidth="1"/>
    <col min="1030" max="1031" width="7.6640625" style="31" customWidth="1"/>
    <col min="1032" max="1037" width="8.6640625" style="31" customWidth="1"/>
    <col min="1038" max="1040" width="10.6640625" style="31" customWidth="1"/>
    <col min="1041" max="1041" width="25.5546875" style="31" customWidth="1"/>
    <col min="1042" max="1042" width="9.33203125" style="31" customWidth="1"/>
    <col min="1043" max="1043" width="14.33203125" style="31" customWidth="1"/>
    <col min="1044" max="1044" width="12.44140625" style="31" customWidth="1"/>
    <col min="1045" max="1278" width="9.33203125" style="31"/>
    <col min="1279" max="1279" width="2.44140625" style="31" customWidth="1"/>
    <col min="1280" max="1280" width="15.33203125" style="31" customWidth="1"/>
    <col min="1281" max="1281" width="17.33203125" style="31" customWidth="1"/>
    <col min="1282" max="1282" width="3.5546875" style="31" customWidth="1"/>
    <col min="1283" max="1283" width="17.33203125" style="31" customWidth="1"/>
    <col min="1284" max="1284" width="0.33203125" style="31" customWidth="1"/>
    <col min="1285" max="1285" width="4.6640625" style="31" customWidth="1"/>
    <col min="1286" max="1287" width="7.6640625" style="31" customWidth="1"/>
    <col min="1288" max="1293" width="8.6640625" style="31" customWidth="1"/>
    <col min="1294" max="1296" width="10.6640625" style="31" customWidth="1"/>
    <col min="1297" max="1297" width="25.5546875" style="31" customWidth="1"/>
    <col min="1298" max="1298" width="9.33203125" style="31" customWidth="1"/>
    <col min="1299" max="1299" width="14.33203125" style="31" customWidth="1"/>
    <col min="1300" max="1300" width="12.44140625" style="31" customWidth="1"/>
    <col min="1301" max="1534" width="9.33203125" style="31"/>
    <col min="1535" max="1535" width="2.44140625" style="31" customWidth="1"/>
    <col min="1536" max="1536" width="15.33203125" style="31" customWidth="1"/>
    <col min="1537" max="1537" width="17.33203125" style="31" customWidth="1"/>
    <col min="1538" max="1538" width="3.5546875" style="31" customWidth="1"/>
    <col min="1539" max="1539" width="17.33203125" style="31" customWidth="1"/>
    <col min="1540" max="1540" width="0.33203125" style="31" customWidth="1"/>
    <col min="1541" max="1541" width="4.6640625" style="31" customWidth="1"/>
    <col min="1542" max="1543" width="7.6640625" style="31" customWidth="1"/>
    <col min="1544" max="1549" width="8.6640625" style="31" customWidth="1"/>
    <col min="1550" max="1552" width="10.6640625" style="31" customWidth="1"/>
    <col min="1553" max="1553" width="25.5546875" style="31" customWidth="1"/>
    <col min="1554" max="1554" width="9.33203125" style="31" customWidth="1"/>
    <col min="1555" max="1555" width="14.33203125" style="31" customWidth="1"/>
    <col min="1556" max="1556" width="12.44140625" style="31" customWidth="1"/>
    <col min="1557" max="1790" width="9.33203125" style="31"/>
    <col min="1791" max="1791" width="2.44140625" style="31" customWidth="1"/>
    <col min="1792" max="1792" width="15.33203125" style="31" customWidth="1"/>
    <col min="1793" max="1793" width="17.33203125" style="31" customWidth="1"/>
    <col min="1794" max="1794" width="3.5546875" style="31" customWidth="1"/>
    <col min="1795" max="1795" width="17.33203125" style="31" customWidth="1"/>
    <col min="1796" max="1796" width="0.33203125" style="31" customWidth="1"/>
    <col min="1797" max="1797" width="4.6640625" style="31" customWidth="1"/>
    <col min="1798" max="1799" width="7.6640625" style="31" customWidth="1"/>
    <col min="1800" max="1805" width="8.6640625" style="31" customWidth="1"/>
    <col min="1806" max="1808" width="10.6640625" style="31" customWidth="1"/>
    <col min="1809" max="1809" width="25.5546875" style="31" customWidth="1"/>
    <col min="1810" max="1810" width="9.33203125" style="31" customWidth="1"/>
    <col min="1811" max="1811" width="14.33203125" style="31" customWidth="1"/>
    <col min="1812" max="1812" width="12.44140625" style="31" customWidth="1"/>
    <col min="1813" max="2046" width="9.33203125" style="31"/>
    <col min="2047" max="2047" width="2.44140625" style="31" customWidth="1"/>
    <col min="2048" max="2048" width="15.33203125" style="31" customWidth="1"/>
    <col min="2049" max="2049" width="17.33203125" style="31" customWidth="1"/>
    <col min="2050" max="2050" width="3.5546875" style="31" customWidth="1"/>
    <col min="2051" max="2051" width="17.33203125" style="31" customWidth="1"/>
    <col min="2052" max="2052" width="0.33203125" style="31" customWidth="1"/>
    <col min="2053" max="2053" width="4.6640625" style="31" customWidth="1"/>
    <col min="2054" max="2055" width="7.6640625" style="31" customWidth="1"/>
    <col min="2056" max="2061" width="8.6640625" style="31" customWidth="1"/>
    <col min="2062" max="2064" width="10.6640625" style="31" customWidth="1"/>
    <col min="2065" max="2065" width="25.5546875" style="31" customWidth="1"/>
    <col min="2066" max="2066" width="9.33203125" style="31" customWidth="1"/>
    <col min="2067" max="2067" width="14.33203125" style="31" customWidth="1"/>
    <col min="2068" max="2068" width="12.44140625" style="31" customWidth="1"/>
    <col min="2069" max="2302" width="9.33203125" style="31"/>
    <col min="2303" max="2303" width="2.44140625" style="31" customWidth="1"/>
    <col min="2304" max="2304" width="15.33203125" style="31" customWidth="1"/>
    <col min="2305" max="2305" width="17.33203125" style="31" customWidth="1"/>
    <col min="2306" max="2306" width="3.5546875" style="31" customWidth="1"/>
    <col min="2307" max="2307" width="17.33203125" style="31" customWidth="1"/>
    <col min="2308" max="2308" width="0.33203125" style="31" customWidth="1"/>
    <col min="2309" max="2309" width="4.6640625" style="31" customWidth="1"/>
    <col min="2310" max="2311" width="7.6640625" style="31" customWidth="1"/>
    <col min="2312" max="2317" width="8.6640625" style="31" customWidth="1"/>
    <col min="2318" max="2320" width="10.6640625" style="31" customWidth="1"/>
    <col min="2321" max="2321" width="25.5546875" style="31" customWidth="1"/>
    <col min="2322" max="2322" width="9.33203125" style="31" customWidth="1"/>
    <col min="2323" max="2323" width="14.33203125" style="31" customWidth="1"/>
    <col min="2324" max="2324" width="12.44140625" style="31" customWidth="1"/>
    <col min="2325" max="2558" width="9.33203125" style="31"/>
    <col min="2559" max="2559" width="2.44140625" style="31" customWidth="1"/>
    <col min="2560" max="2560" width="15.33203125" style="31" customWidth="1"/>
    <col min="2561" max="2561" width="17.33203125" style="31" customWidth="1"/>
    <col min="2562" max="2562" width="3.5546875" style="31" customWidth="1"/>
    <col min="2563" max="2563" width="17.33203125" style="31" customWidth="1"/>
    <col min="2564" max="2564" width="0.33203125" style="31" customWidth="1"/>
    <col min="2565" max="2565" width="4.6640625" style="31" customWidth="1"/>
    <col min="2566" max="2567" width="7.6640625" style="31" customWidth="1"/>
    <col min="2568" max="2573" width="8.6640625" style="31" customWidth="1"/>
    <col min="2574" max="2576" width="10.6640625" style="31" customWidth="1"/>
    <col min="2577" max="2577" width="25.5546875" style="31" customWidth="1"/>
    <col min="2578" max="2578" width="9.33203125" style="31" customWidth="1"/>
    <col min="2579" max="2579" width="14.33203125" style="31" customWidth="1"/>
    <col min="2580" max="2580" width="12.44140625" style="31" customWidth="1"/>
    <col min="2581" max="2814" width="9.33203125" style="31"/>
    <col min="2815" max="2815" width="2.44140625" style="31" customWidth="1"/>
    <col min="2816" max="2816" width="15.33203125" style="31" customWidth="1"/>
    <col min="2817" max="2817" width="17.33203125" style="31" customWidth="1"/>
    <col min="2818" max="2818" width="3.5546875" style="31" customWidth="1"/>
    <col min="2819" max="2819" width="17.33203125" style="31" customWidth="1"/>
    <col min="2820" max="2820" width="0.33203125" style="31" customWidth="1"/>
    <col min="2821" max="2821" width="4.6640625" style="31" customWidth="1"/>
    <col min="2822" max="2823" width="7.6640625" style="31" customWidth="1"/>
    <col min="2824" max="2829" width="8.6640625" style="31" customWidth="1"/>
    <col min="2830" max="2832" width="10.6640625" style="31" customWidth="1"/>
    <col min="2833" max="2833" width="25.5546875" style="31" customWidth="1"/>
    <col min="2834" max="2834" width="9.33203125" style="31" customWidth="1"/>
    <col min="2835" max="2835" width="14.33203125" style="31" customWidth="1"/>
    <col min="2836" max="2836" width="12.44140625" style="31" customWidth="1"/>
    <col min="2837" max="3070" width="9.33203125" style="31"/>
    <col min="3071" max="3071" width="2.44140625" style="31" customWidth="1"/>
    <col min="3072" max="3072" width="15.33203125" style="31" customWidth="1"/>
    <col min="3073" max="3073" width="17.33203125" style="31" customWidth="1"/>
    <col min="3074" max="3074" width="3.5546875" style="31" customWidth="1"/>
    <col min="3075" max="3075" width="17.33203125" style="31" customWidth="1"/>
    <col min="3076" max="3076" width="0.33203125" style="31" customWidth="1"/>
    <col min="3077" max="3077" width="4.6640625" style="31" customWidth="1"/>
    <col min="3078" max="3079" width="7.6640625" style="31" customWidth="1"/>
    <col min="3080" max="3085" width="8.6640625" style="31" customWidth="1"/>
    <col min="3086" max="3088" width="10.6640625" style="31" customWidth="1"/>
    <col min="3089" max="3089" width="25.5546875" style="31" customWidth="1"/>
    <col min="3090" max="3090" width="9.33203125" style="31" customWidth="1"/>
    <col min="3091" max="3091" width="14.33203125" style="31" customWidth="1"/>
    <col min="3092" max="3092" width="12.44140625" style="31" customWidth="1"/>
    <col min="3093" max="3326" width="9.33203125" style="31"/>
    <col min="3327" max="3327" width="2.44140625" style="31" customWidth="1"/>
    <col min="3328" max="3328" width="15.33203125" style="31" customWidth="1"/>
    <col min="3329" max="3329" width="17.33203125" style="31" customWidth="1"/>
    <col min="3330" max="3330" width="3.5546875" style="31" customWidth="1"/>
    <col min="3331" max="3331" width="17.33203125" style="31" customWidth="1"/>
    <col min="3332" max="3332" width="0.33203125" style="31" customWidth="1"/>
    <col min="3333" max="3333" width="4.6640625" style="31" customWidth="1"/>
    <col min="3334" max="3335" width="7.6640625" style="31" customWidth="1"/>
    <col min="3336" max="3341" width="8.6640625" style="31" customWidth="1"/>
    <col min="3342" max="3344" width="10.6640625" style="31" customWidth="1"/>
    <col min="3345" max="3345" width="25.5546875" style="31" customWidth="1"/>
    <col min="3346" max="3346" width="9.33203125" style="31" customWidth="1"/>
    <col min="3347" max="3347" width="14.33203125" style="31" customWidth="1"/>
    <col min="3348" max="3348" width="12.44140625" style="31" customWidth="1"/>
    <col min="3349" max="3582" width="9.33203125" style="31"/>
    <col min="3583" max="3583" width="2.44140625" style="31" customWidth="1"/>
    <col min="3584" max="3584" width="15.33203125" style="31" customWidth="1"/>
    <col min="3585" max="3585" width="17.33203125" style="31" customWidth="1"/>
    <col min="3586" max="3586" width="3.5546875" style="31" customWidth="1"/>
    <col min="3587" max="3587" width="17.33203125" style="31" customWidth="1"/>
    <col min="3588" max="3588" width="0.33203125" style="31" customWidth="1"/>
    <col min="3589" max="3589" width="4.6640625" style="31" customWidth="1"/>
    <col min="3590" max="3591" width="7.6640625" style="31" customWidth="1"/>
    <col min="3592" max="3597" width="8.6640625" style="31" customWidth="1"/>
    <col min="3598" max="3600" width="10.6640625" style="31" customWidth="1"/>
    <col min="3601" max="3601" width="25.5546875" style="31" customWidth="1"/>
    <col min="3602" max="3602" width="9.33203125" style="31" customWidth="1"/>
    <col min="3603" max="3603" width="14.33203125" style="31" customWidth="1"/>
    <col min="3604" max="3604" width="12.44140625" style="31" customWidth="1"/>
    <col min="3605" max="3838" width="9.33203125" style="31"/>
    <col min="3839" max="3839" width="2.44140625" style="31" customWidth="1"/>
    <col min="3840" max="3840" width="15.33203125" style="31" customWidth="1"/>
    <col min="3841" max="3841" width="17.33203125" style="31" customWidth="1"/>
    <col min="3842" max="3842" width="3.5546875" style="31" customWidth="1"/>
    <col min="3843" max="3843" width="17.33203125" style="31" customWidth="1"/>
    <col min="3844" max="3844" width="0.33203125" style="31" customWidth="1"/>
    <col min="3845" max="3845" width="4.6640625" style="31" customWidth="1"/>
    <col min="3846" max="3847" width="7.6640625" style="31" customWidth="1"/>
    <col min="3848" max="3853" width="8.6640625" style="31" customWidth="1"/>
    <col min="3854" max="3856" width="10.6640625" style="31" customWidth="1"/>
    <col min="3857" max="3857" width="25.5546875" style="31" customWidth="1"/>
    <col min="3858" max="3858" width="9.33203125" style="31" customWidth="1"/>
    <col min="3859" max="3859" width="14.33203125" style="31" customWidth="1"/>
    <col min="3860" max="3860" width="12.44140625" style="31" customWidth="1"/>
    <col min="3861" max="4094" width="9.33203125" style="31"/>
    <col min="4095" max="4095" width="2.44140625" style="31" customWidth="1"/>
    <col min="4096" max="4096" width="15.33203125" style="31" customWidth="1"/>
    <col min="4097" max="4097" width="17.33203125" style="31" customWidth="1"/>
    <col min="4098" max="4098" width="3.5546875" style="31" customWidth="1"/>
    <col min="4099" max="4099" width="17.33203125" style="31" customWidth="1"/>
    <col min="4100" max="4100" width="0.33203125" style="31" customWidth="1"/>
    <col min="4101" max="4101" width="4.6640625" style="31" customWidth="1"/>
    <col min="4102" max="4103" width="7.6640625" style="31" customWidth="1"/>
    <col min="4104" max="4109" width="8.6640625" style="31" customWidth="1"/>
    <col min="4110" max="4112" width="10.6640625" style="31" customWidth="1"/>
    <col min="4113" max="4113" width="25.5546875" style="31" customWidth="1"/>
    <col min="4114" max="4114" width="9.33203125" style="31" customWidth="1"/>
    <col min="4115" max="4115" width="14.33203125" style="31" customWidth="1"/>
    <col min="4116" max="4116" width="12.44140625" style="31" customWidth="1"/>
    <col min="4117" max="4350" width="9.33203125" style="31"/>
    <col min="4351" max="4351" width="2.44140625" style="31" customWidth="1"/>
    <col min="4352" max="4352" width="15.33203125" style="31" customWidth="1"/>
    <col min="4353" max="4353" width="17.33203125" style="31" customWidth="1"/>
    <col min="4354" max="4354" width="3.5546875" style="31" customWidth="1"/>
    <col min="4355" max="4355" width="17.33203125" style="31" customWidth="1"/>
    <col min="4356" max="4356" width="0.33203125" style="31" customWidth="1"/>
    <col min="4357" max="4357" width="4.6640625" style="31" customWidth="1"/>
    <col min="4358" max="4359" width="7.6640625" style="31" customWidth="1"/>
    <col min="4360" max="4365" width="8.6640625" style="31" customWidth="1"/>
    <col min="4366" max="4368" width="10.6640625" style="31" customWidth="1"/>
    <col min="4369" max="4369" width="25.5546875" style="31" customWidth="1"/>
    <col min="4370" max="4370" width="9.33203125" style="31" customWidth="1"/>
    <col min="4371" max="4371" width="14.33203125" style="31" customWidth="1"/>
    <col min="4372" max="4372" width="12.44140625" style="31" customWidth="1"/>
    <col min="4373" max="4606" width="9.33203125" style="31"/>
    <col min="4607" max="4607" width="2.44140625" style="31" customWidth="1"/>
    <col min="4608" max="4608" width="15.33203125" style="31" customWidth="1"/>
    <col min="4609" max="4609" width="17.33203125" style="31" customWidth="1"/>
    <col min="4610" max="4610" width="3.5546875" style="31" customWidth="1"/>
    <col min="4611" max="4611" width="17.33203125" style="31" customWidth="1"/>
    <col min="4612" max="4612" width="0.33203125" style="31" customWidth="1"/>
    <col min="4613" max="4613" width="4.6640625" style="31" customWidth="1"/>
    <col min="4614" max="4615" width="7.6640625" style="31" customWidth="1"/>
    <col min="4616" max="4621" width="8.6640625" style="31" customWidth="1"/>
    <col min="4622" max="4624" width="10.6640625" style="31" customWidth="1"/>
    <col min="4625" max="4625" width="25.5546875" style="31" customWidth="1"/>
    <col min="4626" max="4626" width="9.33203125" style="31" customWidth="1"/>
    <col min="4627" max="4627" width="14.33203125" style="31" customWidth="1"/>
    <col min="4628" max="4628" width="12.44140625" style="31" customWidth="1"/>
    <col min="4629" max="4862" width="9.33203125" style="31"/>
    <col min="4863" max="4863" width="2.44140625" style="31" customWidth="1"/>
    <col min="4864" max="4864" width="15.33203125" style="31" customWidth="1"/>
    <col min="4865" max="4865" width="17.33203125" style="31" customWidth="1"/>
    <col min="4866" max="4866" width="3.5546875" style="31" customWidth="1"/>
    <col min="4867" max="4867" width="17.33203125" style="31" customWidth="1"/>
    <col min="4868" max="4868" width="0.33203125" style="31" customWidth="1"/>
    <col min="4869" max="4869" width="4.6640625" style="31" customWidth="1"/>
    <col min="4870" max="4871" width="7.6640625" style="31" customWidth="1"/>
    <col min="4872" max="4877" width="8.6640625" style="31" customWidth="1"/>
    <col min="4878" max="4880" width="10.6640625" style="31" customWidth="1"/>
    <col min="4881" max="4881" width="25.5546875" style="31" customWidth="1"/>
    <col min="4882" max="4882" width="9.33203125" style="31" customWidth="1"/>
    <col min="4883" max="4883" width="14.33203125" style="31" customWidth="1"/>
    <col min="4884" max="4884" width="12.44140625" style="31" customWidth="1"/>
    <col min="4885" max="5118" width="9.33203125" style="31"/>
    <col min="5119" max="5119" width="2.44140625" style="31" customWidth="1"/>
    <col min="5120" max="5120" width="15.33203125" style="31" customWidth="1"/>
    <col min="5121" max="5121" width="17.33203125" style="31" customWidth="1"/>
    <col min="5122" max="5122" width="3.5546875" style="31" customWidth="1"/>
    <col min="5123" max="5123" width="17.33203125" style="31" customWidth="1"/>
    <col min="5124" max="5124" width="0.33203125" style="31" customWidth="1"/>
    <col min="5125" max="5125" width="4.6640625" style="31" customWidth="1"/>
    <col min="5126" max="5127" width="7.6640625" style="31" customWidth="1"/>
    <col min="5128" max="5133" width="8.6640625" style="31" customWidth="1"/>
    <col min="5134" max="5136" width="10.6640625" style="31" customWidth="1"/>
    <col min="5137" max="5137" width="25.5546875" style="31" customWidth="1"/>
    <col min="5138" max="5138" width="9.33203125" style="31" customWidth="1"/>
    <col min="5139" max="5139" width="14.33203125" style="31" customWidth="1"/>
    <col min="5140" max="5140" width="12.44140625" style="31" customWidth="1"/>
    <col min="5141" max="5374" width="9.33203125" style="31"/>
    <col min="5375" max="5375" width="2.44140625" style="31" customWidth="1"/>
    <col min="5376" max="5376" width="15.33203125" style="31" customWidth="1"/>
    <col min="5377" max="5377" width="17.33203125" style="31" customWidth="1"/>
    <col min="5378" max="5378" width="3.5546875" style="31" customWidth="1"/>
    <col min="5379" max="5379" width="17.33203125" style="31" customWidth="1"/>
    <col min="5380" max="5380" width="0.33203125" style="31" customWidth="1"/>
    <col min="5381" max="5381" width="4.6640625" style="31" customWidth="1"/>
    <col min="5382" max="5383" width="7.6640625" style="31" customWidth="1"/>
    <col min="5384" max="5389" width="8.6640625" style="31" customWidth="1"/>
    <col min="5390" max="5392" width="10.6640625" style="31" customWidth="1"/>
    <col min="5393" max="5393" width="25.5546875" style="31" customWidth="1"/>
    <col min="5394" max="5394" width="9.33203125" style="31" customWidth="1"/>
    <col min="5395" max="5395" width="14.33203125" style="31" customWidth="1"/>
    <col min="5396" max="5396" width="12.44140625" style="31" customWidth="1"/>
    <col min="5397" max="5630" width="9.33203125" style="31"/>
    <col min="5631" max="5631" width="2.44140625" style="31" customWidth="1"/>
    <col min="5632" max="5632" width="15.33203125" style="31" customWidth="1"/>
    <col min="5633" max="5633" width="17.33203125" style="31" customWidth="1"/>
    <col min="5634" max="5634" width="3.5546875" style="31" customWidth="1"/>
    <col min="5635" max="5635" width="17.33203125" style="31" customWidth="1"/>
    <col min="5636" max="5636" width="0.33203125" style="31" customWidth="1"/>
    <col min="5637" max="5637" width="4.6640625" style="31" customWidth="1"/>
    <col min="5638" max="5639" width="7.6640625" style="31" customWidth="1"/>
    <col min="5640" max="5645" width="8.6640625" style="31" customWidth="1"/>
    <col min="5646" max="5648" width="10.6640625" style="31" customWidth="1"/>
    <col min="5649" max="5649" width="25.5546875" style="31" customWidth="1"/>
    <col min="5650" max="5650" width="9.33203125" style="31" customWidth="1"/>
    <col min="5651" max="5651" width="14.33203125" style="31" customWidth="1"/>
    <col min="5652" max="5652" width="12.44140625" style="31" customWidth="1"/>
    <col min="5653" max="5886" width="9.33203125" style="31"/>
    <col min="5887" max="5887" width="2.44140625" style="31" customWidth="1"/>
    <col min="5888" max="5888" width="15.33203125" style="31" customWidth="1"/>
    <col min="5889" max="5889" width="17.33203125" style="31" customWidth="1"/>
    <col min="5890" max="5890" width="3.5546875" style="31" customWidth="1"/>
    <col min="5891" max="5891" width="17.33203125" style="31" customWidth="1"/>
    <col min="5892" max="5892" width="0.33203125" style="31" customWidth="1"/>
    <col min="5893" max="5893" width="4.6640625" style="31" customWidth="1"/>
    <col min="5894" max="5895" width="7.6640625" style="31" customWidth="1"/>
    <col min="5896" max="5901" width="8.6640625" style="31" customWidth="1"/>
    <col min="5902" max="5904" width="10.6640625" style="31" customWidth="1"/>
    <col min="5905" max="5905" width="25.5546875" style="31" customWidth="1"/>
    <col min="5906" max="5906" width="9.33203125" style="31" customWidth="1"/>
    <col min="5907" max="5907" width="14.33203125" style="31" customWidth="1"/>
    <col min="5908" max="5908" width="12.44140625" style="31" customWidth="1"/>
    <col min="5909" max="6142" width="9.33203125" style="31"/>
    <col min="6143" max="6143" width="2.44140625" style="31" customWidth="1"/>
    <col min="6144" max="6144" width="15.33203125" style="31" customWidth="1"/>
    <col min="6145" max="6145" width="17.33203125" style="31" customWidth="1"/>
    <col min="6146" max="6146" width="3.5546875" style="31" customWidth="1"/>
    <col min="6147" max="6147" width="17.33203125" style="31" customWidth="1"/>
    <col min="6148" max="6148" width="0.33203125" style="31" customWidth="1"/>
    <col min="6149" max="6149" width="4.6640625" style="31" customWidth="1"/>
    <col min="6150" max="6151" width="7.6640625" style="31" customWidth="1"/>
    <col min="6152" max="6157" width="8.6640625" style="31" customWidth="1"/>
    <col min="6158" max="6160" width="10.6640625" style="31" customWidth="1"/>
    <col min="6161" max="6161" width="25.5546875" style="31" customWidth="1"/>
    <col min="6162" max="6162" width="9.33203125" style="31" customWidth="1"/>
    <col min="6163" max="6163" width="14.33203125" style="31" customWidth="1"/>
    <col min="6164" max="6164" width="12.44140625" style="31" customWidth="1"/>
    <col min="6165" max="6398" width="9.33203125" style="31"/>
    <col min="6399" max="6399" width="2.44140625" style="31" customWidth="1"/>
    <col min="6400" max="6400" width="15.33203125" style="31" customWidth="1"/>
    <col min="6401" max="6401" width="17.33203125" style="31" customWidth="1"/>
    <col min="6402" max="6402" width="3.5546875" style="31" customWidth="1"/>
    <col min="6403" max="6403" width="17.33203125" style="31" customWidth="1"/>
    <col min="6404" max="6404" width="0.33203125" style="31" customWidth="1"/>
    <col min="6405" max="6405" width="4.6640625" style="31" customWidth="1"/>
    <col min="6406" max="6407" width="7.6640625" style="31" customWidth="1"/>
    <col min="6408" max="6413" width="8.6640625" style="31" customWidth="1"/>
    <col min="6414" max="6416" width="10.6640625" style="31" customWidth="1"/>
    <col min="6417" max="6417" width="25.5546875" style="31" customWidth="1"/>
    <col min="6418" max="6418" width="9.33203125" style="31" customWidth="1"/>
    <col min="6419" max="6419" width="14.33203125" style="31" customWidth="1"/>
    <col min="6420" max="6420" width="12.44140625" style="31" customWidth="1"/>
    <col min="6421" max="6654" width="9.33203125" style="31"/>
    <col min="6655" max="6655" width="2.44140625" style="31" customWidth="1"/>
    <col min="6656" max="6656" width="15.33203125" style="31" customWidth="1"/>
    <col min="6657" max="6657" width="17.33203125" style="31" customWidth="1"/>
    <col min="6658" max="6658" width="3.5546875" style="31" customWidth="1"/>
    <col min="6659" max="6659" width="17.33203125" style="31" customWidth="1"/>
    <col min="6660" max="6660" width="0.33203125" style="31" customWidth="1"/>
    <col min="6661" max="6661" width="4.6640625" style="31" customWidth="1"/>
    <col min="6662" max="6663" width="7.6640625" style="31" customWidth="1"/>
    <col min="6664" max="6669" width="8.6640625" style="31" customWidth="1"/>
    <col min="6670" max="6672" width="10.6640625" style="31" customWidth="1"/>
    <col min="6673" max="6673" width="25.5546875" style="31" customWidth="1"/>
    <col min="6674" max="6674" width="9.33203125" style="31" customWidth="1"/>
    <col min="6675" max="6675" width="14.33203125" style="31" customWidth="1"/>
    <col min="6676" max="6676" width="12.44140625" style="31" customWidth="1"/>
    <col min="6677" max="6910" width="9.33203125" style="31"/>
    <col min="6911" max="6911" width="2.44140625" style="31" customWidth="1"/>
    <col min="6912" max="6912" width="15.33203125" style="31" customWidth="1"/>
    <col min="6913" max="6913" width="17.33203125" style="31" customWidth="1"/>
    <col min="6914" max="6914" width="3.5546875" style="31" customWidth="1"/>
    <col min="6915" max="6915" width="17.33203125" style="31" customWidth="1"/>
    <col min="6916" max="6916" width="0.33203125" style="31" customWidth="1"/>
    <col min="6917" max="6917" width="4.6640625" style="31" customWidth="1"/>
    <col min="6918" max="6919" width="7.6640625" style="31" customWidth="1"/>
    <col min="6920" max="6925" width="8.6640625" style="31" customWidth="1"/>
    <col min="6926" max="6928" width="10.6640625" style="31" customWidth="1"/>
    <col min="6929" max="6929" width="25.5546875" style="31" customWidth="1"/>
    <col min="6930" max="6930" width="9.33203125" style="31" customWidth="1"/>
    <col min="6931" max="6931" width="14.33203125" style="31" customWidth="1"/>
    <col min="6932" max="6932" width="12.44140625" style="31" customWidth="1"/>
    <col min="6933" max="7166" width="9.33203125" style="31"/>
    <col min="7167" max="7167" width="2.44140625" style="31" customWidth="1"/>
    <col min="7168" max="7168" width="15.33203125" style="31" customWidth="1"/>
    <col min="7169" max="7169" width="17.33203125" style="31" customWidth="1"/>
    <col min="7170" max="7170" width="3.5546875" style="31" customWidth="1"/>
    <col min="7171" max="7171" width="17.33203125" style="31" customWidth="1"/>
    <col min="7172" max="7172" width="0.33203125" style="31" customWidth="1"/>
    <col min="7173" max="7173" width="4.6640625" style="31" customWidth="1"/>
    <col min="7174" max="7175" width="7.6640625" style="31" customWidth="1"/>
    <col min="7176" max="7181" width="8.6640625" style="31" customWidth="1"/>
    <col min="7182" max="7184" width="10.6640625" style="31" customWidth="1"/>
    <col min="7185" max="7185" width="25.5546875" style="31" customWidth="1"/>
    <col min="7186" max="7186" width="9.33203125" style="31" customWidth="1"/>
    <col min="7187" max="7187" width="14.33203125" style="31" customWidth="1"/>
    <col min="7188" max="7188" width="12.44140625" style="31" customWidth="1"/>
    <col min="7189" max="7422" width="9.33203125" style="31"/>
    <col min="7423" max="7423" width="2.44140625" style="31" customWidth="1"/>
    <col min="7424" max="7424" width="15.33203125" style="31" customWidth="1"/>
    <col min="7425" max="7425" width="17.33203125" style="31" customWidth="1"/>
    <col min="7426" max="7426" width="3.5546875" style="31" customWidth="1"/>
    <col min="7427" max="7427" width="17.33203125" style="31" customWidth="1"/>
    <col min="7428" max="7428" width="0.33203125" style="31" customWidth="1"/>
    <col min="7429" max="7429" width="4.6640625" style="31" customWidth="1"/>
    <col min="7430" max="7431" width="7.6640625" style="31" customWidth="1"/>
    <col min="7432" max="7437" width="8.6640625" style="31" customWidth="1"/>
    <col min="7438" max="7440" width="10.6640625" style="31" customWidth="1"/>
    <col min="7441" max="7441" width="25.5546875" style="31" customWidth="1"/>
    <col min="7442" max="7442" width="9.33203125" style="31" customWidth="1"/>
    <col min="7443" max="7443" width="14.33203125" style="31" customWidth="1"/>
    <col min="7444" max="7444" width="12.44140625" style="31" customWidth="1"/>
    <col min="7445" max="7678" width="9.33203125" style="31"/>
    <col min="7679" max="7679" width="2.44140625" style="31" customWidth="1"/>
    <col min="7680" max="7680" width="15.33203125" style="31" customWidth="1"/>
    <col min="7681" max="7681" width="17.33203125" style="31" customWidth="1"/>
    <col min="7682" max="7682" width="3.5546875" style="31" customWidth="1"/>
    <col min="7683" max="7683" width="17.33203125" style="31" customWidth="1"/>
    <col min="7684" max="7684" width="0.33203125" style="31" customWidth="1"/>
    <col min="7685" max="7685" width="4.6640625" style="31" customWidth="1"/>
    <col min="7686" max="7687" width="7.6640625" style="31" customWidth="1"/>
    <col min="7688" max="7693" width="8.6640625" style="31" customWidth="1"/>
    <col min="7694" max="7696" width="10.6640625" style="31" customWidth="1"/>
    <col min="7697" max="7697" width="25.5546875" style="31" customWidth="1"/>
    <col min="7698" max="7698" width="9.33203125" style="31" customWidth="1"/>
    <col min="7699" max="7699" width="14.33203125" style="31" customWidth="1"/>
    <col min="7700" max="7700" width="12.44140625" style="31" customWidth="1"/>
    <col min="7701" max="7934" width="9.33203125" style="31"/>
    <col min="7935" max="7935" width="2.44140625" style="31" customWidth="1"/>
    <col min="7936" max="7936" width="15.33203125" style="31" customWidth="1"/>
    <col min="7937" max="7937" width="17.33203125" style="31" customWidth="1"/>
    <col min="7938" max="7938" width="3.5546875" style="31" customWidth="1"/>
    <col min="7939" max="7939" width="17.33203125" style="31" customWidth="1"/>
    <col min="7940" max="7940" width="0.33203125" style="31" customWidth="1"/>
    <col min="7941" max="7941" width="4.6640625" style="31" customWidth="1"/>
    <col min="7942" max="7943" width="7.6640625" style="31" customWidth="1"/>
    <col min="7944" max="7949" width="8.6640625" style="31" customWidth="1"/>
    <col min="7950" max="7952" width="10.6640625" style="31" customWidth="1"/>
    <col min="7953" max="7953" width="25.5546875" style="31" customWidth="1"/>
    <col min="7954" max="7954" width="9.33203125" style="31" customWidth="1"/>
    <col min="7955" max="7955" width="14.33203125" style="31" customWidth="1"/>
    <col min="7956" max="7956" width="12.44140625" style="31" customWidth="1"/>
    <col min="7957" max="8190" width="9.33203125" style="31"/>
    <col min="8191" max="8191" width="2.44140625" style="31" customWidth="1"/>
    <col min="8192" max="8192" width="15.33203125" style="31" customWidth="1"/>
    <col min="8193" max="8193" width="17.33203125" style="31" customWidth="1"/>
    <col min="8194" max="8194" width="3.5546875" style="31" customWidth="1"/>
    <col min="8195" max="8195" width="17.33203125" style="31" customWidth="1"/>
    <col min="8196" max="8196" width="0.33203125" style="31" customWidth="1"/>
    <col min="8197" max="8197" width="4.6640625" style="31" customWidth="1"/>
    <col min="8198" max="8199" width="7.6640625" style="31" customWidth="1"/>
    <col min="8200" max="8205" width="8.6640625" style="31" customWidth="1"/>
    <col min="8206" max="8208" width="10.6640625" style="31" customWidth="1"/>
    <col min="8209" max="8209" width="25.5546875" style="31" customWidth="1"/>
    <col min="8210" max="8210" width="9.33203125" style="31" customWidth="1"/>
    <col min="8211" max="8211" width="14.33203125" style="31" customWidth="1"/>
    <col min="8212" max="8212" width="12.44140625" style="31" customWidth="1"/>
    <col min="8213" max="8446" width="9.33203125" style="31"/>
    <col min="8447" max="8447" width="2.44140625" style="31" customWidth="1"/>
    <col min="8448" max="8448" width="15.33203125" style="31" customWidth="1"/>
    <col min="8449" max="8449" width="17.33203125" style="31" customWidth="1"/>
    <col min="8450" max="8450" width="3.5546875" style="31" customWidth="1"/>
    <col min="8451" max="8451" width="17.33203125" style="31" customWidth="1"/>
    <col min="8452" max="8452" width="0.33203125" style="31" customWidth="1"/>
    <col min="8453" max="8453" width="4.6640625" style="31" customWidth="1"/>
    <col min="8454" max="8455" width="7.6640625" style="31" customWidth="1"/>
    <col min="8456" max="8461" width="8.6640625" style="31" customWidth="1"/>
    <col min="8462" max="8464" width="10.6640625" style="31" customWidth="1"/>
    <col min="8465" max="8465" width="25.5546875" style="31" customWidth="1"/>
    <col min="8466" max="8466" width="9.33203125" style="31" customWidth="1"/>
    <col min="8467" max="8467" width="14.33203125" style="31" customWidth="1"/>
    <col min="8468" max="8468" width="12.44140625" style="31" customWidth="1"/>
    <col min="8469" max="8702" width="9.33203125" style="31"/>
    <col min="8703" max="8703" width="2.44140625" style="31" customWidth="1"/>
    <col min="8704" max="8704" width="15.33203125" style="31" customWidth="1"/>
    <col min="8705" max="8705" width="17.33203125" style="31" customWidth="1"/>
    <col min="8706" max="8706" width="3.5546875" style="31" customWidth="1"/>
    <col min="8707" max="8707" width="17.33203125" style="31" customWidth="1"/>
    <col min="8708" max="8708" width="0.33203125" style="31" customWidth="1"/>
    <col min="8709" max="8709" width="4.6640625" style="31" customWidth="1"/>
    <col min="8710" max="8711" width="7.6640625" style="31" customWidth="1"/>
    <col min="8712" max="8717" width="8.6640625" style="31" customWidth="1"/>
    <col min="8718" max="8720" width="10.6640625" style="31" customWidth="1"/>
    <col min="8721" max="8721" width="25.5546875" style="31" customWidth="1"/>
    <col min="8722" max="8722" width="9.33203125" style="31" customWidth="1"/>
    <col min="8723" max="8723" width="14.33203125" style="31" customWidth="1"/>
    <col min="8724" max="8724" width="12.44140625" style="31" customWidth="1"/>
    <col min="8725" max="8958" width="9.33203125" style="31"/>
    <col min="8959" max="8959" width="2.44140625" style="31" customWidth="1"/>
    <col min="8960" max="8960" width="15.33203125" style="31" customWidth="1"/>
    <col min="8961" max="8961" width="17.33203125" style="31" customWidth="1"/>
    <col min="8962" max="8962" width="3.5546875" style="31" customWidth="1"/>
    <col min="8963" max="8963" width="17.33203125" style="31" customWidth="1"/>
    <col min="8964" max="8964" width="0.33203125" style="31" customWidth="1"/>
    <col min="8965" max="8965" width="4.6640625" style="31" customWidth="1"/>
    <col min="8966" max="8967" width="7.6640625" style="31" customWidth="1"/>
    <col min="8968" max="8973" width="8.6640625" style="31" customWidth="1"/>
    <col min="8974" max="8976" width="10.6640625" style="31" customWidth="1"/>
    <col min="8977" max="8977" width="25.5546875" style="31" customWidth="1"/>
    <col min="8978" max="8978" width="9.33203125" style="31" customWidth="1"/>
    <col min="8979" max="8979" width="14.33203125" style="31" customWidth="1"/>
    <col min="8980" max="8980" width="12.44140625" style="31" customWidth="1"/>
    <col min="8981" max="9214" width="9.33203125" style="31"/>
    <col min="9215" max="9215" width="2.44140625" style="31" customWidth="1"/>
    <col min="9216" max="9216" width="15.33203125" style="31" customWidth="1"/>
    <col min="9217" max="9217" width="17.33203125" style="31" customWidth="1"/>
    <col min="9218" max="9218" width="3.5546875" style="31" customWidth="1"/>
    <col min="9219" max="9219" width="17.33203125" style="31" customWidth="1"/>
    <col min="9220" max="9220" width="0.33203125" style="31" customWidth="1"/>
    <col min="9221" max="9221" width="4.6640625" style="31" customWidth="1"/>
    <col min="9222" max="9223" width="7.6640625" style="31" customWidth="1"/>
    <col min="9224" max="9229" width="8.6640625" style="31" customWidth="1"/>
    <col min="9230" max="9232" width="10.6640625" style="31" customWidth="1"/>
    <col min="9233" max="9233" width="25.5546875" style="31" customWidth="1"/>
    <col min="9234" max="9234" width="9.33203125" style="31" customWidth="1"/>
    <col min="9235" max="9235" width="14.33203125" style="31" customWidth="1"/>
    <col min="9236" max="9236" width="12.44140625" style="31" customWidth="1"/>
    <col min="9237" max="9470" width="9.33203125" style="31"/>
    <col min="9471" max="9471" width="2.44140625" style="31" customWidth="1"/>
    <col min="9472" max="9472" width="15.33203125" style="31" customWidth="1"/>
    <col min="9473" max="9473" width="17.33203125" style="31" customWidth="1"/>
    <col min="9474" max="9474" width="3.5546875" style="31" customWidth="1"/>
    <col min="9475" max="9475" width="17.33203125" style="31" customWidth="1"/>
    <col min="9476" max="9476" width="0.33203125" style="31" customWidth="1"/>
    <col min="9477" max="9477" width="4.6640625" style="31" customWidth="1"/>
    <col min="9478" max="9479" width="7.6640625" style="31" customWidth="1"/>
    <col min="9480" max="9485" width="8.6640625" style="31" customWidth="1"/>
    <col min="9486" max="9488" width="10.6640625" style="31" customWidth="1"/>
    <col min="9489" max="9489" width="25.5546875" style="31" customWidth="1"/>
    <col min="9490" max="9490" width="9.33203125" style="31" customWidth="1"/>
    <col min="9491" max="9491" width="14.33203125" style="31" customWidth="1"/>
    <col min="9492" max="9492" width="12.44140625" style="31" customWidth="1"/>
    <col min="9493" max="9726" width="9.33203125" style="31"/>
    <col min="9727" max="9727" width="2.44140625" style="31" customWidth="1"/>
    <col min="9728" max="9728" width="15.33203125" style="31" customWidth="1"/>
    <col min="9729" max="9729" width="17.33203125" style="31" customWidth="1"/>
    <col min="9730" max="9730" width="3.5546875" style="31" customWidth="1"/>
    <col min="9731" max="9731" width="17.33203125" style="31" customWidth="1"/>
    <col min="9732" max="9732" width="0.33203125" style="31" customWidth="1"/>
    <col min="9733" max="9733" width="4.6640625" style="31" customWidth="1"/>
    <col min="9734" max="9735" width="7.6640625" style="31" customWidth="1"/>
    <col min="9736" max="9741" width="8.6640625" style="31" customWidth="1"/>
    <col min="9742" max="9744" width="10.6640625" style="31" customWidth="1"/>
    <col min="9745" max="9745" width="25.5546875" style="31" customWidth="1"/>
    <col min="9746" max="9746" width="9.33203125" style="31" customWidth="1"/>
    <col min="9747" max="9747" width="14.33203125" style="31" customWidth="1"/>
    <col min="9748" max="9748" width="12.44140625" style="31" customWidth="1"/>
    <col min="9749" max="9982" width="9.33203125" style="31"/>
    <col min="9983" max="9983" width="2.44140625" style="31" customWidth="1"/>
    <col min="9984" max="9984" width="15.33203125" style="31" customWidth="1"/>
    <col min="9985" max="9985" width="17.33203125" style="31" customWidth="1"/>
    <col min="9986" max="9986" width="3.5546875" style="31" customWidth="1"/>
    <col min="9987" max="9987" width="17.33203125" style="31" customWidth="1"/>
    <col min="9988" max="9988" width="0.33203125" style="31" customWidth="1"/>
    <col min="9989" max="9989" width="4.6640625" style="31" customWidth="1"/>
    <col min="9990" max="9991" width="7.6640625" style="31" customWidth="1"/>
    <col min="9992" max="9997" width="8.6640625" style="31" customWidth="1"/>
    <col min="9998" max="10000" width="10.6640625" style="31" customWidth="1"/>
    <col min="10001" max="10001" width="25.5546875" style="31" customWidth="1"/>
    <col min="10002" max="10002" width="9.33203125" style="31" customWidth="1"/>
    <col min="10003" max="10003" width="14.33203125" style="31" customWidth="1"/>
    <col min="10004" max="10004" width="12.44140625" style="31" customWidth="1"/>
    <col min="10005" max="10238" width="9.33203125" style="31"/>
    <col min="10239" max="10239" width="2.44140625" style="31" customWidth="1"/>
    <col min="10240" max="10240" width="15.33203125" style="31" customWidth="1"/>
    <col min="10241" max="10241" width="17.33203125" style="31" customWidth="1"/>
    <col min="10242" max="10242" width="3.5546875" style="31" customWidth="1"/>
    <col min="10243" max="10243" width="17.33203125" style="31" customWidth="1"/>
    <col min="10244" max="10244" width="0.33203125" style="31" customWidth="1"/>
    <col min="10245" max="10245" width="4.6640625" style="31" customWidth="1"/>
    <col min="10246" max="10247" width="7.6640625" style="31" customWidth="1"/>
    <col min="10248" max="10253" width="8.6640625" style="31" customWidth="1"/>
    <col min="10254" max="10256" width="10.6640625" style="31" customWidth="1"/>
    <col min="10257" max="10257" width="25.5546875" style="31" customWidth="1"/>
    <col min="10258" max="10258" width="9.33203125" style="31" customWidth="1"/>
    <col min="10259" max="10259" width="14.33203125" style="31" customWidth="1"/>
    <col min="10260" max="10260" width="12.44140625" style="31" customWidth="1"/>
    <col min="10261" max="10494" width="9.33203125" style="31"/>
    <col min="10495" max="10495" width="2.44140625" style="31" customWidth="1"/>
    <col min="10496" max="10496" width="15.33203125" style="31" customWidth="1"/>
    <col min="10497" max="10497" width="17.33203125" style="31" customWidth="1"/>
    <col min="10498" max="10498" width="3.5546875" style="31" customWidth="1"/>
    <col min="10499" max="10499" width="17.33203125" style="31" customWidth="1"/>
    <col min="10500" max="10500" width="0.33203125" style="31" customWidth="1"/>
    <col min="10501" max="10501" width="4.6640625" style="31" customWidth="1"/>
    <col min="10502" max="10503" width="7.6640625" style="31" customWidth="1"/>
    <col min="10504" max="10509" width="8.6640625" style="31" customWidth="1"/>
    <col min="10510" max="10512" width="10.6640625" style="31" customWidth="1"/>
    <col min="10513" max="10513" width="25.5546875" style="31" customWidth="1"/>
    <col min="10514" max="10514" width="9.33203125" style="31" customWidth="1"/>
    <col min="10515" max="10515" width="14.33203125" style="31" customWidth="1"/>
    <col min="10516" max="10516" width="12.44140625" style="31" customWidth="1"/>
    <col min="10517" max="10750" width="9.33203125" style="31"/>
    <col min="10751" max="10751" width="2.44140625" style="31" customWidth="1"/>
    <col min="10752" max="10752" width="15.33203125" style="31" customWidth="1"/>
    <col min="10753" max="10753" width="17.33203125" style="31" customWidth="1"/>
    <col min="10754" max="10754" width="3.5546875" style="31" customWidth="1"/>
    <col min="10755" max="10755" width="17.33203125" style="31" customWidth="1"/>
    <col min="10756" max="10756" width="0.33203125" style="31" customWidth="1"/>
    <col min="10757" max="10757" width="4.6640625" style="31" customWidth="1"/>
    <col min="10758" max="10759" width="7.6640625" style="31" customWidth="1"/>
    <col min="10760" max="10765" width="8.6640625" style="31" customWidth="1"/>
    <col min="10766" max="10768" width="10.6640625" style="31" customWidth="1"/>
    <col min="10769" max="10769" width="25.5546875" style="31" customWidth="1"/>
    <col min="10770" max="10770" width="9.33203125" style="31" customWidth="1"/>
    <col min="10771" max="10771" width="14.33203125" style="31" customWidth="1"/>
    <col min="10772" max="10772" width="12.44140625" style="31" customWidth="1"/>
    <col min="10773" max="11006" width="9.33203125" style="31"/>
    <col min="11007" max="11007" width="2.44140625" style="31" customWidth="1"/>
    <col min="11008" max="11008" width="15.33203125" style="31" customWidth="1"/>
    <col min="11009" max="11009" width="17.33203125" style="31" customWidth="1"/>
    <col min="11010" max="11010" width="3.5546875" style="31" customWidth="1"/>
    <col min="11011" max="11011" width="17.33203125" style="31" customWidth="1"/>
    <col min="11012" max="11012" width="0.33203125" style="31" customWidth="1"/>
    <col min="11013" max="11013" width="4.6640625" style="31" customWidth="1"/>
    <col min="11014" max="11015" width="7.6640625" style="31" customWidth="1"/>
    <col min="11016" max="11021" width="8.6640625" style="31" customWidth="1"/>
    <col min="11022" max="11024" width="10.6640625" style="31" customWidth="1"/>
    <col min="11025" max="11025" width="25.5546875" style="31" customWidth="1"/>
    <col min="11026" max="11026" width="9.33203125" style="31" customWidth="1"/>
    <col min="11027" max="11027" width="14.33203125" style="31" customWidth="1"/>
    <col min="11028" max="11028" width="12.44140625" style="31" customWidth="1"/>
    <col min="11029" max="11262" width="9.33203125" style="31"/>
    <col min="11263" max="11263" width="2.44140625" style="31" customWidth="1"/>
    <col min="11264" max="11264" width="15.33203125" style="31" customWidth="1"/>
    <col min="11265" max="11265" width="17.33203125" style="31" customWidth="1"/>
    <col min="11266" max="11266" width="3.5546875" style="31" customWidth="1"/>
    <col min="11267" max="11267" width="17.33203125" style="31" customWidth="1"/>
    <col min="11268" max="11268" width="0.33203125" style="31" customWidth="1"/>
    <col min="11269" max="11269" width="4.6640625" style="31" customWidth="1"/>
    <col min="11270" max="11271" width="7.6640625" style="31" customWidth="1"/>
    <col min="11272" max="11277" width="8.6640625" style="31" customWidth="1"/>
    <col min="11278" max="11280" width="10.6640625" style="31" customWidth="1"/>
    <col min="11281" max="11281" width="25.5546875" style="31" customWidth="1"/>
    <col min="11282" max="11282" width="9.33203125" style="31" customWidth="1"/>
    <col min="11283" max="11283" width="14.33203125" style="31" customWidth="1"/>
    <col min="11284" max="11284" width="12.44140625" style="31" customWidth="1"/>
    <col min="11285" max="11518" width="9.33203125" style="31"/>
    <col min="11519" max="11519" width="2.44140625" style="31" customWidth="1"/>
    <col min="11520" max="11520" width="15.33203125" style="31" customWidth="1"/>
    <col min="11521" max="11521" width="17.33203125" style="31" customWidth="1"/>
    <col min="11522" max="11522" width="3.5546875" style="31" customWidth="1"/>
    <col min="11523" max="11523" width="17.33203125" style="31" customWidth="1"/>
    <col min="11524" max="11524" width="0.33203125" style="31" customWidth="1"/>
    <col min="11525" max="11525" width="4.6640625" style="31" customWidth="1"/>
    <col min="11526" max="11527" width="7.6640625" style="31" customWidth="1"/>
    <col min="11528" max="11533" width="8.6640625" style="31" customWidth="1"/>
    <col min="11534" max="11536" width="10.6640625" style="31" customWidth="1"/>
    <col min="11537" max="11537" width="25.5546875" style="31" customWidth="1"/>
    <col min="11538" max="11538" width="9.33203125" style="31" customWidth="1"/>
    <col min="11539" max="11539" width="14.33203125" style="31" customWidth="1"/>
    <col min="11540" max="11540" width="12.44140625" style="31" customWidth="1"/>
    <col min="11541" max="11774" width="9.33203125" style="31"/>
    <col min="11775" max="11775" width="2.44140625" style="31" customWidth="1"/>
    <col min="11776" max="11776" width="15.33203125" style="31" customWidth="1"/>
    <col min="11777" max="11777" width="17.33203125" style="31" customWidth="1"/>
    <col min="11778" max="11778" width="3.5546875" style="31" customWidth="1"/>
    <col min="11779" max="11779" width="17.33203125" style="31" customWidth="1"/>
    <col min="11780" max="11780" width="0.33203125" style="31" customWidth="1"/>
    <col min="11781" max="11781" width="4.6640625" style="31" customWidth="1"/>
    <col min="11782" max="11783" width="7.6640625" style="31" customWidth="1"/>
    <col min="11784" max="11789" width="8.6640625" style="31" customWidth="1"/>
    <col min="11790" max="11792" width="10.6640625" style="31" customWidth="1"/>
    <col min="11793" max="11793" width="25.5546875" style="31" customWidth="1"/>
    <col min="11794" max="11794" width="9.33203125" style="31" customWidth="1"/>
    <col min="11795" max="11795" width="14.33203125" style="31" customWidth="1"/>
    <col min="11796" max="11796" width="12.44140625" style="31" customWidth="1"/>
    <col min="11797" max="12030" width="9.33203125" style="31"/>
    <col min="12031" max="12031" width="2.44140625" style="31" customWidth="1"/>
    <col min="12032" max="12032" width="15.33203125" style="31" customWidth="1"/>
    <col min="12033" max="12033" width="17.33203125" style="31" customWidth="1"/>
    <col min="12034" max="12034" width="3.5546875" style="31" customWidth="1"/>
    <col min="12035" max="12035" width="17.33203125" style="31" customWidth="1"/>
    <col min="12036" max="12036" width="0.33203125" style="31" customWidth="1"/>
    <col min="12037" max="12037" width="4.6640625" style="31" customWidth="1"/>
    <col min="12038" max="12039" width="7.6640625" style="31" customWidth="1"/>
    <col min="12040" max="12045" width="8.6640625" style="31" customWidth="1"/>
    <col min="12046" max="12048" width="10.6640625" style="31" customWidth="1"/>
    <col min="12049" max="12049" width="25.5546875" style="31" customWidth="1"/>
    <col min="12050" max="12050" width="9.33203125" style="31" customWidth="1"/>
    <col min="12051" max="12051" width="14.33203125" style="31" customWidth="1"/>
    <col min="12052" max="12052" width="12.44140625" style="31" customWidth="1"/>
    <col min="12053" max="12286" width="9.33203125" style="31"/>
    <col min="12287" max="12287" width="2.44140625" style="31" customWidth="1"/>
    <col min="12288" max="12288" width="15.33203125" style="31" customWidth="1"/>
    <col min="12289" max="12289" width="17.33203125" style="31" customWidth="1"/>
    <col min="12290" max="12290" width="3.5546875" style="31" customWidth="1"/>
    <col min="12291" max="12291" width="17.33203125" style="31" customWidth="1"/>
    <col min="12292" max="12292" width="0.33203125" style="31" customWidth="1"/>
    <col min="12293" max="12293" width="4.6640625" style="31" customWidth="1"/>
    <col min="12294" max="12295" width="7.6640625" style="31" customWidth="1"/>
    <col min="12296" max="12301" width="8.6640625" style="31" customWidth="1"/>
    <col min="12302" max="12304" width="10.6640625" style="31" customWidth="1"/>
    <col min="12305" max="12305" width="25.5546875" style="31" customWidth="1"/>
    <col min="12306" max="12306" width="9.33203125" style="31" customWidth="1"/>
    <col min="12307" max="12307" width="14.33203125" style="31" customWidth="1"/>
    <col min="12308" max="12308" width="12.44140625" style="31" customWidth="1"/>
    <col min="12309" max="12542" width="9.33203125" style="31"/>
    <col min="12543" max="12543" width="2.44140625" style="31" customWidth="1"/>
    <col min="12544" max="12544" width="15.33203125" style="31" customWidth="1"/>
    <col min="12545" max="12545" width="17.33203125" style="31" customWidth="1"/>
    <col min="12546" max="12546" width="3.5546875" style="31" customWidth="1"/>
    <col min="12547" max="12547" width="17.33203125" style="31" customWidth="1"/>
    <col min="12548" max="12548" width="0.33203125" style="31" customWidth="1"/>
    <col min="12549" max="12549" width="4.6640625" style="31" customWidth="1"/>
    <col min="12550" max="12551" width="7.6640625" style="31" customWidth="1"/>
    <col min="12552" max="12557" width="8.6640625" style="31" customWidth="1"/>
    <col min="12558" max="12560" width="10.6640625" style="31" customWidth="1"/>
    <col min="12561" max="12561" width="25.5546875" style="31" customWidth="1"/>
    <col min="12562" max="12562" width="9.33203125" style="31" customWidth="1"/>
    <col min="12563" max="12563" width="14.33203125" style="31" customWidth="1"/>
    <col min="12564" max="12564" width="12.44140625" style="31" customWidth="1"/>
    <col min="12565" max="12798" width="9.33203125" style="31"/>
    <col min="12799" max="12799" width="2.44140625" style="31" customWidth="1"/>
    <col min="12800" max="12800" width="15.33203125" style="31" customWidth="1"/>
    <col min="12801" max="12801" width="17.33203125" style="31" customWidth="1"/>
    <col min="12802" max="12802" width="3.5546875" style="31" customWidth="1"/>
    <col min="12803" max="12803" width="17.33203125" style="31" customWidth="1"/>
    <col min="12804" max="12804" width="0.33203125" style="31" customWidth="1"/>
    <col min="12805" max="12805" width="4.6640625" style="31" customWidth="1"/>
    <col min="12806" max="12807" width="7.6640625" style="31" customWidth="1"/>
    <col min="12808" max="12813" width="8.6640625" style="31" customWidth="1"/>
    <col min="12814" max="12816" width="10.6640625" style="31" customWidth="1"/>
    <col min="12817" max="12817" width="25.5546875" style="31" customWidth="1"/>
    <col min="12818" max="12818" width="9.33203125" style="31" customWidth="1"/>
    <col min="12819" max="12819" width="14.33203125" style="31" customWidth="1"/>
    <col min="12820" max="12820" width="12.44140625" style="31" customWidth="1"/>
    <col min="12821" max="13054" width="9.33203125" style="31"/>
    <col min="13055" max="13055" width="2.44140625" style="31" customWidth="1"/>
    <col min="13056" max="13056" width="15.33203125" style="31" customWidth="1"/>
    <col min="13057" max="13057" width="17.33203125" style="31" customWidth="1"/>
    <col min="13058" max="13058" width="3.5546875" style="31" customWidth="1"/>
    <col min="13059" max="13059" width="17.33203125" style="31" customWidth="1"/>
    <col min="13060" max="13060" width="0.33203125" style="31" customWidth="1"/>
    <col min="13061" max="13061" width="4.6640625" style="31" customWidth="1"/>
    <col min="13062" max="13063" width="7.6640625" style="31" customWidth="1"/>
    <col min="13064" max="13069" width="8.6640625" style="31" customWidth="1"/>
    <col min="13070" max="13072" width="10.6640625" style="31" customWidth="1"/>
    <col min="13073" max="13073" width="25.5546875" style="31" customWidth="1"/>
    <col min="13074" max="13074" width="9.33203125" style="31" customWidth="1"/>
    <col min="13075" max="13075" width="14.33203125" style="31" customWidth="1"/>
    <col min="13076" max="13076" width="12.44140625" style="31" customWidth="1"/>
    <col min="13077" max="13310" width="9.33203125" style="31"/>
    <col min="13311" max="13311" width="2.44140625" style="31" customWidth="1"/>
    <col min="13312" max="13312" width="15.33203125" style="31" customWidth="1"/>
    <col min="13313" max="13313" width="17.33203125" style="31" customWidth="1"/>
    <col min="13314" max="13314" width="3.5546875" style="31" customWidth="1"/>
    <col min="13315" max="13315" width="17.33203125" style="31" customWidth="1"/>
    <col min="13316" max="13316" width="0.33203125" style="31" customWidth="1"/>
    <col min="13317" max="13317" width="4.6640625" style="31" customWidth="1"/>
    <col min="13318" max="13319" width="7.6640625" style="31" customWidth="1"/>
    <col min="13320" max="13325" width="8.6640625" style="31" customWidth="1"/>
    <col min="13326" max="13328" width="10.6640625" style="31" customWidth="1"/>
    <col min="13329" max="13329" width="25.5546875" style="31" customWidth="1"/>
    <col min="13330" max="13330" width="9.33203125" style="31" customWidth="1"/>
    <col min="13331" max="13331" width="14.33203125" style="31" customWidth="1"/>
    <col min="13332" max="13332" width="12.44140625" style="31" customWidth="1"/>
    <col min="13333" max="13566" width="9.33203125" style="31"/>
    <col min="13567" max="13567" width="2.44140625" style="31" customWidth="1"/>
    <col min="13568" max="13568" width="15.33203125" style="31" customWidth="1"/>
    <col min="13569" max="13569" width="17.33203125" style="31" customWidth="1"/>
    <col min="13570" max="13570" width="3.5546875" style="31" customWidth="1"/>
    <col min="13571" max="13571" width="17.33203125" style="31" customWidth="1"/>
    <col min="13572" max="13572" width="0.33203125" style="31" customWidth="1"/>
    <col min="13573" max="13573" width="4.6640625" style="31" customWidth="1"/>
    <col min="13574" max="13575" width="7.6640625" style="31" customWidth="1"/>
    <col min="13576" max="13581" width="8.6640625" style="31" customWidth="1"/>
    <col min="13582" max="13584" width="10.6640625" style="31" customWidth="1"/>
    <col min="13585" max="13585" width="25.5546875" style="31" customWidth="1"/>
    <col min="13586" max="13586" width="9.33203125" style="31" customWidth="1"/>
    <col min="13587" max="13587" width="14.33203125" style="31" customWidth="1"/>
    <col min="13588" max="13588" width="12.44140625" style="31" customWidth="1"/>
    <col min="13589" max="13822" width="9.33203125" style="31"/>
    <col min="13823" max="13823" width="2.44140625" style="31" customWidth="1"/>
    <col min="13824" max="13824" width="15.33203125" style="31" customWidth="1"/>
    <col min="13825" max="13825" width="17.33203125" style="31" customWidth="1"/>
    <col min="13826" max="13826" width="3.5546875" style="31" customWidth="1"/>
    <col min="13827" max="13827" width="17.33203125" style="31" customWidth="1"/>
    <col min="13828" max="13828" width="0.33203125" style="31" customWidth="1"/>
    <col min="13829" max="13829" width="4.6640625" style="31" customWidth="1"/>
    <col min="13830" max="13831" width="7.6640625" style="31" customWidth="1"/>
    <col min="13832" max="13837" width="8.6640625" style="31" customWidth="1"/>
    <col min="13838" max="13840" width="10.6640625" style="31" customWidth="1"/>
    <col min="13841" max="13841" width="25.5546875" style="31" customWidth="1"/>
    <col min="13842" max="13842" width="9.33203125" style="31" customWidth="1"/>
    <col min="13843" max="13843" width="14.33203125" style="31" customWidth="1"/>
    <col min="13844" max="13844" width="12.44140625" style="31" customWidth="1"/>
    <col min="13845" max="14078" width="9.33203125" style="31"/>
    <col min="14079" max="14079" width="2.44140625" style="31" customWidth="1"/>
    <col min="14080" max="14080" width="15.33203125" style="31" customWidth="1"/>
    <col min="14081" max="14081" width="17.33203125" style="31" customWidth="1"/>
    <col min="14082" max="14082" width="3.5546875" style="31" customWidth="1"/>
    <col min="14083" max="14083" width="17.33203125" style="31" customWidth="1"/>
    <col min="14084" max="14084" width="0.33203125" style="31" customWidth="1"/>
    <col min="14085" max="14085" width="4.6640625" style="31" customWidth="1"/>
    <col min="14086" max="14087" width="7.6640625" style="31" customWidth="1"/>
    <col min="14088" max="14093" width="8.6640625" style="31" customWidth="1"/>
    <col min="14094" max="14096" width="10.6640625" style="31" customWidth="1"/>
    <col min="14097" max="14097" width="25.5546875" style="31" customWidth="1"/>
    <col min="14098" max="14098" width="9.33203125" style="31" customWidth="1"/>
    <col min="14099" max="14099" width="14.33203125" style="31" customWidth="1"/>
    <col min="14100" max="14100" width="12.44140625" style="31" customWidth="1"/>
    <col min="14101" max="14334" width="9.33203125" style="31"/>
    <col min="14335" max="14335" width="2.44140625" style="31" customWidth="1"/>
    <col min="14336" max="14336" width="15.33203125" style="31" customWidth="1"/>
    <col min="14337" max="14337" width="17.33203125" style="31" customWidth="1"/>
    <col min="14338" max="14338" width="3.5546875" style="31" customWidth="1"/>
    <col min="14339" max="14339" width="17.33203125" style="31" customWidth="1"/>
    <col min="14340" max="14340" width="0.33203125" style="31" customWidth="1"/>
    <col min="14341" max="14341" width="4.6640625" style="31" customWidth="1"/>
    <col min="14342" max="14343" width="7.6640625" style="31" customWidth="1"/>
    <col min="14344" max="14349" width="8.6640625" style="31" customWidth="1"/>
    <col min="14350" max="14352" width="10.6640625" style="31" customWidth="1"/>
    <col min="14353" max="14353" width="25.5546875" style="31" customWidth="1"/>
    <col min="14354" max="14354" width="9.33203125" style="31" customWidth="1"/>
    <col min="14355" max="14355" width="14.33203125" style="31" customWidth="1"/>
    <col min="14356" max="14356" width="12.44140625" style="31" customWidth="1"/>
    <col min="14357" max="14590" width="9.33203125" style="31"/>
    <col min="14591" max="14591" width="2.44140625" style="31" customWidth="1"/>
    <col min="14592" max="14592" width="15.33203125" style="31" customWidth="1"/>
    <col min="14593" max="14593" width="17.33203125" style="31" customWidth="1"/>
    <col min="14594" max="14594" width="3.5546875" style="31" customWidth="1"/>
    <col min="14595" max="14595" width="17.33203125" style="31" customWidth="1"/>
    <col min="14596" max="14596" width="0.33203125" style="31" customWidth="1"/>
    <col min="14597" max="14597" width="4.6640625" style="31" customWidth="1"/>
    <col min="14598" max="14599" width="7.6640625" style="31" customWidth="1"/>
    <col min="14600" max="14605" width="8.6640625" style="31" customWidth="1"/>
    <col min="14606" max="14608" width="10.6640625" style="31" customWidth="1"/>
    <col min="14609" max="14609" width="25.5546875" style="31" customWidth="1"/>
    <col min="14610" max="14610" width="9.33203125" style="31" customWidth="1"/>
    <col min="14611" max="14611" width="14.33203125" style="31" customWidth="1"/>
    <col min="14612" max="14612" width="12.44140625" style="31" customWidth="1"/>
    <col min="14613" max="14846" width="9.33203125" style="31"/>
    <col min="14847" max="14847" width="2.44140625" style="31" customWidth="1"/>
    <col min="14848" max="14848" width="15.33203125" style="31" customWidth="1"/>
    <col min="14849" max="14849" width="17.33203125" style="31" customWidth="1"/>
    <col min="14850" max="14850" width="3.5546875" style="31" customWidth="1"/>
    <col min="14851" max="14851" width="17.33203125" style="31" customWidth="1"/>
    <col min="14852" max="14852" width="0.33203125" style="31" customWidth="1"/>
    <col min="14853" max="14853" width="4.6640625" style="31" customWidth="1"/>
    <col min="14854" max="14855" width="7.6640625" style="31" customWidth="1"/>
    <col min="14856" max="14861" width="8.6640625" style="31" customWidth="1"/>
    <col min="14862" max="14864" width="10.6640625" style="31" customWidth="1"/>
    <col min="14865" max="14865" width="25.5546875" style="31" customWidth="1"/>
    <col min="14866" max="14866" width="9.33203125" style="31" customWidth="1"/>
    <col min="14867" max="14867" width="14.33203125" style="31" customWidth="1"/>
    <col min="14868" max="14868" width="12.44140625" style="31" customWidth="1"/>
    <col min="14869" max="15102" width="9.33203125" style="31"/>
    <col min="15103" max="15103" width="2.44140625" style="31" customWidth="1"/>
    <col min="15104" max="15104" width="15.33203125" style="31" customWidth="1"/>
    <col min="15105" max="15105" width="17.33203125" style="31" customWidth="1"/>
    <col min="15106" max="15106" width="3.5546875" style="31" customWidth="1"/>
    <col min="15107" max="15107" width="17.33203125" style="31" customWidth="1"/>
    <col min="15108" max="15108" width="0.33203125" style="31" customWidth="1"/>
    <col min="15109" max="15109" width="4.6640625" style="31" customWidth="1"/>
    <col min="15110" max="15111" width="7.6640625" style="31" customWidth="1"/>
    <col min="15112" max="15117" width="8.6640625" style="31" customWidth="1"/>
    <col min="15118" max="15120" width="10.6640625" style="31" customWidth="1"/>
    <col min="15121" max="15121" width="25.5546875" style="31" customWidth="1"/>
    <col min="15122" max="15122" width="9.33203125" style="31" customWidth="1"/>
    <col min="15123" max="15123" width="14.33203125" style="31" customWidth="1"/>
    <col min="15124" max="15124" width="12.44140625" style="31" customWidth="1"/>
    <col min="15125" max="15358" width="9.33203125" style="31"/>
    <col min="15359" max="15359" width="2.44140625" style="31" customWidth="1"/>
    <col min="15360" max="15360" width="15.33203125" style="31" customWidth="1"/>
    <col min="15361" max="15361" width="17.33203125" style="31" customWidth="1"/>
    <col min="15362" max="15362" width="3.5546875" style="31" customWidth="1"/>
    <col min="15363" max="15363" width="17.33203125" style="31" customWidth="1"/>
    <col min="15364" max="15364" width="0.33203125" style="31" customWidth="1"/>
    <col min="15365" max="15365" width="4.6640625" style="31" customWidth="1"/>
    <col min="15366" max="15367" width="7.6640625" style="31" customWidth="1"/>
    <col min="15368" max="15373" width="8.6640625" style="31" customWidth="1"/>
    <col min="15374" max="15376" width="10.6640625" style="31" customWidth="1"/>
    <col min="15377" max="15377" width="25.5546875" style="31" customWidth="1"/>
    <col min="15378" max="15378" width="9.33203125" style="31" customWidth="1"/>
    <col min="15379" max="15379" width="14.33203125" style="31" customWidth="1"/>
    <col min="15380" max="15380" width="12.44140625" style="31" customWidth="1"/>
    <col min="15381" max="15614" width="9.33203125" style="31"/>
    <col min="15615" max="15615" width="2.44140625" style="31" customWidth="1"/>
    <col min="15616" max="15616" width="15.33203125" style="31" customWidth="1"/>
    <col min="15617" max="15617" width="17.33203125" style="31" customWidth="1"/>
    <col min="15618" max="15618" width="3.5546875" style="31" customWidth="1"/>
    <col min="15619" max="15619" width="17.33203125" style="31" customWidth="1"/>
    <col min="15620" max="15620" width="0.33203125" style="31" customWidth="1"/>
    <col min="15621" max="15621" width="4.6640625" style="31" customWidth="1"/>
    <col min="15622" max="15623" width="7.6640625" style="31" customWidth="1"/>
    <col min="15624" max="15629" width="8.6640625" style="31" customWidth="1"/>
    <col min="15630" max="15632" width="10.6640625" style="31" customWidth="1"/>
    <col min="15633" max="15633" width="25.5546875" style="31" customWidth="1"/>
    <col min="15634" max="15634" width="9.33203125" style="31" customWidth="1"/>
    <col min="15635" max="15635" width="14.33203125" style="31" customWidth="1"/>
    <col min="15636" max="15636" width="12.44140625" style="31" customWidth="1"/>
    <col min="15637" max="15870" width="9.33203125" style="31"/>
    <col min="15871" max="15871" width="2.44140625" style="31" customWidth="1"/>
    <col min="15872" max="15872" width="15.33203125" style="31" customWidth="1"/>
    <col min="15873" max="15873" width="17.33203125" style="31" customWidth="1"/>
    <col min="15874" max="15874" width="3.5546875" style="31" customWidth="1"/>
    <col min="15875" max="15875" width="17.33203125" style="31" customWidth="1"/>
    <col min="15876" max="15876" width="0.33203125" style="31" customWidth="1"/>
    <col min="15877" max="15877" width="4.6640625" style="31" customWidth="1"/>
    <col min="15878" max="15879" width="7.6640625" style="31" customWidth="1"/>
    <col min="15880" max="15885" width="8.6640625" style="31" customWidth="1"/>
    <col min="15886" max="15888" width="10.6640625" style="31" customWidth="1"/>
    <col min="15889" max="15889" width="25.5546875" style="31" customWidth="1"/>
    <col min="15890" max="15890" width="9.33203125" style="31" customWidth="1"/>
    <col min="15891" max="15891" width="14.33203125" style="31" customWidth="1"/>
    <col min="15892" max="15892" width="12.44140625" style="31" customWidth="1"/>
    <col min="15893" max="16126" width="9.33203125" style="31"/>
    <col min="16127" max="16127" width="2.44140625" style="31" customWidth="1"/>
    <col min="16128" max="16128" width="15.33203125" style="31" customWidth="1"/>
    <col min="16129" max="16129" width="17.33203125" style="31" customWidth="1"/>
    <col min="16130" max="16130" width="3.5546875" style="31" customWidth="1"/>
    <col min="16131" max="16131" width="17.33203125" style="31" customWidth="1"/>
    <col min="16132" max="16132" width="0.33203125" style="31" customWidth="1"/>
    <col min="16133" max="16133" width="4.6640625" style="31" customWidth="1"/>
    <col min="16134" max="16135" width="7.6640625" style="31" customWidth="1"/>
    <col min="16136" max="16141" width="8.6640625" style="31" customWidth="1"/>
    <col min="16142" max="16144" width="10.6640625" style="31" customWidth="1"/>
    <col min="16145" max="16145" width="25.5546875" style="31" customWidth="1"/>
    <col min="16146" max="16146" width="9.33203125" style="31" customWidth="1"/>
    <col min="16147" max="16147" width="14.33203125" style="31" customWidth="1"/>
    <col min="16148" max="16148" width="12.44140625" style="31" customWidth="1"/>
    <col min="16149" max="16384" width="9.33203125" style="31"/>
  </cols>
  <sheetData>
    <row r="1" spans="2:19" ht="13.8" thickBot="1" x14ac:dyDescent="0.3">
      <c r="G1" s="31"/>
      <c r="H1" s="31"/>
      <c r="J1" s="31"/>
      <c r="K1" s="31"/>
      <c r="L1" s="49"/>
      <c r="M1" s="49"/>
      <c r="N1" s="49"/>
      <c r="O1" s="49"/>
      <c r="P1" s="37"/>
    </row>
    <row r="2" spans="2:19" ht="18" x14ac:dyDescent="0.35">
      <c r="F2" s="145" t="s">
        <v>0</v>
      </c>
      <c r="G2" s="67"/>
      <c r="H2" s="67"/>
      <c r="I2" s="34"/>
      <c r="K2" s="31"/>
      <c r="L2" s="209" t="s">
        <v>1</v>
      </c>
      <c r="M2" s="208"/>
      <c r="N2" s="208"/>
      <c r="O2" s="200"/>
      <c r="P2" s="69"/>
    </row>
    <row r="3" spans="2:19" ht="15.6" x14ac:dyDescent="0.3">
      <c r="F3" s="323" t="s">
        <v>585</v>
      </c>
      <c r="G3" s="31"/>
      <c r="H3" s="31"/>
      <c r="J3" s="31"/>
      <c r="K3" s="31"/>
      <c r="L3" s="401" t="s">
        <v>2</v>
      </c>
      <c r="M3" s="48"/>
      <c r="N3" s="48"/>
      <c r="O3" s="402"/>
      <c r="P3" s="37"/>
    </row>
    <row r="4" spans="2:19" ht="16.2" thickBot="1" x14ac:dyDescent="0.35">
      <c r="F4" s="125" t="s">
        <v>597</v>
      </c>
      <c r="G4" s="31"/>
      <c r="H4" s="31"/>
      <c r="J4" s="31"/>
      <c r="K4" s="31"/>
      <c r="L4" s="196" t="s">
        <v>584</v>
      </c>
      <c r="M4" s="197"/>
      <c r="N4" s="197"/>
      <c r="O4" s="198"/>
      <c r="P4" s="37"/>
    </row>
    <row r="5" spans="2:19" ht="13.8" thickBot="1" x14ac:dyDescent="0.3">
      <c r="F5" s="73"/>
      <c r="G5" s="31"/>
      <c r="H5" s="31"/>
      <c r="J5" s="31"/>
      <c r="K5" s="31"/>
      <c r="L5" s="31"/>
      <c r="M5" s="31"/>
      <c r="N5" s="31"/>
      <c r="O5" s="31"/>
      <c r="P5" s="37"/>
    </row>
    <row r="6" spans="2:19" ht="21.6" thickBot="1" x14ac:dyDescent="0.45">
      <c r="D6" s="418" t="s">
        <v>599</v>
      </c>
      <c r="E6" s="419"/>
      <c r="F6" s="420"/>
      <c r="G6" s="419"/>
      <c r="H6" s="419"/>
      <c r="I6" s="419"/>
      <c r="J6" s="419"/>
      <c r="K6" s="421"/>
      <c r="L6" s="421"/>
      <c r="M6" s="422"/>
      <c r="N6" s="422"/>
      <c r="O6" s="31"/>
      <c r="P6" s="37"/>
    </row>
    <row r="7" spans="2:19" ht="13.8" x14ac:dyDescent="0.25">
      <c r="F7" s="124"/>
      <c r="G7" s="31"/>
      <c r="H7" s="31"/>
      <c r="I7" s="124"/>
      <c r="J7" s="31"/>
      <c r="K7" s="31"/>
      <c r="L7" s="49"/>
      <c r="M7" s="49"/>
      <c r="N7" s="49"/>
      <c r="O7" s="49"/>
      <c r="P7" s="57"/>
    </row>
    <row r="8" spans="2:19" ht="13.8" x14ac:dyDescent="0.25">
      <c r="F8" s="124"/>
      <c r="G8" s="31"/>
      <c r="H8" s="31"/>
      <c r="I8" s="124"/>
      <c r="J8" s="31"/>
      <c r="K8" s="31"/>
      <c r="L8" s="49"/>
      <c r="M8" s="49"/>
      <c r="N8" s="49"/>
      <c r="O8" s="49"/>
      <c r="P8" s="57"/>
    </row>
    <row r="9" spans="2:19" s="34" customFormat="1" ht="22.5" customHeight="1" x14ac:dyDescent="0.25">
      <c r="B9" s="216" t="s">
        <v>3</v>
      </c>
      <c r="C9" s="220" t="s">
        <v>4</v>
      </c>
      <c r="D9" s="217" t="s">
        <v>5</v>
      </c>
      <c r="E9" s="220" t="s">
        <v>4</v>
      </c>
      <c r="F9" s="217" t="s">
        <v>6</v>
      </c>
      <c r="G9" s="217" t="s">
        <v>7</v>
      </c>
      <c r="H9" s="217" t="s">
        <v>8</v>
      </c>
      <c r="I9" s="217" t="s">
        <v>9</v>
      </c>
      <c r="J9" s="218" t="s">
        <v>10</v>
      </c>
      <c r="K9" s="218" t="s">
        <v>11</v>
      </c>
      <c r="L9" s="218" t="s">
        <v>12</v>
      </c>
      <c r="M9" s="218" t="s">
        <v>13</v>
      </c>
      <c r="N9" s="218" t="s">
        <v>603</v>
      </c>
      <c r="O9" s="218" t="s">
        <v>14</v>
      </c>
      <c r="P9" s="218" t="s">
        <v>15</v>
      </c>
      <c r="Q9" s="219" t="s">
        <v>16</v>
      </c>
    </row>
    <row r="10" spans="2:19" x14ac:dyDescent="0.25">
      <c r="B10" s="177" t="s">
        <v>17</v>
      </c>
      <c r="C10" s="66" t="s">
        <v>18</v>
      </c>
      <c r="D10" s="65" t="s">
        <v>19</v>
      </c>
      <c r="E10" s="66" t="s">
        <v>18</v>
      </c>
      <c r="F10" s="65" t="s">
        <v>20</v>
      </c>
      <c r="G10" s="74">
        <v>14</v>
      </c>
      <c r="H10" s="65" t="s">
        <v>21</v>
      </c>
      <c r="I10" s="65" t="s">
        <v>22</v>
      </c>
      <c r="J10" s="317" t="s">
        <v>547</v>
      </c>
      <c r="K10" s="317" t="s">
        <v>526</v>
      </c>
      <c r="L10" s="310">
        <v>1825</v>
      </c>
      <c r="M10" s="205">
        <v>24</v>
      </c>
      <c r="N10" s="205">
        <v>50</v>
      </c>
      <c r="O10" s="205" t="s">
        <v>604</v>
      </c>
      <c r="P10" s="206" t="s">
        <v>24</v>
      </c>
      <c r="Q10" s="211"/>
      <c r="R10" s="303"/>
      <c r="S10" s="303"/>
    </row>
    <row r="11" spans="2:19" x14ac:dyDescent="0.25">
      <c r="B11" s="177" t="s">
        <v>17</v>
      </c>
      <c r="C11" s="66" t="s">
        <v>18</v>
      </c>
      <c r="D11" s="65" t="s">
        <v>25</v>
      </c>
      <c r="E11" s="66" t="s">
        <v>18</v>
      </c>
      <c r="F11" s="65" t="s">
        <v>20</v>
      </c>
      <c r="G11" s="74">
        <v>23</v>
      </c>
      <c r="H11" s="65" t="s">
        <v>21</v>
      </c>
      <c r="I11" s="65" t="s">
        <v>22</v>
      </c>
      <c r="J11" s="317" t="s">
        <v>546</v>
      </c>
      <c r="K11" s="317" t="s">
        <v>509</v>
      </c>
      <c r="L11" s="310">
        <v>1800</v>
      </c>
      <c r="M11" s="205">
        <f>M10</f>
        <v>24</v>
      </c>
      <c r="N11" s="205">
        <f>N10</f>
        <v>50</v>
      </c>
      <c r="O11" s="205" t="str">
        <f>$O$10</f>
        <v>EBS/THC/DOC/T3/ETS</v>
      </c>
      <c r="P11" s="206" t="s">
        <v>24</v>
      </c>
      <c r="Q11" s="211"/>
      <c r="R11" s="303"/>
      <c r="S11" s="303"/>
    </row>
    <row r="12" spans="2:19" x14ac:dyDescent="0.25">
      <c r="B12" s="177" t="s">
        <v>17</v>
      </c>
      <c r="C12" s="66" t="s">
        <v>18</v>
      </c>
      <c r="D12" s="65" t="s">
        <v>26</v>
      </c>
      <c r="E12" s="66" t="s">
        <v>18</v>
      </c>
      <c r="F12" s="65" t="s">
        <v>20</v>
      </c>
      <c r="G12" s="74">
        <v>23</v>
      </c>
      <c r="H12" s="65" t="s">
        <v>21</v>
      </c>
      <c r="I12" s="65" t="s">
        <v>22</v>
      </c>
      <c r="J12" s="317" t="s">
        <v>548</v>
      </c>
      <c r="K12" s="317" t="s">
        <v>549</v>
      </c>
      <c r="L12" s="310">
        <v>1925</v>
      </c>
      <c r="M12" s="205">
        <f t="shared" ref="M12:N17" si="0">M11</f>
        <v>24</v>
      </c>
      <c r="N12" s="205">
        <f t="shared" si="0"/>
        <v>50</v>
      </c>
      <c r="O12" s="205" t="str">
        <f t="shared" ref="O12:O22" si="1">$O$10</f>
        <v>EBS/THC/DOC/T3/ETS</v>
      </c>
      <c r="P12" s="206" t="s">
        <v>24</v>
      </c>
      <c r="Q12" s="211"/>
      <c r="R12" s="303"/>
      <c r="S12" s="303"/>
    </row>
    <row r="13" spans="2:19" x14ac:dyDescent="0.25">
      <c r="B13" s="404" t="s">
        <v>17</v>
      </c>
      <c r="C13" s="405" t="s">
        <v>18</v>
      </c>
      <c r="D13" s="406" t="s">
        <v>27</v>
      </c>
      <c r="E13" s="405" t="s">
        <v>18</v>
      </c>
      <c r="F13" s="406" t="s">
        <v>20</v>
      </c>
      <c r="G13" s="407">
        <v>23</v>
      </c>
      <c r="H13" s="406" t="s">
        <v>28</v>
      </c>
      <c r="I13" s="406" t="s">
        <v>22</v>
      </c>
      <c r="J13" s="441" t="s">
        <v>593</v>
      </c>
      <c r="K13" s="442"/>
      <c r="L13" s="443"/>
      <c r="M13" s="408">
        <f>M10</f>
        <v>24</v>
      </c>
      <c r="N13" s="408">
        <f>N10</f>
        <v>50</v>
      </c>
      <c r="O13" s="408" t="str">
        <f t="shared" si="1"/>
        <v>EBS/THC/DOC/T3/ETS</v>
      </c>
      <c r="P13" s="409" t="s">
        <v>24</v>
      </c>
      <c r="Q13" s="410" t="s">
        <v>593</v>
      </c>
      <c r="R13" s="303"/>
      <c r="S13" s="303"/>
    </row>
    <row r="14" spans="2:19" x14ac:dyDescent="0.25">
      <c r="B14" s="177" t="s">
        <v>17</v>
      </c>
      <c r="C14" s="66" t="s">
        <v>18</v>
      </c>
      <c r="D14" s="65" t="s">
        <v>31</v>
      </c>
      <c r="E14" s="66" t="s">
        <v>18</v>
      </c>
      <c r="F14" s="65" t="s">
        <v>20</v>
      </c>
      <c r="G14" s="74">
        <v>32</v>
      </c>
      <c r="H14" s="65" t="s">
        <v>28</v>
      </c>
      <c r="I14" s="65" t="s">
        <v>22</v>
      </c>
      <c r="J14" s="317" t="s">
        <v>29</v>
      </c>
      <c r="K14" s="317" t="s">
        <v>30</v>
      </c>
      <c r="L14" s="310">
        <v>2650</v>
      </c>
      <c r="M14" s="205">
        <f t="shared" si="0"/>
        <v>24</v>
      </c>
      <c r="N14" s="205">
        <f t="shared" si="0"/>
        <v>50</v>
      </c>
      <c r="O14" s="205" t="str">
        <f t="shared" si="1"/>
        <v>EBS/THC/DOC/T3/ETS</v>
      </c>
      <c r="P14" s="206" t="s">
        <v>24</v>
      </c>
      <c r="Q14" s="211"/>
      <c r="R14" s="303"/>
      <c r="S14" s="303"/>
    </row>
    <row r="15" spans="2:19" x14ac:dyDescent="0.25">
      <c r="B15" s="177" t="s">
        <v>32</v>
      </c>
      <c r="C15" s="66" t="s">
        <v>18</v>
      </c>
      <c r="D15" s="65" t="s">
        <v>19</v>
      </c>
      <c r="E15" s="66" t="s">
        <v>18</v>
      </c>
      <c r="F15" s="65" t="s">
        <v>20</v>
      </c>
      <c r="G15" s="74">
        <v>8</v>
      </c>
      <c r="H15" s="65" t="s">
        <v>33</v>
      </c>
      <c r="I15" s="65" t="s">
        <v>22</v>
      </c>
      <c r="J15" s="317" t="s">
        <v>622</v>
      </c>
      <c r="K15" s="317" t="s">
        <v>621</v>
      </c>
      <c r="L15" s="310">
        <v>990</v>
      </c>
      <c r="M15" s="205">
        <f t="shared" si="0"/>
        <v>24</v>
      </c>
      <c r="N15" s="205">
        <f t="shared" si="0"/>
        <v>50</v>
      </c>
      <c r="O15" s="205" t="str">
        <f t="shared" si="1"/>
        <v>EBS/THC/DOC/T3/ETS</v>
      </c>
      <c r="P15" s="206" t="s">
        <v>24</v>
      </c>
      <c r="Q15" s="211"/>
      <c r="R15" s="303"/>
      <c r="S15" s="303"/>
    </row>
    <row r="16" spans="2:19" x14ac:dyDescent="0.25">
      <c r="B16" s="177" t="s">
        <v>32</v>
      </c>
      <c r="C16" s="66" t="s">
        <v>18</v>
      </c>
      <c r="D16" s="65" t="s">
        <v>26</v>
      </c>
      <c r="E16" s="66" t="s">
        <v>18</v>
      </c>
      <c r="F16" s="65" t="s">
        <v>20</v>
      </c>
      <c r="G16" s="74">
        <v>20</v>
      </c>
      <c r="H16" s="65" t="s">
        <v>33</v>
      </c>
      <c r="I16" s="65" t="s">
        <v>22</v>
      </c>
      <c r="J16" s="317" t="s">
        <v>626</v>
      </c>
      <c r="K16" s="317" t="s">
        <v>627</v>
      </c>
      <c r="L16" s="310">
        <v>1265</v>
      </c>
      <c r="M16" s="205">
        <f t="shared" si="0"/>
        <v>24</v>
      </c>
      <c r="N16" s="205">
        <f t="shared" si="0"/>
        <v>50</v>
      </c>
      <c r="O16" s="205" t="str">
        <f t="shared" si="1"/>
        <v>EBS/THC/DOC/T3/ETS</v>
      </c>
      <c r="P16" s="206" t="s">
        <v>24</v>
      </c>
      <c r="Q16" s="211"/>
      <c r="R16" s="303"/>
      <c r="S16" s="303"/>
    </row>
    <row r="17" spans="2:19" x14ac:dyDescent="0.25">
      <c r="B17" s="177" t="s">
        <v>32</v>
      </c>
      <c r="C17" s="66" t="s">
        <v>18</v>
      </c>
      <c r="D17" s="65" t="s">
        <v>25</v>
      </c>
      <c r="E17" s="66" t="s">
        <v>18</v>
      </c>
      <c r="F17" s="65" t="s">
        <v>20</v>
      </c>
      <c r="G17" s="74">
        <v>18</v>
      </c>
      <c r="H17" s="65" t="s">
        <v>168</v>
      </c>
      <c r="I17" s="65" t="s">
        <v>22</v>
      </c>
      <c r="J17" s="317" t="s">
        <v>623</v>
      </c>
      <c r="K17" s="317" t="s">
        <v>621</v>
      </c>
      <c r="L17" s="310">
        <v>990</v>
      </c>
      <c r="M17" s="205">
        <f t="shared" si="0"/>
        <v>24</v>
      </c>
      <c r="N17" s="205">
        <f t="shared" si="0"/>
        <v>50</v>
      </c>
      <c r="O17" s="205" t="str">
        <f t="shared" si="1"/>
        <v>EBS/THC/DOC/T3/ETS</v>
      </c>
      <c r="P17" s="206" t="s">
        <v>24</v>
      </c>
      <c r="Q17" s="211"/>
      <c r="R17" s="303"/>
      <c r="S17" s="303"/>
    </row>
    <row r="18" spans="2:19" x14ac:dyDescent="0.25">
      <c r="B18" s="404" t="s">
        <v>32</v>
      </c>
      <c r="C18" s="405" t="s">
        <v>18</v>
      </c>
      <c r="D18" s="406" t="s">
        <v>27</v>
      </c>
      <c r="E18" s="405" t="s">
        <v>18</v>
      </c>
      <c r="F18" s="406" t="s">
        <v>20</v>
      </c>
      <c r="G18" s="407">
        <v>18</v>
      </c>
      <c r="H18" s="406" t="s">
        <v>34</v>
      </c>
      <c r="I18" s="406" t="s">
        <v>22</v>
      </c>
      <c r="J18" s="441" t="s">
        <v>593</v>
      </c>
      <c r="K18" s="442"/>
      <c r="L18" s="443"/>
      <c r="M18" s="408">
        <f>M13</f>
        <v>24</v>
      </c>
      <c r="N18" s="408">
        <f>N13</f>
        <v>50</v>
      </c>
      <c r="O18" s="408" t="str">
        <f t="shared" si="1"/>
        <v>EBS/THC/DOC/T3/ETS</v>
      </c>
      <c r="P18" s="409" t="s">
        <v>24</v>
      </c>
      <c r="Q18" s="410" t="s">
        <v>593</v>
      </c>
      <c r="R18" s="303"/>
      <c r="S18" s="303"/>
    </row>
    <row r="19" spans="2:19" x14ac:dyDescent="0.25">
      <c r="B19" s="177" t="s">
        <v>32</v>
      </c>
      <c r="C19" s="66" t="s">
        <v>18</v>
      </c>
      <c r="D19" s="65" t="s">
        <v>31</v>
      </c>
      <c r="E19" s="66" t="s">
        <v>18</v>
      </c>
      <c r="F19" s="65" t="s">
        <v>20</v>
      </c>
      <c r="G19" s="74">
        <v>28</v>
      </c>
      <c r="H19" s="65" t="s">
        <v>34</v>
      </c>
      <c r="I19" s="65" t="s">
        <v>22</v>
      </c>
      <c r="J19" s="317" t="s">
        <v>624</v>
      </c>
      <c r="K19" s="317" t="s">
        <v>625</v>
      </c>
      <c r="L19" s="310">
        <v>1840</v>
      </c>
      <c r="M19" s="205">
        <f>M13</f>
        <v>24</v>
      </c>
      <c r="N19" s="205">
        <f>N13</f>
        <v>50</v>
      </c>
      <c r="O19" s="205" t="str">
        <f t="shared" si="1"/>
        <v>EBS/THC/DOC/T3/ETS</v>
      </c>
      <c r="P19" s="206" t="s">
        <v>24</v>
      </c>
      <c r="Q19" s="211"/>
      <c r="R19" s="303"/>
      <c r="S19" s="303"/>
    </row>
    <row r="20" spans="2:19" x14ac:dyDescent="0.25">
      <c r="B20" s="177" t="s">
        <v>35</v>
      </c>
      <c r="C20" s="66" t="s">
        <v>18</v>
      </c>
      <c r="D20" s="65" t="s">
        <v>36</v>
      </c>
      <c r="E20" s="66" t="s">
        <v>18</v>
      </c>
      <c r="F20" s="65" t="s">
        <v>20</v>
      </c>
      <c r="G20" s="74">
        <v>66</v>
      </c>
      <c r="H20" s="65" t="s">
        <v>37</v>
      </c>
      <c r="I20" s="65" t="s">
        <v>22</v>
      </c>
      <c r="J20" s="317" t="s">
        <v>509</v>
      </c>
      <c r="K20" s="317" t="s">
        <v>38</v>
      </c>
      <c r="L20" s="310">
        <v>2500</v>
      </c>
      <c r="M20" s="205">
        <f t="shared" ref="M20:N20" si="2">M14</f>
        <v>24</v>
      </c>
      <c r="N20" s="205">
        <f t="shared" si="2"/>
        <v>50</v>
      </c>
      <c r="O20" s="205" t="str">
        <f t="shared" si="1"/>
        <v>EBS/THC/DOC/T3/ETS</v>
      </c>
      <c r="P20" s="206" t="s">
        <v>24</v>
      </c>
      <c r="Q20" s="211"/>
      <c r="R20" s="303"/>
      <c r="S20" s="303"/>
    </row>
    <row r="21" spans="2:19" x14ac:dyDescent="0.25">
      <c r="B21" s="177" t="s">
        <v>35</v>
      </c>
      <c r="C21" s="66" t="s">
        <v>18</v>
      </c>
      <c r="D21" s="65" t="s">
        <v>39</v>
      </c>
      <c r="E21" s="66" t="s">
        <v>18</v>
      </c>
      <c r="F21" s="65" t="s">
        <v>20</v>
      </c>
      <c r="G21" s="74">
        <v>51</v>
      </c>
      <c r="H21" s="65" t="s">
        <v>37</v>
      </c>
      <c r="I21" s="65" t="s">
        <v>22</v>
      </c>
      <c r="J21" s="317" t="s">
        <v>509</v>
      </c>
      <c r="K21" s="317" t="s">
        <v>38</v>
      </c>
      <c r="L21" s="310">
        <v>2500</v>
      </c>
      <c r="M21" s="205">
        <f>M13</f>
        <v>24</v>
      </c>
      <c r="N21" s="205">
        <f>N13</f>
        <v>50</v>
      </c>
      <c r="O21" s="205" t="str">
        <f t="shared" si="1"/>
        <v>EBS/THC/DOC/T3/ETS</v>
      </c>
      <c r="P21" s="206" t="s">
        <v>24</v>
      </c>
      <c r="Q21" s="211"/>
      <c r="R21" s="303"/>
      <c r="S21" s="303"/>
    </row>
    <row r="22" spans="2:19" x14ac:dyDescent="0.25">
      <c r="B22" s="304" t="s">
        <v>35</v>
      </c>
      <c r="C22" s="305" t="s">
        <v>18</v>
      </c>
      <c r="D22" s="306" t="s">
        <v>40</v>
      </c>
      <c r="E22" s="305" t="s">
        <v>18</v>
      </c>
      <c r="F22" s="306" t="s">
        <v>20</v>
      </c>
      <c r="G22" s="307">
        <v>74</v>
      </c>
      <c r="H22" s="306" t="s">
        <v>37</v>
      </c>
      <c r="I22" s="306" t="s">
        <v>22</v>
      </c>
      <c r="J22" s="432" t="s">
        <v>509</v>
      </c>
      <c r="K22" s="432" t="s">
        <v>38</v>
      </c>
      <c r="L22" s="433">
        <v>2500</v>
      </c>
      <c r="M22" s="212">
        <f>M13</f>
        <v>24</v>
      </c>
      <c r="N22" s="212">
        <f>N13</f>
        <v>50</v>
      </c>
      <c r="O22" s="308" t="str">
        <f t="shared" si="1"/>
        <v>EBS/THC/DOC/T3/ETS</v>
      </c>
      <c r="P22" s="308" t="s">
        <v>24</v>
      </c>
      <c r="Q22" s="309"/>
      <c r="R22" s="303"/>
      <c r="S22" s="303"/>
    </row>
    <row r="23" spans="2:19" ht="27.75" customHeight="1" x14ac:dyDescent="0.25">
      <c r="B23" s="46"/>
      <c r="C23" s="46"/>
      <c r="D23" s="46"/>
      <c r="E23" s="46"/>
      <c r="F23" s="46"/>
      <c r="I23" s="46"/>
      <c r="J23" s="50"/>
      <c r="K23" s="50"/>
      <c r="L23" s="51"/>
      <c r="M23" s="51"/>
      <c r="N23" s="51"/>
      <c r="O23" s="51"/>
    </row>
    <row r="24" spans="2:19" customFormat="1" ht="13.8" thickBot="1" x14ac:dyDescent="0.3">
      <c r="B24" s="46"/>
      <c r="C24" s="46"/>
      <c r="D24" s="46"/>
      <c r="E24" s="46"/>
      <c r="F24" s="46"/>
      <c r="G24" s="41"/>
      <c r="H24" s="41"/>
      <c r="I24" s="41"/>
      <c r="J24" s="40"/>
      <c r="K24" s="41"/>
    </row>
    <row r="25" spans="2:19" customFormat="1" ht="13.8" thickBot="1" x14ac:dyDescent="0.3">
      <c r="B25" s="445" t="s">
        <v>41</v>
      </c>
      <c r="C25" s="446"/>
      <c r="D25" s="446"/>
      <c r="E25" s="446"/>
      <c r="F25" s="446"/>
      <c r="G25" s="446"/>
      <c r="H25" s="446"/>
      <c r="I25" s="446"/>
      <c r="J25" s="446"/>
      <c r="K25" s="446"/>
      <c r="L25" s="446"/>
      <c r="M25" s="446"/>
      <c r="N25" s="446"/>
      <c r="O25" s="447"/>
    </row>
    <row r="26" spans="2:19" customFormat="1" x14ac:dyDescent="0.25">
      <c r="B26" s="4" t="s">
        <v>42</v>
      </c>
      <c r="C26" s="103"/>
      <c r="D26" s="104"/>
      <c r="E26" s="104"/>
      <c r="F26" s="104"/>
      <c r="G26" s="105"/>
      <c r="H26" s="5"/>
      <c r="I26" s="5"/>
      <c r="K26" s="2"/>
      <c r="L26" s="444"/>
      <c r="M26" s="444"/>
      <c r="N26" s="444"/>
      <c r="O26" s="19"/>
    </row>
    <row r="27" spans="2:19" customFormat="1" x14ac:dyDescent="0.25">
      <c r="B27" s="9" t="s">
        <v>527</v>
      </c>
      <c r="C27" s="7"/>
      <c r="D27" s="8"/>
      <c r="E27" s="8"/>
      <c r="F27" s="8"/>
      <c r="G27" s="152"/>
      <c r="H27" s="152"/>
      <c r="I27" s="152"/>
      <c r="K27" s="2"/>
      <c r="L27" s="444"/>
      <c r="M27" s="444"/>
      <c r="N27" s="444"/>
      <c r="O27" s="19"/>
      <c r="Q27" s="431"/>
      <c r="R27" s="431"/>
    </row>
    <row r="28" spans="2:19" customFormat="1" x14ac:dyDescent="0.25">
      <c r="B28" s="210" t="s">
        <v>43</v>
      </c>
      <c r="C28" s="7"/>
      <c r="D28" s="8"/>
      <c r="E28" s="8"/>
      <c r="F28" s="8"/>
      <c r="G28" s="152"/>
      <c r="H28" s="152"/>
      <c r="I28" s="152"/>
      <c r="K28" s="2"/>
      <c r="L28" s="444"/>
      <c r="M28" s="444"/>
      <c r="N28" s="444"/>
      <c r="O28" s="19"/>
      <c r="Q28" s="431"/>
      <c r="R28" s="431"/>
    </row>
    <row r="29" spans="2:19" customFormat="1" x14ac:dyDescent="0.25">
      <c r="B29" s="127" t="s">
        <v>598</v>
      </c>
      <c r="C29" s="184"/>
      <c r="D29" s="185"/>
      <c r="E29" s="321"/>
      <c r="F29" s="321"/>
      <c r="G29" s="322"/>
      <c r="H29" s="322"/>
      <c r="I29" s="152"/>
      <c r="K29" s="2"/>
      <c r="L29" s="444"/>
      <c r="M29" s="444"/>
      <c r="N29" s="444"/>
      <c r="O29" s="19"/>
      <c r="Q29" s="431"/>
      <c r="R29" s="431"/>
    </row>
    <row r="30" spans="2:19" customFormat="1" x14ac:dyDescent="0.25">
      <c r="B30" s="127" t="s">
        <v>578</v>
      </c>
      <c r="C30" s="184"/>
      <c r="D30" s="185"/>
      <c r="E30" s="321"/>
      <c r="F30" s="321"/>
      <c r="G30" s="322"/>
      <c r="H30" s="322"/>
      <c r="I30" s="152"/>
      <c r="K30" s="2"/>
      <c r="L30" s="444"/>
      <c r="M30" s="444"/>
      <c r="N30" s="444"/>
      <c r="O30" s="19"/>
      <c r="Q30" s="431"/>
      <c r="R30" s="431"/>
    </row>
    <row r="31" spans="2:19" customFormat="1" x14ac:dyDescent="0.25">
      <c r="B31" s="6" t="s">
        <v>44</v>
      </c>
      <c r="C31" s="7"/>
      <c r="D31" s="8"/>
      <c r="E31" s="8"/>
      <c r="F31" s="8"/>
      <c r="G31" s="152"/>
      <c r="H31" s="152"/>
      <c r="I31" s="152"/>
      <c r="K31" s="151"/>
      <c r="L31" s="444"/>
      <c r="M31" s="444"/>
      <c r="N31" s="444"/>
      <c r="O31" s="19"/>
      <c r="Q31" s="431"/>
      <c r="R31" s="431"/>
    </row>
    <row r="32" spans="2:19" customFormat="1" x14ac:dyDescent="0.25">
      <c r="B32" s="4" t="s">
        <v>45</v>
      </c>
      <c r="C32" s="10"/>
      <c r="D32" s="11"/>
      <c r="E32" s="11"/>
      <c r="F32" s="11"/>
      <c r="G32" s="149"/>
      <c r="H32" s="42"/>
      <c r="I32" s="5"/>
      <c r="K32" s="1"/>
      <c r="L32" s="33"/>
      <c r="O32" s="19"/>
      <c r="Q32" s="431"/>
      <c r="R32" s="431"/>
    </row>
    <row r="33" spans="2:18" customFormat="1" x14ac:dyDescent="0.25">
      <c r="B33" s="13" t="s">
        <v>46</v>
      </c>
      <c r="C33" s="153"/>
      <c r="D33" s="154"/>
      <c r="E33" s="154"/>
      <c r="F33" s="154"/>
      <c r="G33" s="155"/>
      <c r="H33" s="156"/>
      <c r="I33" s="43"/>
      <c r="K33" s="1"/>
      <c r="L33" s="33"/>
      <c r="M33" s="157"/>
      <c r="O33" s="19"/>
      <c r="Q33" s="431"/>
      <c r="R33" s="431"/>
    </row>
    <row r="34" spans="2:18" customFormat="1" x14ac:dyDescent="0.25">
      <c r="B34" s="4" t="s">
        <v>47</v>
      </c>
      <c r="C34" s="10"/>
      <c r="D34" s="11"/>
      <c r="E34" s="11"/>
      <c r="F34" s="11"/>
      <c r="G34" s="149"/>
      <c r="H34" s="42"/>
      <c r="I34" s="5"/>
      <c r="J34" s="1"/>
      <c r="K34" s="1"/>
      <c r="L34" s="33"/>
      <c r="M34" s="3"/>
      <c r="O34" s="19"/>
      <c r="Q34" s="431"/>
      <c r="R34" s="431"/>
    </row>
    <row r="35" spans="2:18" customFormat="1" x14ac:dyDescent="0.25">
      <c r="B35" s="4" t="s">
        <v>48</v>
      </c>
      <c r="C35" s="10"/>
      <c r="D35" s="11"/>
      <c r="E35" s="11"/>
      <c r="F35" s="11"/>
      <c r="G35" s="149"/>
      <c r="H35" s="42"/>
      <c r="I35" s="5"/>
      <c r="J35" s="1"/>
      <c r="K35" s="1"/>
      <c r="L35" s="33"/>
      <c r="M35" s="3"/>
      <c r="O35" s="19"/>
      <c r="Q35" s="431"/>
      <c r="R35" s="431"/>
    </row>
    <row r="36" spans="2:18" customFormat="1" x14ac:dyDescent="0.25">
      <c r="B36" s="47" t="s">
        <v>545</v>
      </c>
      <c r="C36" s="14"/>
      <c r="D36" s="15"/>
      <c r="E36" s="15"/>
      <c r="F36" s="15"/>
      <c r="G36" s="147"/>
      <c r="H36" s="148"/>
      <c r="I36" s="148"/>
      <c r="K36" s="1"/>
      <c r="M36" s="3"/>
      <c r="O36" s="19"/>
      <c r="Q36" s="431"/>
      <c r="R36" s="431"/>
    </row>
    <row r="37" spans="2:18" customFormat="1" x14ac:dyDescent="0.25">
      <c r="B37" s="47" t="s">
        <v>49</v>
      </c>
      <c r="C37" s="14"/>
      <c r="D37" s="15"/>
      <c r="E37" s="15"/>
      <c r="F37" s="15"/>
      <c r="G37" s="147"/>
      <c r="H37" s="148"/>
      <c r="I37" s="148"/>
      <c r="K37" s="1"/>
      <c r="M37" s="3"/>
      <c r="O37" s="19"/>
      <c r="Q37" s="431"/>
      <c r="R37" s="431"/>
    </row>
    <row r="38" spans="2:18" customFormat="1" x14ac:dyDescent="0.25">
      <c r="B38" s="127" t="s">
        <v>600</v>
      </c>
      <c r="C38" s="127"/>
      <c r="D38" s="127"/>
      <c r="E38" s="127"/>
      <c r="F38" s="127"/>
      <c r="G38" s="297" t="s">
        <v>557</v>
      </c>
      <c r="H38" s="148"/>
      <c r="I38" s="148"/>
      <c r="K38" s="1"/>
      <c r="M38" s="3"/>
      <c r="O38" s="19"/>
      <c r="Q38" s="431"/>
      <c r="R38" s="431"/>
    </row>
    <row r="39" spans="2:18" customFormat="1" x14ac:dyDescent="0.25">
      <c r="B39" s="141"/>
      <c r="G39" s="1"/>
      <c r="H39" s="1"/>
      <c r="I39" s="1"/>
      <c r="K39" s="1"/>
      <c r="O39" s="19"/>
      <c r="Q39" s="431"/>
      <c r="R39" s="431"/>
    </row>
    <row r="40" spans="2:18" customFormat="1" x14ac:dyDescent="0.25">
      <c r="B40" s="47" t="s">
        <v>50</v>
      </c>
      <c r="C40" s="14"/>
      <c r="D40" s="15"/>
      <c r="E40" s="15"/>
      <c r="F40" s="15"/>
      <c r="G40" s="147"/>
      <c r="H40" s="148"/>
      <c r="I40" s="148"/>
      <c r="K40" s="1"/>
      <c r="O40" s="19"/>
      <c r="Q40" s="431"/>
      <c r="R40" s="431"/>
    </row>
    <row r="41" spans="2:18" customFormat="1" ht="14.4" x14ac:dyDescent="0.3">
      <c r="B41" s="16" t="s">
        <v>51</v>
      </c>
      <c r="C41" s="10"/>
      <c r="D41" s="11"/>
      <c r="E41" s="11"/>
      <c r="F41" s="11"/>
      <c r="G41" s="149"/>
      <c r="H41" s="42"/>
      <c r="I41" s="42"/>
      <c r="K41" s="1"/>
      <c r="O41" s="19"/>
      <c r="Q41" s="431"/>
      <c r="R41" s="431"/>
    </row>
    <row r="42" spans="2:18" customFormat="1" ht="14.4" x14ac:dyDescent="0.3">
      <c r="B42" s="16" t="s">
        <v>52</v>
      </c>
      <c r="C42" s="10"/>
      <c r="D42" s="10"/>
      <c r="E42" s="10"/>
      <c r="F42" s="10"/>
      <c r="G42" s="42"/>
      <c r="H42" s="42"/>
      <c r="I42" s="42"/>
      <c r="K42" s="1"/>
      <c r="O42" s="19"/>
    </row>
    <row r="43" spans="2:18" customFormat="1" x14ac:dyDescent="0.25">
      <c r="B43" s="141"/>
      <c r="G43" s="1"/>
      <c r="H43" s="1"/>
      <c r="I43" s="1"/>
      <c r="K43" s="1"/>
      <c r="O43" s="19"/>
    </row>
    <row r="44" spans="2:18" customFormat="1" ht="13.8" x14ac:dyDescent="0.25">
      <c r="B44" s="158" t="s">
        <v>53</v>
      </c>
      <c r="C44" s="150"/>
      <c r="D44" s="3"/>
      <c r="E44" s="3"/>
      <c r="F44" s="3"/>
      <c r="G44" s="3"/>
      <c r="H44" s="3"/>
      <c r="I44" s="1"/>
      <c r="J44" s="1"/>
      <c r="K44" s="1"/>
      <c r="O44" s="19"/>
    </row>
    <row r="45" spans="2:18" customFormat="1" ht="13.8" x14ac:dyDescent="0.25">
      <c r="B45" s="158" t="s">
        <v>54</v>
      </c>
      <c r="C45" s="150"/>
      <c r="D45" s="3"/>
      <c r="E45" s="3"/>
      <c r="F45" s="3"/>
      <c r="G45" s="3"/>
      <c r="H45" s="3"/>
      <c r="I45" s="1"/>
      <c r="J45" s="1"/>
      <c r="K45" s="1"/>
      <c r="O45" s="19"/>
    </row>
    <row r="46" spans="2:18" customFormat="1" ht="13.8" x14ac:dyDescent="0.25">
      <c r="B46" s="159" t="s">
        <v>55</v>
      </c>
      <c r="C46" s="150"/>
      <c r="D46" s="3"/>
      <c r="E46" s="3"/>
      <c r="F46" s="3"/>
      <c r="G46" s="3"/>
      <c r="H46" s="3"/>
      <c r="I46" s="1"/>
      <c r="J46" s="1"/>
      <c r="K46" s="1"/>
      <c r="O46" s="19"/>
    </row>
    <row r="47" spans="2:18" customFormat="1" ht="13.8" x14ac:dyDescent="0.25">
      <c r="B47" s="159" t="s">
        <v>56</v>
      </c>
      <c r="C47" s="160"/>
      <c r="D47" s="3"/>
      <c r="E47" s="3"/>
      <c r="F47" s="3"/>
      <c r="G47" s="3"/>
      <c r="H47" s="3"/>
      <c r="I47" s="1"/>
      <c r="J47" s="1"/>
      <c r="K47" s="1"/>
      <c r="O47" s="19"/>
    </row>
    <row r="48" spans="2:18" customFormat="1" ht="13.8" x14ac:dyDescent="0.25">
      <c r="B48" s="161" t="s">
        <v>57</v>
      </c>
      <c r="C48" s="160"/>
      <c r="D48" s="3"/>
      <c r="E48" s="3"/>
      <c r="F48" s="3"/>
      <c r="G48" s="3"/>
      <c r="H48" s="3"/>
      <c r="I48" s="1"/>
      <c r="J48" s="1"/>
      <c r="K48" s="1"/>
      <c r="O48" s="19"/>
    </row>
    <row r="49" spans="2:15" customFormat="1" ht="13.8" x14ac:dyDescent="0.25">
      <c r="B49" s="159" t="s">
        <v>58</v>
      </c>
      <c r="C49" s="162"/>
      <c r="D49" s="3"/>
      <c r="E49" s="3"/>
      <c r="F49" s="3"/>
      <c r="G49" s="3"/>
      <c r="H49" s="3"/>
      <c r="I49" s="39"/>
      <c r="J49" s="39"/>
      <c r="K49" s="39"/>
      <c r="L49" s="3"/>
      <c r="O49" s="19"/>
    </row>
    <row r="50" spans="2:15" customFormat="1" ht="13.8" x14ac:dyDescent="0.25">
      <c r="B50" s="99" t="s">
        <v>59</v>
      </c>
      <c r="C50" s="160"/>
      <c r="D50" s="3"/>
      <c r="E50" s="3"/>
      <c r="F50" s="3"/>
      <c r="G50" s="3"/>
      <c r="H50" s="3"/>
      <c r="I50" s="1"/>
      <c r="J50" s="1"/>
      <c r="K50" s="1"/>
      <c r="O50" s="19"/>
    </row>
    <row r="51" spans="2:15" customFormat="1" ht="13.8" thickBot="1" x14ac:dyDescent="0.3">
      <c r="B51" s="163" t="s">
        <v>60</v>
      </c>
      <c r="C51" s="164"/>
      <c r="D51" s="164"/>
      <c r="E51" s="164"/>
      <c r="F51" s="164"/>
      <c r="G51" s="164"/>
      <c r="H51" s="164"/>
      <c r="I51" s="55"/>
      <c r="J51" s="55"/>
      <c r="K51" s="55"/>
      <c r="L51" s="32"/>
      <c r="M51" s="32"/>
      <c r="N51" s="32"/>
      <c r="O51" s="20"/>
    </row>
    <row r="52" spans="2:15" customFormat="1" x14ac:dyDescent="0.25">
      <c r="B52" s="31"/>
      <c r="C52" s="3"/>
      <c r="D52" s="3"/>
      <c r="E52" s="3"/>
      <c r="F52" s="3"/>
      <c r="G52" s="3"/>
      <c r="H52" s="3"/>
      <c r="I52" s="1"/>
      <c r="J52" s="1"/>
      <c r="K52" s="1"/>
    </row>
    <row r="53" spans="2:15" customFormat="1" x14ac:dyDescent="0.25">
      <c r="J53" s="1"/>
      <c r="K53" s="1"/>
      <c r="L53" s="1"/>
    </row>
    <row r="54" spans="2:15" customFormat="1" ht="14.4" x14ac:dyDescent="0.3">
      <c r="B54" s="60"/>
      <c r="C54" s="60"/>
      <c r="D54" s="61"/>
      <c r="J54" s="1"/>
      <c r="K54" s="1"/>
      <c r="L54" s="1"/>
    </row>
    <row r="55" spans="2:15" customFormat="1" ht="14.4" x14ac:dyDescent="0.3">
      <c r="B55" s="62"/>
      <c r="C55" s="62"/>
      <c r="D55" s="61"/>
      <c r="J55" s="1"/>
      <c r="K55" s="1"/>
      <c r="L55" s="1"/>
    </row>
    <row r="56" spans="2:15" customFormat="1" x14ac:dyDescent="0.25">
      <c r="G56" s="1"/>
      <c r="H56" s="1"/>
      <c r="I56" s="1"/>
      <c r="K56" s="1"/>
    </row>
    <row r="57" spans="2:15" customFormat="1" x14ac:dyDescent="0.25">
      <c r="G57" s="1"/>
      <c r="H57" s="1"/>
      <c r="I57" s="1"/>
      <c r="K57" s="1"/>
    </row>
  </sheetData>
  <autoFilter ref="B9:Q22" xr:uid="{00000000-0001-0000-0000-000000000000}"/>
  <mergeCells count="10">
    <mergeCell ref="J18:L18"/>
    <mergeCell ref="J13:L13"/>
    <mergeCell ref="L31:N31"/>
    <mergeCell ref="B25:J25"/>
    <mergeCell ref="L27:N27"/>
    <mergeCell ref="L28:N28"/>
    <mergeCell ref="L29:N29"/>
    <mergeCell ref="L30:N30"/>
    <mergeCell ref="L26:N26"/>
    <mergeCell ref="K25:O25"/>
  </mergeCells>
  <phoneticPr fontId="14" type="noConversion"/>
  <conditionalFormatting sqref="B28">
    <cfRule type="duplicateValues" dxfId="62" priority="6" stopIfTrue="1"/>
  </conditionalFormatting>
  <conditionalFormatting sqref="B33">
    <cfRule type="duplicateValues" dxfId="61" priority="9" stopIfTrue="1"/>
  </conditionalFormatting>
  <conditionalFormatting sqref="B34">
    <cfRule type="duplicateValues" dxfId="60" priority="8" stopIfTrue="1"/>
  </conditionalFormatting>
  <conditionalFormatting sqref="B35">
    <cfRule type="duplicateValues" dxfId="59" priority="4" stopIfTrue="1"/>
  </conditionalFormatting>
  <conditionalFormatting sqref="B36:B37">
    <cfRule type="duplicateValues" dxfId="58" priority="7" stopIfTrue="1"/>
  </conditionalFormatting>
  <conditionalFormatting sqref="B40:B42 B25:B27 B29:B32">
    <cfRule type="duplicateValues" dxfId="57" priority="10" stopIfTrue="1"/>
  </conditionalFormatting>
  <conditionalFormatting sqref="B38:F38">
    <cfRule type="duplicateValues" dxfId="56" priority="1" stopIfTrue="1"/>
  </conditionalFormatting>
  <conditionalFormatting sqref="D23:E23">
    <cfRule type="duplicateValues" dxfId="55" priority="16" stopIfTrue="1"/>
  </conditionalFormatting>
  <conditionalFormatting sqref="K25">
    <cfRule type="duplicateValues" dxfId="54" priority="2" stopIfTrue="1"/>
  </conditionalFormatting>
  <hyperlinks>
    <hyperlink ref="B41" r:id="rId1" xr:uid="{00000000-0004-0000-0000-000000000000}"/>
    <hyperlink ref="B42" r:id="rId2" xr:uid="{00000000-0004-0000-0000-000001000000}"/>
    <hyperlink ref="G38" r:id="rId3" display="https://moc.oocl.com/wls_prs_rp/public/ruleTariff/OOLL-100/T-53/display/20260323" xr:uid="{333F2FBD-6818-4155-B31C-B278D0FEFB3D}"/>
  </hyperlinks>
  <pageMargins left="0.75" right="0.75" top="1" bottom="1" header="0.5" footer="0.5"/>
  <pageSetup paperSize="9" orientation="portrait" r:id="rId4"/>
  <customProperties>
    <customPr name="EpmWorksheetKeyString_GUID" r:id="rId5"/>
  </customProperties>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51E78-74D7-47CE-8239-DF1B6AE860F8}">
  <sheetPr codeName="Sheet1"/>
  <dimension ref="A1:P98"/>
  <sheetViews>
    <sheetView workbookViewId="0">
      <pane xSplit="5" ySplit="8" topLeftCell="F59" activePane="bottomRight" state="frozen"/>
      <selection activeCell="C77" sqref="C77"/>
      <selection pane="topRight" activeCell="C77" sqref="C77"/>
      <selection pane="bottomLeft" activeCell="C77" sqref="C77"/>
      <selection pane="bottomRight" activeCell="C77" sqref="C77"/>
    </sheetView>
  </sheetViews>
  <sheetFormatPr baseColWidth="10" defaultColWidth="8.88671875" defaultRowHeight="13.2" x14ac:dyDescent="0.25"/>
  <cols>
    <col min="1" max="1" width="3.6640625" style="31" customWidth="1"/>
    <col min="2" max="2" width="15.44140625" style="31" customWidth="1"/>
    <col min="3" max="3" width="32.44140625" style="31" customWidth="1"/>
    <col min="4" max="4" width="9" style="31" customWidth="1"/>
    <col min="5" max="5" width="52.5546875" style="31" customWidth="1"/>
    <col min="6" max="6" width="14.33203125" style="31" customWidth="1"/>
    <col min="7" max="7" width="10.6640625" style="21" customWidth="1"/>
    <col min="8" max="8" width="7.44140625" style="31" customWidth="1"/>
    <col min="9" max="9" width="7.6640625" style="21" customWidth="1"/>
    <col min="10" max="10" width="40.5546875" style="21" customWidth="1"/>
    <col min="11" max="11" width="10" style="54" customWidth="1"/>
    <col min="12" max="12" width="6.88671875" style="54" customWidth="1"/>
    <col min="13" max="13" width="11.6640625" style="54" bestFit="1" customWidth="1"/>
    <col min="14" max="14" width="23.6640625" style="54" customWidth="1"/>
    <col min="15" max="245" width="8.6640625" style="31"/>
    <col min="246" max="246" width="2.44140625" style="31" customWidth="1"/>
    <col min="247" max="247" width="15.33203125" style="31" customWidth="1"/>
    <col min="248" max="248" width="17.33203125" style="31" customWidth="1"/>
    <col min="249" max="249" width="3.5546875" style="31" customWidth="1"/>
    <col min="250" max="250" width="17.33203125" style="31" customWidth="1"/>
    <col min="251" max="251" width="0.33203125" style="31" customWidth="1"/>
    <col min="252" max="252" width="4.6640625" style="31" customWidth="1"/>
    <col min="253" max="254" width="7.6640625" style="31" customWidth="1"/>
    <col min="255" max="260" width="8.6640625" style="31" customWidth="1"/>
    <col min="261" max="263" width="10.6640625" style="31" customWidth="1"/>
    <col min="264" max="264" width="25.5546875" style="31" customWidth="1"/>
    <col min="265" max="265" width="9.33203125" style="31" customWidth="1"/>
    <col min="266" max="266" width="14.33203125" style="31" customWidth="1"/>
    <col min="267" max="267" width="12.44140625" style="31" customWidth="1"/>
    <col min="268" max="501" width="8.6640625" style="31"/>
    <col min="502" max="502" width="2.44140625" style="31" customWidth="1"/>
    <col min="503" max="503" width="15.33203125" style="31" customWidth="1"/>
    <col min="504" max="504" width="17.33203125" style="31" customWidth="1"/>
    <col min="505" max="505" width="3.5546875" style="31" customWidth="1"/>
    <col min="506" max="506" width="17.33203125" style="31" customWidth="1"/>
    <col min="507" max="507" width="0.33203125" style="31" customWidth="1"/>
    <col min="508" max="508" width="4.6640625" style="31" customWidth="1"/>
    <col min="509" max="510" width="7.6640625" style="31" customWidth="1"/>
    <col min="511" max="516" width="8.6640625" style="31" customWidth="1"/>
    <col min="517" max="519" width="10.6640625" style="31" customWidth="1"/>
    <col min="520" max="520" width="25.5546875" style="31" customWidth="1"/>
    <col min="521" max="521" width="9.33203125" style="31" customWidth="1"/>
    <col min="522" max="522" width="14.33203125" style="31" customWidth="1"/>
    <col min="523" max="523" width="12.44140625" style="31" customWidth="1"/>
    <col min="524" max="757" width="8.6640625" style="31"/>
    <col min="758" max="758" width="2.44140625" style="31" customWidth="1"/>
    <col min="759" max="759" width="15.33203125" style="31" customWidth="1"/>
    <col min="760" max="760" width="17.33203125" style="31" customWidth="1"/>
    <col min="761" max="761" width="3.5546875" style="31" customWidth="1"/>
    <col min="762" max="762" width="17.33203125" style="31" customWidth="1"/>
    <col min="763" max="763" width="0.33203125" style="31" customWidth="1"/>
    <col min="764" max="764" width="4.6640625" style="31" customWidth="1"/>
    <col min="765" max="766" width="7.6640625" style="31" customWidth="1"/>
    <col min="767" max="772" width="8.6640625" style="31" customWidth="1"/>
    <col min="773" max="775" width="10.6640625" style="31" customWidth="1"/>
    <col min="776" max="776" width="25.5546875" style="31" customWidth="1"/>
    <col min="777" max="777" width="9.33203125" style="31" customWidth="1"/>
    <col min="778" max="778" width="14.33203125" style="31" customWidth="1"/>
    <col min="779" max="779" width="12.44140625" style="31" customWidth="1"/>
    <col min="780" max="1013" width="8.6640625" style="31"/>
    <col min="1014" max="1014" width="2.44140625" style="31" customWidth="1"/>
    <col min="1015" max="1015" width="15.33203125" style="31" customWidth="1"/>
    <col min="1016" max="1016" width="17.33203125" style="31" customWidth="1"/>
    <col min="1017" max="1017" width="3.5546875" style="31" customWidth="1"/>
    <col min="1018" max="1018" width="17.33203125" style="31" customWidth="1"/>
    <col min="1019" max="1019" width="0.33203125" style="31" customWidth="1"/>
    <col min="1020" max="1020" width="4.6640625" style="31" customWidth="1"/>
    <col min="1021" max="1022" width="7.6640625" style="31" customWidth="1"/>
    <col min="1023" max="1028" width="8.6640625" style="31" customWidth="1"/>
    <col min="1029" max="1031" width="10.6640625" style="31" customWidth="1"/>
    <col min="1032" max="1032" width="25.5546875" style="31" customWidth="1"/>
    <col min="1033" max="1033" width="9.33203125" style="31" customWidth="1"/>
    <col min="1034" max="1034" width="14.33203125" style="31" customWidth="1"/>
    <col min="1035" max="1035" width="12.44140625" style="31" customWidth="1"/>
    <col min="1036" max="1269" width="8.6640625" style="31"/>
    <col min="1270" max="1270" width="2.44140625" style="31" customWidth="1"/>
    <col min="1271" max="1271" width="15.33203125" style="31" customWidth="1"/>
    <col min="1272" max="1272" width="17.33203125" style="31" customWidth="1"/>
    <col min="1273" max="1273" width="3.5546875" style="31" customWidth="1"/>
    <col min="1274" max="1274" width="17.33203125" style="31" customWidth="1"/>
    <col min="1275" max="1275" width="0.33203125" style="31" customWidth="1"/>
    <col min="1276" max="1276" width="4.6640625" style="31" customWidth="1"/>
    <col min="1277" max="1278" width="7.6640625" style="31" customWidth="1"/>
    <col min="1279" max="1284" width="8.6640625" style="31" customWidth="1"/>
    <col min="1285" max="1287" width="10.6640625" style="31" customWidth="1"/>
    <col min="1288" max="1288" width="25.5546875" style="31" customWidth="1"/>
    <col min="1289" max="1289" width="9.33203125" style="31" customWidth="1"/>
    <col min="1290" max="1290" width="14.33203125" style="31" customWidth="1"/>
    <col min="1291" max="1291" width="12.44140625" style="31" customWidth="1"/>
    <col min="1292" max="1525" width="8.6640625" style="31"/>
    <col min="1526" max="1526" width="2.44140625" style="31" customWidth="1"/>
    <col min="1527" max="1527" width="15.33203125" style="31" customWidth="1"/>
    <col min="1528" max="1528" width="17.33203125" style="31" customWidth="1"/>
    <col min="1529" max="1529" width="3.5546875" style="31" customWidth="1"/>
    <col min="1530" max="1530" width="17.33203125" style="31" customWidth="1"/>
    <col min="1531" max="1531" width="0.33203125" style="31" customWidth="1"/>
    <col min="1532" max="1532" width="4.6640625" style="31" customWidth="1"/>
    <col min="1533" max="1534" width="7.6640625" style="31" customWidth="1"/>
    <col min="1535" max="1540" width="8.6640625" style="31" customWidth="1"/>
    <col min="1541" max="1543" width="10.6640625" style="31" customWidth="1"/>
    <col min="1544" max="1544" width="25.5546875" style="31" customWidth="1"/>
    <col min="1545" max="1545" width="9.33203125" style="31" customWidth="1"/>
    <col min="1546" max="1546" width="14.33203125" style="31" customWidth="1"/>
    <col min="1547" max="1547" width="12.44140625" style="31" customWidth="1"/>
    <col min="1548" max="1781" width="8.6640625" style="31"/>
    <col min="1782" max="1782" width="2.44140625" style="31" customWidth="1"/>
    <col min="1783" max="1783" width="15.33203125" style="31" customWidth="1"/>
    <col min="1784" max="1784" width="17.33203125" style="31" customWidth="1"/>
    <col min="1785" max="1785" width="3.5546875" style="31" customWidth="1"/>
    <col min="1786" max="1786" width="17.33203125" style="31" customWidth="1"/>
    <col min="1787" max="1787" width="0.33203125" style="31" customWidth="1"/>
    <col min="1788" max="1788" width="4.6640625" style="31" customWidth="1"/>
    <col min="1789" max="1790" width="7.6640625" style="31" customWidth="1"/>
    <col min="1791" max="1796" width="8.6640625" style="31" customWidth="1"/>
    <col min="1797" max="1799" width="10.6640625" style="31" customWidth="1"/>
    <col min="1800" max="1800" width="25.5546875" style="31" customWidth="1"/>
    <col min="1801" max="1801" width="9.33203125" style="31" customWidth="1"/>
    <col min="1802" max="1802" width="14.33203125" style="31" customWidth="1"/>
    <col min="1803" max="1803" width="12.44140625" style="31" customWidth="1"/>
    <col min="1804" max="2037" width="8.6640625" style="31"/>
    <col min="2038" max="2038" width="2.44140625" style="31" customWidth="1"/>
    <col min="2039" max="2039" width="15.33203125" style="31" customWidth="1"/>
    <col min="2040" max="2040" width="17.33203125" style="31" customWidth="1"/>
    <col min="2041" max="2041" width="3.5546875" style="31" customWidth="1"/>
    <col min="2042" max="2042" width="17.33203125" style="31" customWidth="1"/>
    <col min="2043" max="2043" width="0.33203125" style="31" customWidth="1"/>
    <col min="2044" max="2044" width="4.6640625" style="31" customWidth="1"/>
    <col min="2045" max="2046" width="7.6640625" style="31" customWidth="1"/>
    <col min="2047" max="2052" width="8.6640625" style="31" customWidth="1"/>
    <col min="2053" max="2055" width="10.6640625" style="31" customWidth="1"/>
    <col min="2056" max="2056" width="25.5546875" style="31" customWidth="1"/>
    <col min="2057" max="2057" width="9.33203125" style="31" customWidth="1"/>
    <col min="2058" max="2058" width="14.33203125" style="31" customWidth="1"/>
    <col min="2059" max="2059" width="12.44140625" style="31" customWidth="1"/>
    <col min="2060" max="2293" width="8.6640625" style="31"/>
    <col min="2294" max="2294" width="2.44140625" style="31" customWidth="1"/>
    <col min="2295" max="2295" width="15.33203125" style="31" customWidth="1"/>
    <col min="2296" max="2296" width="17.33203125" style="31" customWidth="1"/>
    <col min="2297" max="2297" width="3.5546875" style="31" customWidth="1"/>
    <col min="2298" max="2298" width="17.33203125" style="31" customWidth="1"/>
    <col min="2299" max="2299" width="0.33203125" style="31" customWidth="1"/>
    <col min="2300" max="2300" width="4.6640625" style="31" customWidth="1"/>
    <col min="2301" max="2302" width="7.6640625" style="31" customWidth="1"/>
    <col min="2303" max="2308" width="8.6640625" style="31" customWidth="1"/>
    <col min="2309" max="2311" width="10.6640625" style="31" customWidth="1"/>
    <col min="2312" max="2312" width="25.5546875" style="31" customWidth="1"/>
    <col min="2313" max="2313" width="9.33203125" style="31" customWidth="1"/>
    <col min="2314" max="2314" width="14.33203125" style="31" customWidth="1"/>
    <col min="2315" max="2315" width="12.44140625" style="31" customWidth="1"/>
    <col min="2316" max="2549" width="8.6640625" style="31"/>
    <col min="2550" max="2550" width="2.44140625" style="31" customWidth="1"/>
    <col min="2551" max="2551" width="15.33203125" style="31" customWidth="1"/>
    <col min="2552" max="2552" width="17.33203125" style="31" customWidth="1"/>
    <col min="2553" max="2553" width="3.5546875" style="31" customWidth="1"/>
    <col min="2554" max="2554" width="17.33203125" style="31" customWidth="1"/>
    <col min="2555" max="2555" width="0.33203125" style="31" customWidth="1"/>
    <col min="2556" max="2556" width="4.6640625" style="31" customWidth="1"/>
    <col min="2557" max="2558" width="7.6640625" style="31" customWidth="1"/>
    <col min="2559" max="2564" width="8.6640625" style="31" customWidth="1"/>
    <col min="2565" max="2567" width="10.6640625" style="31" customWidth="1"/>
    <col min="2568" max="2568" width="25.5546875" style="31" customWidth="1"/>
    <col min="2569" max="2569" width="9.33203125" style="31" customWidth="1"/>
    <col min="2570" max="2570" width="14.33203125" style="31" customWidth="1"/>
    <col min="2571" max="2571" width="12.44140625" style="31" customWidth="1"/>
    <col min="2572" max="2805" width="8.6640625" style="31"/>
    <col min="2806" max="2806" width="2.44140625" style="31" customWidth="1"/>
    <col min="2807" max="2807" width="15.33203125" style="31" customWidth="1"/>
    <col min="2808" max="2808" width="17.33203125" style="31" customWidth="1"/>
    <col min="2809" max="2809" width="3.5546875" style="31" customWidth="1"/>
    <col min="2810" max="2810" width="17.33203125" style="31" customWidth="1"/>
    <col min="2811" max="2811" width="0.33203125" style="31" customWidth="1"/>
    <col min="2812" max="2812" width="4.6640625" style="31" customWidth="1"/>
    <col min="2813" max="2814" width="7.6640625" style="31" customWidth="1"/>
    <col min="2815" max="2820" width="8.6640625" style="31" customWidth="1"/>
    <col min="2821" max="2823" width="10.6640625" style="31" customWidth="1"/>
    <col min="2824" max="2824" width="25.5546875" style="31" customWidth="1"/>
    <col min="2825" max="2825" width="9.33203125" style="31" customWidth="1"/>
    <col min="2826" max="2826" width="14.33203125" style="31" customWidth="1"/>
    <col min="2827" max="2827" width="12.44140625" style="31" customWidth="1"/>
    <col min="2828" max="3061" width="8.6640625" style="31"/>
    <col min="3062" max="3062" width="2.44140625" style="31" customWidth="1"/>
    <col min="3063" max="3063" width="15.33203125" style="31" customWidth="1"/>
    <col min="3064" max="3064" width="17.33203125" style="31" customWidth="1"/>
    <col min="3065" max="3065" width="3.5546875" style="31" customWidth="1"/>
    <col min="3066" max="3066" width="17.33203125" style="31" customWidth="1"/>
    <col min="3067" max="3067" width="0.33203125" style="31" customWidth="1"/>
    <col min="3068" max="3068" width="4.6640625" style="31" customWidth="1"/>
    <col min="3069" max="3070" width="7.6640625" style="31" customWidth="1"/>
    <col min="3071" max="3076" width="8.6640625" style="31" customWidth="1"/>
    <col min="3077" max="3079" width="10.6640625" style="31" customWidth="1"/>
    <col min="3080" max="3080" width="25.5546875" style="31" customWidth="1"/>
    <col min="3081" max="3081" width="9.33203125" style="31" customWidth="1"/>
    <col min="3082" max="3082" width="14.33203125" style="31" customWidth="1"/>
    <col min="3083" max="3083" width="12.44140625" style="31" customWidth="1"/>
    <col min="3084" max="3317" width="8.6640625" style="31"/>
    <col min="3318" max="3318" width="2.44140625" style="31" customWidth="1"/>
    <col min="3319" max="3319" width="15.33203125" style="31" customWidth="1"/>
    <col min="3320" max="3320" width="17.33203125" style="31" customWidth="1"/>
    <col min="3321" max="3321" width="3.5546875" style="31" customWidth="1"/>
    <col min="3322" max="3322" width="17.33203125" style="31" customWidth="1"/>
    <col min="3323" max="3323" width="0.33203125" style="31" customWidth="1"/>
    <col min="3324" max="3324" width="4.6640625" style="31" customWidth="1"/>
    <col min="3325" max="3326" width="7.6640625" style="31" customWidth="1"/>
    <col min="3327" max="3332" width="8.6640625" style="31" customWidth="1"/>
    <col min="3333" max="3335" width="10.6640625" style="31" customWidth="1"/>
    <col min="3336" max="3336" width="25.5546875" style="31" customWidth="1"/>
    <col min="3337" max="3337" width="9.33203125" style="31" customWidth="1"/>
    <col min="3338" max="3338" width="14.33203125" style="31" customWidth="1"/>
    <col min="3339" max="3339" width="12.44140625" style="31" customWidth="1"/>
    <col min="3340" max="3573" width="8.6640625" style="31"/>
    <col min="3574" max="3574" width="2.44140625" style="31" customWidth="1"/>
    <col min="3575" max="3575" width="15.33203125" style="31" customWidth="1"/>
    <col min="3576" max="3576" width="17.33203125" style="31" customWidth="1"/>
    <col min="3577" max="3577" width="3.5546875" style="31" customWidth="1"/>
    <col min="3578" max="3578" width="17.33203125" style="31" customWidth="1"/>
    <col min="3579" max="3579" width="0.33203125" style="31" customWidth="1"/>
    <col min="3580" max="3580" width="4.6640625" style="31" customWidth="1"/>
    <col min="3581" max="3582" width="7.6640625" style="31" customWidth="1"/>
    <col min="3583" max="3588" width="8.6640625" style="31" customWidth="1"/>
    <col min="3589" max="3591" width="10.6640625" style="31" customWidth="1"/>
    <col min="3592" max="3592" width="25.5546875" style="31" customWidth="1"/>
    <col min="3593" max="3593" width="9.33203125" style="31" customWidth="1"/>
    <col min="3594" max="3594" width="14.33203125" style="31" customWidth="1"/>
    <col min="3595" max="3595" width="12.44140625" style="31" customWidth="1"/>
    <col min="3596" max="3829" width="8.6640625" style="31"/>
    <col min="3830" max="3830" width="2.44140625" style="31" customWidth="1"/>
    <col min="3831" max="3831" width="15.33203125" style="31" customWidth="1"/>
    <col min="3832" max="3832" width="17.33203125" style="31" customWidth="1"/>
    <col min="3833" max="3833" width="3.5546875" style="31" customWidth="1"/>
    <col min="3834" max="3834" width="17.33203125" style="31" customWidth="1"/>
    <col min="3835" max="3835" width="0.33203125" style="31" customWidth="1"/>
    <col min="3836" max="3836" width="4.6640625" style="31" customWidth="1"/>
    <col min="3837" max="3838" width="7.6640625" style="31" customWidth="1"/>
    <col min="3839" max="3844" width="8.6640625" style="31" customWidth="1"/>
    <col min="3845" max="3847" width="10.6640625" style="31" customWidth="1"/>
    <col min="3848" max="3848" width="25.5546875" style="31" customWidth="1"/>
    <col min="3849" max="3849" width="9.33203125" style="31" customWidth="1"/>
    <col min="3850" max="3850" width="14.33203125" style="31" customWidth="1"/>
    <col min="3851" max="3851" width="12.44140625" style="31" customWidth="1"/>
    <col min="3852" max="4085" width="8.6640625" style="31"/>
    <col min="4086" max="4086" width="2.44140625" style="31" customWidth="1"/>
    <col min="4087" max="4087" width="15.33203125" style="31" customWidth="1"/>
    <col min="4088" max="4088" width="17.33203125" style="31" customWidth="1"/>
    <col min="4089" max="4089" width="3.5546875" style="31" customWidth="1"/>
    <col min="4090" max="4090" width="17.33203125" style="31" customWidth="1"/>
    <col min="4091" max="4091" width="0.33203125" style="31" customWidth="1"/>
    <col min="4092" max="4092" width="4.6640625" style="31" customWidth="1"/>
    <col min="4093" max="4094" width="7.6640625" style="31" customWidth="1"/>
    <col min="4095" max="4100" width="8.6640625" style="31" customWidth="1"/>
    <col min="4101" max="4103" width="10.6640625" style="31" customWidth="1"/>
    <col min="4104" max="4104" width="25.5546875" style="31" customWidth="1"/>
    <col min="4105" max="4105" width="9.33203125" style="31" customWidth="1"/>
    <col min="4106" max="4106" width="14.33203125" style="31" customWidth="1"/>
    <col min="4107" max="4107" width="12.44140625" style="31" customWidth="1"/>
    <col min="4108" max="4341" width="8.6640625" style="31"/>
    <col min="4342" max="4342" width="2.44140625" style="31" customWidth="1"/>
    <col min="4343" max="4343" width="15.33203125" style="31" customWidth="1"/>
    <col min="4344" max="4344" width="17.33203125" style="31" customWidth="1"/>
    <col min="4345" max="4345" width="3.5546875" style="31" customWidth="1"/>
    <col min="4346" max="4346" width="17.33203125" style="31" customWidth="1"/>
    <col min="4347" max="4347" width="0.33203125" style="31" customWidth="1"/>
    <col min="4348" max="4348" width="4.6640625" style="31" customWidth="1"/>
    <col min="4349" max="4350" width="7.6640625" style="31" customWidth="1"/>
    <col min="4351" max="4356" width="8.6640625" style="31" customWidth="1"/>
    <col min="4357" max="4359" width="10.6640625" style="31" customWidth="1"/>
    <col min="4360" max="4360" width="25.5546875" style="31" customWidth="1"/>
    <col min="4361" max="4361" width="9.33203125" style="31" customWidth="1"/>
    <col min="4362" max="4362" width="14.33203125" style="31" customWidth="1"/>
    <col min="4363" max="4363" width="12.44140625" style="31" customWidth="1"/>
    <col min="4364" max="4597" width="8.6640625" style="31"/>
    <col min="4598" max="4598" width="2.44140625" style="31" customWidth="1"/>
    <col min="4599" max="4599" width="15.33203125" style="31" customWidth="1"/>
    <col min="4600" max="4600" width="17.33203125" style="31" customWidth="1"/>
    <col min="4601" max="4601" width="3.5546875" style="31" customWidth="1"/>
    <col min="4602" max="4602" width="17.33203125" style="31" customWidth="1"/>
    <col min="4603" max="4603" width="0.33203125" style="31" customWidth="1"/>
    <col min="4604" max="4604" width="4.6640625" style="31" customWidth="1"/>
    <col min="4605" max="4606" width="7.6640625" style="31" customWidth="1"/>
    <col min="4607" max="4612" width="8.6640625" style="31" customWidth="1"/>
    <col min="4613" max="4615" width="10.6640625" style="31" customWidth="1"/>
    <col min="4616" max="4616" width="25.5546875" style="31" customWidth="1"/>
    <col min="4617" max="4617" width="9.33203125" style="31" customWidth="1"/>
    <col min="4618" max="4618" width="14.33203125" style="31" customWidth="1"/>
    <col min="4619" max="4619" width="12.44140625" style="31" customWidth="1"/>
    <col min="4620" max="4853" width="8.6640625" style="31"/>
    <col min="4854" max="4854" width="2.44140625" style="31" customWidth="1"/>
    <col min="4855" max="4855" width="15.33203125" style="31" customWidth="1"/>
    <col min="4856" max="4856" width="17.33203125" style="31" customWidth="1"/>
    <col min="4857" max="4857" width="3.5546875" style="31" customWidth="1"/>
    <col min="4858" max="4858" width="17.33203125" style="31" customWidth="1"/>
    <col min="4859" max="4859" width="0.33203125" style="31" customWidth="1"/>
    <col min="4860" max="4860" width="4.6640625" style="31" customWidth="1"/>
    <col min="4861" max="4862" width="7.6640625" style="31" customWidth="1"/>
    <col min="4863" max="4868" width="8.6640625" style="31" customWidth="1"/>
    <col min="4869" max="4871" width="10.6640625" style="31" customWidth="1"/>
    <col min="4872" max="4872" width="25.5546875" style="31" customWidth="1"/>
    <col min="4873" max="4873" width="9.33203125" style="31" customWidth="1"/>
    <col min="4874" max="4874" width="14.33203125" style="31" customWidth="1"/>
    <col min="4875" max="4875" width="12.44140625" style="31" customWidth="1"/>
    <col min="4876" max="5109" width="8.6640625" style="31"/>
    <col min="5110" max="5110" width="2.44140625" style="31" customWidth="1"/>
    <col min="5111" max="5111" width="15.33203125" style="31" customWidth="1"/>
    <col min="5112" max="5112" width="17.33203125" style="31" customWidth="1"/>
    <col min="5113" max="5113" width="3.5546875" style="31" customWidth="1"/>
    <col min="5114" max="5114" width="17.33203125" style="31" customWidth="1"/>
    <col min="5115" max="5115" width="0.33203125" style="31" customWidth="1"/>
    <col min="5116" max="5116" width="4.6640625" style="31" customWidth="1"/>
    <col min="5117" max="5118" width="7.6640625" style="31" customWidth="1"/>
    <col min="5119" max="5124" width="8.6640625" style="31" customWidth="1"/>
    <col min="5125" max="5127" width="10.6640625" style="31" customWidth="1"/>
    <col min="5128" max="5128" width="25.5546875" style="31" customWidth="1"/>
    <col min="5129" max="5129" width="9.33203125" style="31" customWidth="1"/>
    <col min="5130" max="5130" width="14.33203125" style="31" customWidth="1"/>
    <col min="5131" max="5131" width="12.44140625" style="31" customWidth="1"/>
    <col min="5132" max="5365" width="8.6640625" style="31"/>
    <col min="5366" max="5366" width="2.44140625" style="31" customWidth="1"/>
    <col min="5367" max="5367" width="15.33203125" style="31" customWidth="1"/>
    <col min="5368" max="5368" width="17.33203125" style="31" customWidth="1"/>
    <col min="5369" max="5369" width="3.5546875" style="31" customWidth="1"/>
    <col min="5370" max="5370" width="17.33203125" style="31" customWidth="1"/>
    <col min="5371" max="5371" width="0.33203125" style="31" customWidth="1"/>
    <col min="5372" max="5372" width="4.6640625" style="31" customWidth="1"/>
    <col min="5373" max="5374" width="7.6640625" style="31" customWidth="1"/>
    <col min="5375" max="5380" width="8.6640625" style="31" customWidth="1"/>
    <col min="5381" max="5383" width="10.6640625" style="31" customWidth="1"/>
    <col min="5384" max="5384" width="25.5546875" style="31" customWidth="1"/>
    <col min="5385" max="5385" width="9.33203125" style="31" customWidth="1"/>
    <col min="5386" max="5386" width="14.33203125" style="31" customWidth="1"/>
    <col min="5387" max="5387" width="12.44140625" style="31" customWidth="1"/>
    <col min="5388" max="5621" width="8.6640625" style="31"/>
    <col min="5622" max="5622" width="2.44140625" style="31" customWidth="1"/>
    <col min="5623" max="5623" width="15.33203125" style="31" customWidth="1"/>
    <col min="5624" max="5624" width="17.33203125" style="31" customWidth="1"/>
    <col min="5625" max="5625" width="3.5546875" style="31" customWidth="1"/>
    <col min="5626" max="5626" width="17.33203125" style="31" customWidth="1"/>
    <col min="5627" max="5627" width="0.33203125" style="31" customWidth="1"/>
    <col min="5628" max="5628" width="4.6640625" style="31" customWidth="1"/>
    <col min="5629" max="5630" width="7.6640625" style="31" customWidth="1"/>
    <col min="5631" max="5636" width="8.6640625" style="31" customWidth="1"/>
    <col min="5637" max="5639" width="10.6640625" style="31" customWidth="1"/>
    <col min="5640" max="5640" width="25.5546875" style="31" customWidth="1"/>
    <col min="5641" max="5641" width="9.33203125" style="31" customWidth="1"/>
    <col min="5642" max="5642" width="14.33203125" style="31" customWidth="1"/>
    <col min="5643" max="5643" width="12.44140625" style="31" customWidth="1"/>
    <col min="5644" max="5877" width="8.6640625" style="31"/>
    <col min="5878" max="5878" width="2.44140625" style="31" customWidth="1"/>
    <col min="5879" max="5879" width="15.33203125" style="31" customWidth="1"/>
    <col min="5880" max="5880" width="17.33203125" style="31" customWidth="1"/>
    <col min="5881" max="5881" width="3.5546875" style="31" customWidth="1"/>
    <col min="5882" max="5882" width="17.33203125" style="31" customWidth="1"/>
    <col min="5883" max="5883" width="0.33203125" style="31" customWidth="1"/>
    <col min="5884" max="5884" width="4.6640625" style="31" customWidth="1"/>
    <col min="5885" max="5886" width="7.6640625" style="31" customWidth="1"/>
    <col min="5887" max="5892" width="8.6640625" style="31" customWidth="1"/>
    <col min="5893" max="5895" width="10.6640625" style="31" customWidth="1"/>
    <col min="5896" max="5896" width="25.5546875" style="31" customWidth="1"/>
    <col min="5897" max="5897" width="9.33203125" style="31" customWidth="1"/>
    <col min="5898" max="5898" width="14.33203125" style="31" customWidth="1"/>
    <col min="5899" max="5899" width="12.44140625" style="31" customWidth="1"/>
    <col min="5900" max="6133" width="8.6640625" style="31"/>
    <col min="6134" max="6134" width="2.44140625" style="31" customWidth="1"/>
    <col min="6135" max="6135" width="15.33203125" style="31" customWidth="1"/>
    <col min="6136" max="6136" width="17.33203125" style="31" customWidth="1"/>
    <col min="6137" max="6137" width="3.5546875" style="31" customWidth="1"/>
    <col min="6138" max="6138" width="17.33203125" style="31" customWidth="1"/>
    <col min="6139" max="6139" width="0.33203125" style="31" customWidth="1"/>
    <col min="6140" max="6140" width="4.6640625" style="31" customWidth="1"/>
    <col min="6141" max="6142" width="7.6640625" style="31" customWidth="1"/>
    <col min="6143" max="6148" width="8.6640625" style="31" customWidth="1"/>
    <col min="6149" max="6151" width="10.6640625" style="31" customWidth="1"/>
    <col min="6152" max="6152" width="25.5546875" style="31" customWidth="1"/>
    <col min="6153" max="6153" width="9.33203125" style="31" customWidth="1"/>
    <col min="6154" max="6154" width="14.33203125" style="31" customWidth="1"/>
    <col min="6155" max="6155" width="12.44140625" style="31" customWidth="1"/>
    <col min="6156" max="6389" width="8.6640625" style="31"/>
    <col min="6390" max="6390" width="2.44140625" style="31" customWidth="1"/>
    <col min="6391" max="6391" width="15.33203125" style="31" customWidth="1"/>
    <col min="6392" max="6392" width="17.33203125" style="31" customWidth="1"/>
    <col min="6393" max="6393" width="3.5546875" style="31" customWidth="1"/>
    <col min="6394" max="6394" width="17.33203125" style="31" customWidth="1"/>
    <col min="6395" max="6395" width="0.33203125" style="31" customWidth="1"/>
    <col min="6396" max="6396" width="4.6640625" style="31" customWidth="1"/>
    <col min="6397" max="6398" width="7.6640625" style="31" customWidth="1"/>
    <col min="6399" max="6404" width="8.6640625" style="31" customWidth="1"/>
    <col min="6405" max="6407" width="10.6640625" style="31" customWidth="1"/>
    <col min="6408" max="6408" width="25.5546875" style="31" customWidth="1"/>
    <col min="6409" max="6409" width="9.33203125" style="31" customWidth="1"/>
    <col min="6410" max="6410" width="14.33203125" style="31" customWidth="1"/>
    <col min="6411" max="6411" width="12.44140625" style="31" customWidth="1"/>
    <col min="6412" max="6645" width="8.6640625" style="31"/>
    <col min="6646" max="6646" width="2.44140625" style="31" customWidth="1"/>
    <col min="6647" max="6647" width="15.33203125" style="31" customWidth="1"/>
    <col min="6648" max="6648" width="17.33203125" style="31" customWidth="1"/>
    <col min="6649" max="6649" width="3.5546875" style="31" customWidth="1"/>
    <col min="6650" max="6650" width="17.33203125" style="31" customWidth="1"/>
    <col min="6651" max="6651" width="0.33203125" style="31" customWidth="1"/>
    <col min="6652" max="6652" width="4.6640625" style="31" customWidth="1"/>
    <col min="6653" max="6654" width="7.6640625" style="31" customWidth="1"/>
    <col min="6655" max="6660" width="8.6640625" style="31" customWidth="1"/>
    <col min="6661" max="6663" width="10.6640625" style="31" customWidth="1"/>
    <col min="6664" max="6664" width="25.5546875" style="31" customWidth="1"/>
    <col min="6665" max="6665" width="9.33203125" style="31" customWidth="1"/>
    <col min="6666" max="6666" width="14.33203125" style="31" customWidth="1"/>
    <col min="6667" max="6667" width="12.44140625" style="31" customWidth="1"/>
    <col min="6668" max="6901" width="8.6640625" style="31"/>
    <col min="6902" max="6902" width="2.44140625" style="31" customWidth="1"/>
    <col min="6903" max="6903" width="15.33203125" style="31" customWidth="1"/>
    <col min="6904" max="6904" width="17.33203125" style="31" customWidth="1"/>
    <col min="6905" max="6905" width="3.5546875" style="31" customWidth="1"/>
    <col min="6906" max="6906" width="17.33203125" style="31" customWidth="1"/>
    <col min="6907" max="6907" width="0.33203125" style="31" customWidth="1"/>
    <col min="6908" max="6908" width="4.6640625" style="31" customWidth="1"/>
    <col min="6909" max="6910" width="7.6640625" style="31" customWidth="1"/>
    <col min="6911" max="6916" width="8.6640625" style="31" customWidth="1"/>
    <col min="6917" max="6919" width="10.6640625" style="31" customWidth="1"/>
    <col min="6920" max="6920" width="25.5546875" style="31" customWidth="1"/>
    <col min="6921" max="6921" width="9.33203125" style="31" customWidth="1"/>
    <col min="6922" max="6922" width="14.33203125" style="31" customWidth="1"/>
    <col min="6923" max="6923" width="12.44140625" style="31" customWidth="1"/>
    <col min="6924" max="7157" width="8.6640625" style="31"/>
    <col min="7158" max="7158" width="2.44140625" style="31" customWidth="1"/>
    <col min="7159" max="7159" width="15.33203125" style="31" customWidth="1"/>
    <col min="7160" max="7160" width="17.33203125" style="31" customWidth="1"/>
    <col min="7161" max="7161" width="3.5546875" style="31" customWidth="1"/>
    <col min="7162" max="7162" width="17.33203125" style="31" customWidth="1"/>
    <col min="7163" max="7163" width="0.33203125" style="31" customWidth="1"/>
    <col min="7164" max="7164" width="4.6640625" style="31" customWidth="1"/>
    <col min="7165" max="7166" width="7.6640625" style="31" customWidth="1"/>
    <col min="7167" max="7172" width="8.6640625" style="31" customWidth="1"/>
    <col min="7173" max="7175" width="10.6640625" style="31" customWidth="1"/>
    <col min="7176" max="7176" width="25.5546875" style="31" customWidth="1"/>
    <col min="7177" max="7177" width="9.33203125" style="31" customWidth="1"/>
    <col min="7178" max="7178" width="14.33203125" style="31" customWidth="1"/>
    <col min="7179" max="7179" width="12.44140625" style="31" customWidth="1"/>
    <col min="7180" max="7413" width="8.6640625" style="31"/>
    <col min="7414" max="7414" width="2.44140625" style="31" customWidth="1"/>
    <col min="7415" max="7415" width="15.33203125" style="31" customWidth="1"/>
    <col min="7416" max="7416" width="17.33203125" style="31" customWidth="1"/>
    <col min="7417" max="7417" width="3.5546875" style="31" customWidth="1"/>
    <col min="7418" max="7418" width="17.33203125" style="31" customWidth="1"/>
    <col min="7419" max="7419" width="0.33203125" style="31" customWidth="1"/>
    <col min="7420" max="7420" width="4.6640625" style="31" customWidth="1"/>
    <col min="7421" max="7422" width="7.6640625" style="31" customWidth="1"/>
    <col min="7423" max="7428" width="8.6640625" style="31" customWidth="1"/>
    <col min="7429" max="7431" width="10.6640625" style="31" customWidth="1"/>
    <col min="7432" max="7432" width="25.5546875" style="31" customWidth="1"/>
    <col min="7433" max="7433" width="9.33203125" style="31" customWidth="1"/>
    <col min="7434" max="7434" width="14.33203125" style="31" customWidth="1"/>
    <col min="7435" max="7435" width="12.44140625" style="31" customWidth="1"/>
    <col min="7436" max="7669" width="8.6640625" style="31"/>
    <col min="7670" max="7670" width="2.44140625" style="31" customWidth="1"/>
    <col min="7671" max="7671" width="15.33203125" style="31" customWidth="1"/>
    <col min="7672" max="7672" width="17.33203125" style="31" customWidth="1"/>
    <col min="7673" max="7673" width="3.5546875" style="31" customWidth="1"/>
    <col min="7674" max="7674" width="17.33203125" style="31" customWidth="1"/>
    <col min="7675" max="7675" width="0.33203125" style="31" customWidth="1"/>
    <col min="7676" max="7676" width="4.6640625" style="31" customWidth="1"/>
    <col min="7677" max="7678" width="7.6640625" style="31" customWidth="1"/>
    <col min="7679" max="7684" width="8.6640625" style="31" customWidth="1"/>
    <col min="7685" max="7687" width="10.6640625" style="31" customWidth="1"/>
    <col min="7688" max="7688" width="25.5546875" style="31" customWidth="1"/>
    <col min="7689" max="7689" width="9.33203125" style="31" customWidth="1"/>
    <col min="7690" max="7690" width="14.33203125" style="31" customWidth="1"/>
    <col min="7691" max="7691" width="12.44140625" style="31" customWidth="1"/>
    <col min="7692" max="7925" width="8.6640625" style="31"/>
    <col min="7926" max="7926" width="2.44140625" style="31" customWidth="1"/>
    <col min="7927" max="7927" width="15.33203125" style="31" customWidth="1"/>
    <col min="7928" max="7928" width="17.33203125" style="31" customWidth="1"/>
    <col min="7929" max="7929" width="3.5546875" style="31" customWidth="1"/>
    <col min="7930" max="7930" width="17.33203125" style="31" customWidth="1"/>
    <col min="7931" max="7931" width="0.33203125" style="31" customWidth="1"/>
    <col min="7932" max="7932" width="4.6640625" style="31" customWidth="1"/>
    <col min="7933" max="7934" width="7.6640625" style="31" customWidth="1"/>
    <col min="7935" max="7940" width="8.6640625" style="31" customWidth="1"/>
    <col min="7941" max="7943" width="10.6640625" style="31" customWidth="1"/>
    <col min="7944" max="7944" width="25.5546875" style="31" customWidth="1"/>
    <col min="7945" max="7945" width="9.33203125" style="31" customWidth="1"/>
    <col min="7946" max="7946" width="14.33203125" style="31" customWidth="1"/>
    <col min="7947" max="7947" width="12.44140625" style="31" customWidth="1"/>
    <col min="7948" max="8181" width="8.6640625" style="31"/>
    <col min="8182" max="8182" width="2.44140625" style="31" customWidth="1"/>
    <col min="8183" max="8183" width="15.33203125" style="31" customWidth="1"/>
    <col min="8184" max="8184" width="17.33203125" style="31" customWidth="1"/>
    <col min="8185" max="8185" width="3.5546875" style="31" customWidth="1"/>
    <col min="8186" max="8186" width="17.33203125" style="31" customWidth="1"/>
    <col min="8187" max="8187" width="0.33203125" style="31" customWidth="1"/>
    <col min="8188" max="8188" width="4.6640625" style="31" customWidth="1"/>
    <col min="8189" max="8190" width="7.6640625" style="31" customWidth="1"/>
    <col min="8191" max="8196" width="8.6640625" style="31" customWidth="1"/>
    <col min="8197" max="8199" width="10.6640625" style="31" customWidth="1"/>
    <col min="8200" max="8200" width="25.5546875" style="31" customWidth="1"/>
    <col min="8201" max="8201" width="9.33203125" style="31" customWidth="1"/>
    <col min="8202" max="8202" width="14.33203125" style="31" customWidth="1"/>
    <col min="8203" max="8203" width="12.44140625" style="31" customWidth="1"/>
    <col min="8204" max="8437" width="8.6640625" style="31"/>
    <col min="8438" max="8438" width="2.44140625" style="31" customWidth="1"/>
    <col min="8439" max="8439" width="15.33203125" style="31" customWidth="1"/>
    <col min="8440" max="8440" width="17.33203125" style="31" customWidth="1"/>
    <col min="8441" max="8441" width="3.5546875" style="31" customWidth="1"/>
    <col min="8442" max="8442" width="17.33203125" style="31" customWidth="1"/>
    <col min="8443" max="8443" width="0.33203125" style="31" customWidth="1"/>
    <col min="8444" max="8444" width="4.6640625" style="31" customWidth="1"/>
    <col min="8445" max="8446" width="7.6640625" style="31" customWidth="1"/>
    <col min="8447" max="8452" width="8.6640625" style="31" customWidth="1"/>
    <col min="8453" max="8455" width="10.6640625" style="31" customWidth="1"/>
    <col min="8456" max="8456" width="25.5546875" style="31" customWidth="1"/>
    <col min="8457" max="8457" width="9.33203125" style="31" customWidth="1"/>
    <col min="8458" max="8458" width="14.33203125" style="31" customWidth="1"/>
    <col min="8459" max="8459" width="12.44140625" style="31" customWidth="1"/>
    <col min="8460" max="8693" width="8.6640625" style="31"/>
    <col min="8694" max="8694" width="2.44140625" style="31" customWidth="1"/>
    <col min="8695" max="8695" width="15.33203125" style="31" customWidth="1"/>
    <col min="8696" max="8696" width="17.33203125" style="31" customWidth="1"/>
    <col min="8697" max="8697" width="3.5546875" style="31" customWidth="1"/>
    <col min="8698" max="8698" width="17.33203125" style="31" customWidth="1"/>
    <col min="8699" max="8699" width="0.33203125" style="31" customWidth="1"/>
    <col min="8700" max="8700" width="4.6640625" style="31" customWidth="1"/>
    <col min="8701" max="8702" width="7.6640625" style="31" customWidth="1"/>
    <col min="8703" max="8708" width="8.6640625" style="31" customWidth="1"/>
    <col min="8709" max="8711" width="10.6640625" style="31" customWidth="1"/>
    <col min="8712" max="8712" width="25.5546875" style="31" customWidth="1"/>
    <col min="8713" max="8713" width="9.33203125" style="31" customWidth="1"/>
    <col min="8714" max="8714" width="14.33203125" style="31" customWidth="1"/>
    <col min="8715" max="8715" width="12.44140625" style="31" customWidth="1"/>
    <col min="8716" max="8949" width="8.6640625" style="31"/>
    <col min="8950" max="8950" width="2.44140625" style="31" customWidth="1"/>
    <col min="8951" max="8951" width="15.33203125" style="31" customWidth="1"/>
    <col min="8952" max="8952" width="17.33203125" style="31" customWidth="1"/>
    <col min="8953" max="8953" width="3.5546875" style="31" customWidth="1"/>
    <col min="8954" max="8954" width="17.33203125" style="31" customWidth="1"/>
    <col min="8955" max="8955" width="0.33203125" style="31" customWidth="1"/>
    <col min="8956" max="8956" width="4.6640625" style="31" customWidth="1"/>
    <col min="8957" max="8958" width="7.6640625" style="31" customWidth="1"/>
    <col min="8959" max="8964" width="8.6640625" style="31" customWidth="1"/>
    <col min="8965" max="8967" width="10.6640625" style="31" customWidth="1"/>
    <col min="8968" max="8968" width="25.5546875" style="31" customWidth="1"/>
    <col min="8969" max="8969" width="9.33203125" style="31" customWidth="1"/>
    <col min="8970" max="8970" width="14.33203125" style="31" customWidth="1"/>
    <col min="8971" max="8971" width="12.44140625" style="31" customWidth="1"/>
    <col min="8972" max="9205" width="8.6640625" style="31"/>
    <col min="9206" max="9206" width="2.44140625" style="31" customWidth="1"/>
    <col min="9207" max="9207" width="15.33203125" style="31" customWidth="1"/>
    <col min="9208" max="9208" width="17.33203125" style="31" customWidth="1"/>
    <col min="9209" max="9209" width="3.5546875" style="31" customWidth="1"/>
    <col min="9210" max="9210" width="17.33203125" style="31" customWidth="1"/>
    <col min="9211" max="9211" width="0.33203125" style="31" customWidth="1"/>
    <col min="9212" max="9212" width="4.6640625" style="31" customWidth="1"/>
    <col min="9213" max="9214" width="7.6640625" style="31" customWidth="1"/>
    <col min="9215" max="9220" width="8.6640625" style="31" customWidth="1"/>
    <col min="9221" max="9223" width="10.6640625" style="31" customWidth="1"/>
    <col min="9224" max="9224" width="25.5546875" style="31" customWidth="1"/>
    <col min="9225" max="9225" width="9.33203125" style="31" customWidth="1"/>
    <col min="9226" max="9226" width="14.33203125" style="31" customWidth="1"/>
    <col min="9227" max="9227" width="12.44140625" style="31" customWidth="1"/>
    <col min="9228" max="9461" width="8.6640625" style="31"/>
    <col min="9462" max="9462" width="2.44140625" style="31" customWidth="1"/>
    <col min="9463" max="9463" width="15.33203125" style="31" customWidth="1"/>
    <col min="9464" max="9464" width="17.33203125" style="31" customWidth="1"/>
    <col min="9465" max="9465" width="3.5546875" style="31" customWidth="1"/>
    <col min="9466" max="9466" width="17.33203125" style="31" customWidth="1"/>
    <col min="9467" max="9467" width="0.33203125" style="31" customWidth="1"/>
    <col min="9468" max="9468" width="4.6640625" style="31" customWidth="1"/>
    <col min="9469" max="9470" width="7.6640625" style="31" customWidth="1"/>
    <col min="9471" max="9476" width="8.6640625" style="31" customWidth="1"/>
    <col min="9477" max="9479" width="10.6640625" style="31" customWidth="1"/>
    <col min="9480" max="9480" width="25.5546875" style="31" customWidth="1"/>
    <col min="9481" max="9481" width="9.33203125" style="31" customWidth="1"/>
    <col min="9482" max="9482" width="14.33203125" style="31" customWidth="1"/>
    <col min="9483" max="9483" width="12.44140625" style="31" customWidth="1"/>
    <col min="9484" max="9717" width="8.6640625" style="31"/>
    <col min="9718" max="9718" width="2.44140625" style="31" customWidth="1"/>
    <col min="9719" max="9719" width="15.33203125" style="31" customWidth="1"/>
    <col min="9720" max="9720" width="17.33203125" style="31" customWidth="1"/>
    <col min="9721" max="9721" width="3.5546875" style="31" customWidth="1"/>
    <col min="9722" max="9722" width="17.33203125" style="31" customWidth="1"/>
    <col min="9723" max="9723" width="0.33203125" style="31" customWidth="1"/>
    <col min="9724" max="9724" width="4.6640625" style="31" customWidth="1"/>
    <col min="9725" max="9726" width="7.6640625" style="31" customWidth="1"/>
    <col min="9727" max="9732" width="8.6640625" style="31" customWidth="1"/>
    <col min="9733" max="9735" width="10.6640625" style="31" customWidth="1"/>
    <col min="9736" max="9736" width="25.5546875" style="31" customWidth="1"/>
    <col min="9737" max="9737" width="9.33203125" style="31" customWidth="1"/>
    <col min="9738" max="9738" width="14.33203125" style="31" customWidth="1"/>
    <col min="9739" max="9739" width="12.44140625" style="31" customWidth="1"/>
    <col min="9740" max="9973" width="8.6640625" style="31"/>
    <col min="9974" max="9974" width="2.44140625" style="31" customWidth="1"/>
    <col min="9975" max="9975" width="15.33203125" style="31" customWidth="1"/>
    <col min="9976" max="9976" width="17.33203125" style="31" customWidth="1"/>
    <col min="9977" max="9977" width="3.5546875" style="31" customWidth="1"/>
    <col min="9978" max="9978" width="17.33203125" style="31" customWidth="1"/>
    <col min="9979" max="9979" width="0.33203125" style="31" customWidth="1"/>
    <col min="9980" max="9980" width="4.6640625" style="31" customWidth="1"/>
    <col min="9981" max="9982" width="7.6640625" style="31" customWidth="1"/>
    <col min="9983" max="9988" width="8.6640625" style="31" customWidth="1"/>
    <col min="9989" max="9991" width="10.6640625" style="31" customWidth="1"/>
    <col min="9992" max="9992" width="25.5546875" style="31" customWidth="1"/>
    <col min="9993" max="9993" width="9.33203125" style="31" customWidth="1"/>
    <col min="9994" max="9994" width="14.33203125" style="31" customWidth="1"/>
    <col min="9995" max="9995" width="12.44140625" style="31" customWidth="1"/>
    <col min="9996" max="10229" width="8.6640625" style="31"/>
    <col min="10230" max="10230" width="2.44140625" style="31" customWidth="1"/>
    <col min="10231" max="10231" width="15.33203125" style="31" customWidth="1"/>
    <col min="10232" max="10232" width="17.33203125" style="31" customWidth="1"/>
    <col min="10233" max="10233" width="3.5546875" style="31" customWidth="1"/>
    <col min="10234" max="10234" width="17.33203125" style="31" customWidth="1"/>
    <col min="10235" max="10235" width="0.33203125" style="31" customWidth="1"/>
    <col min="10236" max="10236" width="4.6640625" style="31" customWidth="1"/>
    <col min="10237" max="10238" width="7.6640625" style="31" customWidth="1"/>
    <col min="10239" max="10244" width="8.6640625" style="31" customWidth="1"/>
    <col min="10245" max="10247" width="10.6640625" style="31" customWidth="1"/>
    <col min="10248" max="10248" width="25.5546875" style="31" customWidth="1"/>
    <col min="10249" max="10249" width="9.33203125" style="31" customWidth="1"/>
    <col min="10250" max="10250" width="14.33203125" style="31" customWidth="1"/>
    <col min="10251" max="10251" width="12.44140625" style="31" customWidth="1"/>
    <col min="10252" max="10485" width="8.6640625" style="31"/>
    <col min="10486" max="10486" width="2.44140625" style="31" customWidth="1"/>
    <col min="10487" max="10487" width="15.33203125" style="31" customWidth="1"/>
    <col min="10488" max="10488" width="17.33203125" style="31" customWidth="1"/>
    <col min="10489" max="10489" width="3.5546875" style="31" customWidth="1"/>
    <col min="10490" max="10490" width="17.33203125" style="31" customWidth="1"/>
    <col min="10491" max="10491" width="0.33203125" style="31" customWidth="1"/>
    <col min="10492" max="10492" width="4.6640625" style="31" customWidth="1"/>
    <col min="10493" max="10494" width="7.6640625" style="31" customWidth="1"/>
    <col min="10495" max="10500" width="8.6640625" style="31" customWidth="1"/>
    <col min="10501" max="10503" width="10.6640625" style="31" customWidth="1"/>
    <col min="10504" max="10504" width="25.5546875" style="31" customWidth="1"/>
    <col min="10505" max="10505" width="9.33203125" style="31" customWidth="1"/>
    <col min="10506" max="10506" width="14.33203125" style="31" customWidth="1"/>
    <col min="10507" max="10507" width="12.44140625" style="31" customWidth="1"/>
    <col min="10508" max="10741" width="8.6640625" style="31"/>
    <col min="10742" max="10742" width="2.44140625" style="31" customWidth="1"/>
    <col min="10743" max="10743" width="15.33203125" style="31" customWidth="1"/>
    <col min="10744" max="10744" width="17.33203125" style="31" customWidth="1"/>
    <col min="10745" max="10745" width="3.5546875" style="31" customWidth="1"/>
    <col min="10746" max="10746" width="17.33203125" style="31" customWidth="1"/>
    <col min="10747" max="10747" width="0.33203125" style="31" customWidth="1"/>
    <col min="10748" max="10748" width="4.6640625" style="31" customWidth="1"/>
    <col min="10749" max="10750" width="7.6640625" style="31" customWidth="1"/>
    <col min="10751" max="10756" width="8.6640625" style="31" customWidth="1"/>
    <col min="10757" max="10759" width="10.6640625" style="31" customWidth="1"/>
    <col min="10760" max="10760" width="25.5546875" style="31" customWidth="1"/>
    <col min="10761" max="10761" width="9.33203125" style="31" customWidth="1"/>
    <col min="10762" max="10762" width="14.33203125" style="31" customWidth="1"/>
    <col min="10763" max="10763" width="12.44140625" style="31" customWidth="1"/>
    <col min="10764" max="10997" width="8.6640625" style="31"/>
    <col min="10998" max="10998" width="2.44140625" style="31" customWidth="1"/>
    <col min="10999" max="10999" width="15.33203125" style="31" customWidth="1"/>
    <col min="11000" max="11000" width="17.33203125" style="31" customWidth="1"/>
    <col min="11001" max="11001" width="3.5546875" style="31" customWidth="1"/>
    <col min="11002" max="11002" width="17.33203125" style="31" customWidth="1"/>
    <col min="11003" max="11003" width="0.33203125" style="31" customWidth="1"/>
    <col min="11004" max="11004" width="4.6640625" style="31" customWidth="1"/>
    <col min="11005" max="11006" width="7.6640625" style="31" customWidth="1"/>
    <col min="11007" max="11012" width="8.6640625" style="31" customWidth="1"/>
    <col min="11013" max="11015" width="10.6640625" style="31" customWidth="1"/>
    <col min="11016" max="11016" width="25.5546875" style="31" customWidth="1"/>
    <col min="11017" max="11017" width="9.33203125" style="31" customWidth="1"/>
    <col min="11018" max="11018" width="14.33203125" style="31" customWidth="1"/>
    <col min="11019" max="11019" width="12.44140625" style="31" customWidth="1"/>
    <col min="11020" max="11253" width="8.6640625" style="31"/>
    <col min="11254" max="11254" width="2.44140625" style="31" customWidth="1"/>
    <col min="11255" max="11255" width="15.33203125" style="31" customWidth="1"/>
    <col min="11256" max="11256" width="17.33203125" style="31" customWidth="1"/>
    <col min="11257" max="11257" width="3.5546875" style="31" customWidth="1"/>
    <col min="11258" max="11258" width="17.33203125" style="31" customWidth="1"/>
    <col min="11259" max="11259" width="0.33203125" style="31" customWidth="1"/>
    <col min="11260" max="11260" width="4.6640625" style="31" customWidth="1"/>
    <col min="11261" max="11262" width="7.6640625" style="31" customWidth="1"/>
    <col min="11263" max="11268" width="8.6640625" style="31" customWidth="1"/>
    <col min="11269" max="11271" width="10.6640625" style="31" customWidth="1"/>
    <col min="11272" max="11272" width="25.5546875" style="31" customWidth="1"/>
    <col min="11273" max="11273" width="9.33203125" style="31" customWidth="1"/>
    <col min="11274" max="11274" width="14.33203125" style="31" customWidth="1"/>
    <col min="11275" max="11275" width="12.44140625" style="31" customWidth="1"/>
    <col min="11276" max="11509" width="8.6640625" style="31"/>
    <col min="11510" max="11510" width="2.44140625" style="31" customWidth="1"/>
    <col min="11511" max="11511" width="15.33203125" style="31" customWidth="1"/>
    <col min="11512" max="11512" width="17.33203125" style="31" customWidth="1"/>
    <col min="11513" max="11513" width="3.5546875" style="31" customWidth="1"/>
    <col min="11514" max="11514" width="17.33203125" style="31" customWidth="1"/>
    <col min="11515" max="11515" width="0.33203125" style="31" customWidth="1"/>
    <col min="11516" max="11516" width="4.6640625" style="31" customWidth="1"/>
    <col min="11517" max="11518" width="7.6640625" style="31" customWidth="1"/>
    <col min="11519" max="11524" width="8.6640625" style="31" customWidth="1"/>
    <col min="11525" max="11527" width="10.6640625" style="31" customWidth="1"/>
    <col min="11528" max="11528" width="25.5546875" style="31" customWidth="1"/>
    <col min="11529" max="11529" width="9.33203125" style="31" customWidth="1"/>
    <col min="11530" max="11530" width="14.33203125" style="31" customWidth="1"/>
    <col min="11531" max="11531" width="12.44140625" style="31" customWidth="1"/>
    <col min="11532" max="11765" width="8.6640625" style="31"/>
    <col min="11766" max="11766" width="2.44140625" style="31" customWidth="1"/>
    <col min="11767" max="11767" width="15.33203125" style="31" customWidth="1"/>
    <col min="11768" max="11768" width="17.33203125" style="31" customWidth="1"/>
    <col min="11769" max="11769" width="3.5546875" style="31" customWidth="1"/>
    <col min="11770" max="11770" width="17.33203125" style="31" customWidth="1"/>
    <col min="11771" max="11771" width="0.33203125" style="31" customWidth="1"/>
    <col min="11772" max="11772" width="4.6640625" style="31" customWidth="1"/>
    <col min="11773" max="11774" width="7.6640625" style="31" customWidth="1"/>
    <col min="11775" max="11780" width="8.6640625" style="31" customWidth="1"/>
    <col min="11781" max="11783" width="10.6640625" style="31" customWidth="1"/>
    <col min="11784" max="11784" width="25.5546875" style="31" customWidth="1"/>
    <col min="11785" max="11785" width="9.33203125" style="31" customWidth="1"/>
    <col min="11786" max="11786" width="14.33203125" style="31" customWidth="1"/>
    <col min="11787" max="11787" width="12.44140625" style="31" customWidth="1"/>
    <col min="11788" max="12021" width="8.6640625" style="31"/>
    <col min="12022" max="12022" width="2.44140625" style="31" customWidth="1"/>
    <col min="12023" max="12023" width="15.33203125" style="31" customWidth="1"/>
    <col min="12024" max="12024" width="17.33203125" style="31" customWidth="1"/>
    <col min="12025" max="12025" width="3.5546875" style="31" customWidth="1"/>
    <col min="12026" max="12026" width="17.33203125" style="31" customWidth="1"/>
    <col min="12027" max="12027" width="0.33203125" style="31" customWidth="1"/>
    <col min="12028" max="12028" width="4.6640625" style="31" customWidth="1"/>
    <col min="12029" max="12030" width="7.6640625" style="31" customWidth="1"/>
    <col min="12031" max="12036" width="8.6640625" style="31" customWidth="1"/>
    <col min="12037" max="12039" width="10.6640625" style="31" customWidth="1"/>
    <col min="12040" max="12040" width="25.5546875" style="31" customWidth="1"/>
    <col min="12041" max="12041" width="9.33203125" style="31" customWidth="1"/>
    <col min="12042" max="12042" width="14.33203125" style="31" customWidth="1"/>
    <col min="12043" max="12043" width="12.44140625" style="31" customWidth="1"/>
    <col min="12044" max="12277" width="8.6640625" style="31"/>
    <col min="12278" max="12278" width="2.44140625" style="31" customWidth="1"/>
    <col min="12279" max="12279" width="15.33203125" style="31" customWidth="1"/>
    <col min="12280" max="12280" width="17.33203125" style="31" customWidth="1"/>
    <col min="12281" max="12281" width="3.5546875" style="31" customWidth="1"/>
    <col min="12282" max="12282" width="17.33203125" style="31" customWidth="1"/>
    <col min="12283" max="12283" width="0.33203125" style="31" customWidth="1"/>
    <col min="12284" max="12284" width="4.6640625" style="31" customWidth="1"/>
    <col min="12285" max="12286" width="7.6640625" style="31" customWidth="1"/>
    <col min="12287" max="12292" width="8.6640625" style="31" customWidth="1"/>
    <col min="12293" max="12295" width="10.6640625" style="31" customWidth="1"/>
    <col min="12296" max="12296" width="25.5546875" style="31" customWidth="1"/>
    <col min="12297" max="12297" width="9.33203125" style="31" customWidth="1"/>
    <col min="12298" max="12298" width="14.33203125" style="31" customWidth="1"/>
    <col min="12299" max="12299" width="12.44140625" style="31" customWidth="1"/>
    <col min="12300" max="12533" width="8.6640625" style="31"/>
    <col min="12534" max="12534" width="2.44140625" style="31" customWidth="1"/>
    <col min="12535" max="12535" width="15.33203125" style="31" customWidth="1"/>
    <col min="12536" max="12536" width="17.33203125" style="31" customWidth="1"/>
    <col min="12537" max="12537" width="3.5546875" style="31" customWidth="1"/>
    <col min="12538" max="12538" width="17.33203125" style="31" customWidth="1"/>
    <col min="12539" max="12539" width="0.33203125" style="31" customWidth="1"/>
    <col min="12540" max="12540" width="4.6640625" style="31" customWidth="1"/>
    <col min="12541" max="12542" width="7.6640625" style="31" customWidth="1"/>
    <col min="12543" max="12548" width="8.6640625" style="31" customWidth="1"/>
    <col min="12549" max="12551" width="10.6640625" style="31" customWidth="1"/>
    <col min="12552" max="12552" width="25.5546875" style="31" customWidth="1"/>
    <col min="12553" max="12553" width="9.33203125" style="31" customWidth="1"/>
    <col min="12554" max="12554" width="14.33203125" style="31" customWidth="1"/>
    <col min="12555" max="12555" width="12.44140625" style="31" customWidth="1"/>
    <col min="12556" max="12789" width="8.6640625" style="31"/>
    <col min="12790" max="12790" width="2.44140625" style="31" customWidth="1"/>
    <col min="12791" max="12791" width="15.33203125" style="31" customWidth="1"/>
    <col min="12792" max="12792" width="17.33203125" style="31" customWidth="1"/>
    <col min="12793" max="12793" width="3.5546875" style="31" customWidth="1"/>
    <col min="12794" max="12794" width="17.33203125" style="31" customWidth="1"/>
    <col min="12795" max="12795" width="0.33203125" style="31" customWidth="1"/>
    <col min="12796" max="12796" width="4.6640625" style="31" customWidth="1"/>
    <col min="12797" max="12798" width="7.6640625" style="31" customWidth="1"/>
    <col min="12799" max="12804" width="8.6640625" style="31" customWidth="1"/>
    <col min="12805" max="12807" width="10.6640625" style="31" customWidth="1"/>
    <col min="12808" max="12808" width="25.5546875" style="31" customWidth="1"/>
    <col min="12809" max="12809" width="9.33203125" style="31" customWidth="1"/>
    <col min="12810" max="12810" width="14.33203125" style="31" customWidth="1"/>
    <col min="12811" max="12811" width="12.44140625" style="31" customWidth="1"/>
    <col min="12812" max="13045" width="8.6640625" style="31"/>
    <col min="13046" max="13046" width="2.44140625" style="31" customWidth="1"/>
    <col min="13047" max="13047" width="15.33203125" style="31" customWidth="1"/>
    <col min="13048" max="13048" width="17.33203125" style="31" customWidth="1"/>
    <col min="13049" max="13049" width="3.5546875" style="31" customWidth="1"/>
    <col min="13050" max="13050" width="17.33203125" style="31" customWidth="1"/>
    <col min="13051" max="13051" width="0.33203125" style="31" customWidth="1"/>
    <col min="13052" max="13052" width="4.6640625" style="31" customWidth="1"/>
    <col min="13053" max="13054" width="7.6640625" style="31" customWidth="1"/>
    <col min="13055" max="13060" width="8.6640625" style="31" customWidth="1"/>
    <col min="13061" max="13063" width="10.6640625" style="31" customWidth="1"/>
    <col min="13064" max="13064" width="25.5546875" style="31" customWidth="1"/>
    <col min="13065" max="13065" width="9.33203125" style="31" customWidth="1"/>
    <col min="13066" max="13066" width="14.33203125" style="31" customWidth="1"/>
    <col min="13067" max="13067" width="12.44140625" style="31" customWidth="1"/>
    <col min="13068" max="13301" width="8.6640625" style="31"/>
    <col min="13302" max="13302" width="2.44140625" style="31" customWidth="1"/>
    <col min="13303" max="13303" width="15.33203125" style="31" customWidth="1"/>
    <col min="13304" max="13304" width="17.33203125" style="31" customWidth="1"/>
    <col min="13305" max="13305" width="3.5546875" style="31" customWidth="1"/>
    <col min="13306" max="13306" width="17.33203125" style="31" customWidth="1"/>
    <col min="13307" max="13307" width="0.33203125" style="31" customWidth="1"/>
    <col min="13308" max="13308" width="4.6640625" style="31" customWidth="1"/>
    <col min="13309" max="13310" width="7.6640625" style="31" customWidth="1"/>
    <col min="13311" max="13316" width="8.6640625" style="31" customWidth="1"/>
    <col min="13317" max="13319" width="10.6640625" style="31" customWidth="1"/>
    <col min="13320" max="13320" width="25.5546875" style="31" customWidth="1"/>
    <col min="13321" max="13321" width="9.33203125" style="31" customWidth="1"/>
    <col min="13322" max="13322" width="14.33203125" style="31" customWidth="1"/>
    <col min="13323" max="13323" width="12.44140625" style="31" customWidth="1"/>
    <col min="13324" max="13557" width="8.6640625" style="31"/>
    <col min="13558" max="13558" width="2.44140625" style="31" customWidth="1"/>
    <col min="13559" max="13559" width="15.33203125" style="31" customWidth="1"/>
    <col min="13560" max="13560" width="17.33203125" style="31" customWidth="1"/>
    <col min="13561" max="13561" width="3.5546875" style="31" customWidth="1"/>
    <col min="13562" max="13562" width="17.33203125" style="31" customWidth="1"/>
    <col min="13563" max="13563" width="0.33203125" style="31" customWidth="1"/>
    <col min="13564" max="13564" width="4.6640625" style="31" customWidth="1"/>
    <col min="13565" max="13566" width="7.6640625" style="31" customWidth="1"/>
    <col min="13567" max="13572" width="8.6640625" style="31" customWidth="1"/>
    <col min="13573" max="13575" width="10.6640625" style="31" customWidth="1"/>
    <col min="13576" max="13576" width="25.5546875" style="31" customWidth="1"/>
    <col min="13577" max="13577" width="9.33203125" style="31" customWidth="1"/>
    <col min="13578" max="13578" width="14.33203125" style="31" customWidth="1"/>
    <col min="13579" max="13579" width="12.44140625" style="31" customWidth="1"/>
    <col min="13580" max="13813" width="8.6640625" style="31"/>
    <col min="13814" max="13814" width="2.44140625" style="31" customWidth="1"/>
    <col min="13815" max="13815" width="15.33203125" style="31" customWidth="1"/>
    <col min="13816" max="13816" width="17.33203125" style="31" customWidth="1"/>
    <col min="13817" max="13817" width="3.5546875" style="31" customWidth="1"/>
    <col min="13818" max="13818" width="17.33203125" style="31" customWidth="1"/>
    <col min="13819" max="13819" width="0.33203125" style="31" customWidth="1"/>
    <col min="13820" max="13820" width="4.6640625" style="31" customWidth="1"/>
    <col min="13821" max="13822" width="7.6640625" style="31" customWidth="1"/>
    <col min="13823" max="13828" width="8.6640625" style="31" customWidth="1"/>
    <col min="13829" max="13831" width="10.6640625" style="31" customWidth="1"/>
    <col min="13832" max="13832" width="25.5546875" style="31" customWidth="1"/>
    <col min="13833" max="13833" width="9.33203125" style="31" customWidth="1"/>
    <col min="13834" max="13834" width="14.33203125" style="31" customWidth="1"/>
    <col min="13835" max="13835" width="12.44140625" style="31" customWidth="1"/>
    <col min="13836" max="14069" width="8.6640625" style="31"/>
    <col min="14070" max="14070" width="2.44140625" style="31" customWidth="1"/>
    <col min="14071" max="14071" width="15.33203125" style="31" customWidth="1"/>
    <col min="14072" max="14072" width="17.33203125" style="31" customWidth="1"/>
    <col min="14073" max="14073" width="3.5546875" style="31" customWidth="1"/>
    <col min="14074" max="14074" width="17.33203125" style="31" customWidth="1"/>
    <col min="14075" max="14075" width="0.33203125" style="31" customWidth="1"/>
    <col min="14076" max="14076" width="4.6640625" style="31" customWidth="1"/>
    <col min="14077" max="14078" width="7.6640625" style="31" customWidth="1"/>
    <col min="14079" max="14084" width="8.6640625" style="31" customWidth="1"/>
    <col min="14085" max="14087" width="10.6640625" style="31" customWidth="1"/>
    <col min="14088" max="14088" width="25.5546875" style="31" customWidth="1"/>
    <col min="14089" max="14089" width="9.33203125" style="31" customWidth="1"/>
    <col min="14090" max="14090" width="14.33203125" style="31" customWidth="1"/>
    <col min="14091" max="14091" width="12.44140625" style="31" customWidth="1"/>
    <col min="14092" max="14325" width="8.6640625" style="31"/>
    <col min="14326" max="14326" width="2.44140625" style="31" customWidth="1"/>
    <col min="14327" max="14327" width="15.33203125" style="31" customWidth="1"/>
    <col min="14328" max="14328" width="17.33203125" style="31" customWidth="1"/>
    <col min="14329" max="14329" width="3.5546875" style="31" customWidth="1"/>
    <col min="14330" max="14330" width="17.33203125" style="31" customWidth="1"/>
    <col min="14331" max="14331" width="0.33203125" style="31" customWidth="1"/>
    <col min="14332" max="14332" width="4.6640625" style="31" customWidth="1"/>
    <col min="14333" max="14334" width="7.6640625" style="31" customWidth="1"/>
    <col min="14335" max="14340" width="8.6640625" style="31" customWidth="1"/>
    <col min="14341" max="14343" width="10.6640625" style="31" customWidth="1"/>
    <col min="14344" max="14344" width="25.5546875" style="31" customWidth="1"/>
    <col min="14345" max="14345" width="9.33203125" style="31" customWidth="1"/>
    <col min="14346" max="14346" width="14.33203125" style="31" customWidth="1"/>
    <col min="14347" max="14347" width="12.44140625" style="31" customWidth="1"/>
    <col min="14348" max="14581" width="8.6640625" style="31"/>
    <col min="14582" max="14582" width="2.44140625" style="31" customWidth="1"/>
    <col min="14583" max="14583" width="15.33203125" style="31" customWidth="1"/>
    <col min="14584" max="14584" width="17.33203125" style="31" customWidth="1"/>
    <col min="14585" max="14585" width="3.5546875" style="31" customWidth="1"/>
    <col min="14586" max="14586" width="17.33203125" style="31" customWidth="1"/>
    <col min="14587" max="14587" width="0.33203125" style="31" customWidth="1"/>
    <col min="14588" max="14588" width="4.6640625" style="31" customWidth="1"/>
    <col min="14589" max="14590" width="7.6640625" style="31" customWidth="1"/>
    <col min="14591" max="14596" width="8.6640625" style="31" customWidth="1"/>
    <col min="14597" max="14599" width="10.6640625" style="31" customWidth="1"/>
    <col min="14600" max="14600" width="25.5546875" style="31" customWidth="1"/>
    <col min="14601" max="14601" width="9.33203125" style="31" customWidth="1"/>
    <col min="14602" max="14602" width="14.33203125" style="31" customWidth="1"/>
    <col min="14603" max="14603" width="12.44140625" style="31" customWidth="1"/>
    <col min="14604" max="14837" width="8.6640625" style="31"/>
    <col min="14838" max="14838" width="2.44140625" style="31" customWidth="1"/>
    <col min="14839" max="14839" width="15.33203125" style="31" customWidth="1"/>
    <col min="14840" max="14840" width="17.33203125" style="31" customWidth="1"/>
    <col min="14841" max="14841" width="3.5546875" style="31" customWidth="1"/>
    <col min="14842" max="14842" width="17.33203125" style="31" customWidth="1"/>
    <col min="14843" max="14843" width="0.33203125" style="31" customWidth="1"/>
    <col min="14844" max="14844" width="4.6640625" style="31" customWidth="1"/>
    <col min="14845" max="14846" width="7.6640625" style="31" customWidth="1"/>
    <col min="14847" max="14852" width="8.6640625" style="31" customWidth="1"/>
    <col min="14853" max="14855" width="10.6640625" style="31" customWidth="1"/>
    <col min="14856" max="14856" width="25.5546875" style="31" customWidth="1"/>
    <col min="14857" max="14857" width="9.33203125" style="31" customWidth="1"/>
    <col min="14858" max="14858" width="14.33203125" style="31" customWidth="1"/>
    <col min="14859" max="14859" width="12.44140625" style="31" customWidth="1"/>
    <col min="14860" max="15093" width="8.6640625" style="31"/>
    <col min="15094" max="15094" width="2.44140625" style="31" customWidth="1"/>
    <col min="15095" max="15095" width="15.33203125" style="31" customWidth="1"/>
    <col min="15096" max="15096" width="17.33203125" style="31" customWidth="1"/>
    <col min="15097" max="15097" width="3.5546875" style="31" customWidth="1"/>
    <col min="15098" max="15098" width="17.33203125" style="31" customWidth="1"/>
    <col min="15099" max="15099" width="0.33203125" style="31" customWidth="1"/>
    <col min="15100" max="15100" width="4.6640625" style="31" customWidth="1"/>
    <col min="15101" max="15102" width="7.6640625" style="31" customWidth="1"/>
    <col min="15103" max="15108" width="8.6640625" style="31" customWidth="1"/>
    <col min="15109" max="15111" width="10.6640625" style="31" customWidth="1"/>
    <col min="15112" max="15112" width="25.5546875" style="31" customWidth="1"/>
    <col min="15113" max="15113" width="9.33203125" style="31" customWidth="1"/>
    <col min="15114" max="15114" width="14.33203125" style="31" customWidth="1"/>
    <col min="15115" max="15115" width="12.44140625" style="31" customWidth="1"/>
    <col min="15116" max="15349" width="8.6640625" style="31"/>
    <col min="15350" max="15350" width="2.44140625" style="31" customWidth="1"/>
    <col min="15351" max="15351" width="15.33203125" style="31" customWidth="1"/>
    <col min="15352" max="15352" width="17.33203125" style="31" customWidth="1"/>
    <col min="15353" max="15353" width="3.5546875" style="31" customWidth="1"/>
    <col min="15354" max="15354" width="17.33203125" style="31" customWidth="1"/>
    <col min="15355" max="15355" width="0.33203125" style="31" customWidth="1"/>
    <col min="15356" max="15356" width="4.6640625" style="31" customWidth="1"/>
    <col min="15357" max="15358" width="7.6640625" style="31" customWidth="1"/>
    <col min="15359" max="15364" width="8.6640625" style="31" customWidth="1"/>
    <col min="15365" max="15367" width="10.6640625" style="31" customWidth="1"/>
    <col min="15368" max="15368" width="25.5546875" style="31" customWidth="1"/>
    <col min="15369" max="15369" width="9.33203125" style="31" customWidth="1"/>
    <col min="15370" max="15370" width="14.33203125" style="31" customWidth="1"/>
    <col min="15371" max="15371" width="12.44140625" style="31" customWidth="1"/>
    <col min="15372" max="15605" width="8.6640625" style="31"/>
    <col min="15606" max="15606" width="2.44140625" style="31" customWidth="1"/>
    <col min="15607" max="15607" width="15.33203125" style="31" customWidth="1"/>
    <col min="15608" max="15608" width="17.33203125" style="31" customWidth="1"/>
    <col min="15609" max="15609" width="3.5546875" style="31" customWidth="1"/>
    <col min="15610" max="15610" width="17.33203125" style="31" customWidth="1"/>
    <col min="15611" max="15611" width="0.33203125" style="31" customWidth="1"/>
    <col min="15612" max="15612" width="4.6640625" style="31" customWidth="1"/>
    <col min="15613" max="15614" width="7.6640625" style="31" customWidth="1"/>
    <col min="15615" max="15620" width="8.6640625" style="31" customWidth="1"/>
    <col min="15621" max="15623" width="10.6640625" style="31" customWidth="1"/>
    <col min="15624" max="15624" width="25.5546875" style="31" customWidth="1"/>
    <col min="15625" max="15625" width="9.33203125" style="31" customWidth="1"/>
    <col min="15626" max="15626" width="14.33203125" style="31" customWidth="1"/>
    <col min="15627" max="15627" width="12.44140625" style="31" customWidth="1"/>
    <col min="15628" max="15861" width="8.6640625" style="31"/>
    <col min="15862" max="15862" width="2.44140625" style="31" customWidth="1"/>
    <col min="15863" max="15863" width="15.33203125" style="31" customWidth="1"/>
    <col min="15864" max="15864" width="17.33203125" style="31" customWidth="1"/>
    <col min="15865" max="15865" width="3.5546875" style="31" customWidth="1"/>
    <col min="15866" max="15866" width="17.33203125" style="31" customWidth="1"/>
    <col min="15867" max="15867" width="0.33203125" style="31" customWidth="1"/>
    <col min="15868" max="15868" width="4.6640625" style="31" customWidth="1"/>
    <col min="15869" max="15870" width="7.6640625" style="31" customWidth="1"/>
    <col min="15871" max="15876" width="8.6640625" style="31" customWidth="1"/>
    <col min="15877" max="15879" width="10.6640625" style="31" customWidth="1"/>
    <col min="15880" max="15880" width="25.5546875" style="31" customWidth="1"/>
    <col min="15881" max="15881" width="9.33203125" style="31" customWidth="1"/>
    <col min="15882" max="15882" width="14.33203125" style="31" customWidth="1"/>
    <col min="15883" max="15883" width="12.44140625" style="31" customWidth="1"/>
    <col min="15884" max="16117" width="8.6640625" style="31"/>
    <col min="16118" max="16118" width="2.44140625" style="31" customWidth="1"/>
    <col min="16119" max="16119" width="15.33203125" style="31" customWidth="1"/>
    <col min="16120" max="16120" width="17.33203125" style="31" customWidth="1"/>
    <col min="16121" max="16121" width="3.5546875" style="31" customWidth="1"/>
    <col min="16122" max="16122" width="17.33203125" style="31" customWidth="1"/>
    <col min="16123" max="16123" width="0.33203125" style="31" customWidth="1"/>
    <col min="16124" max="16124" width="4.6640625" style="31" customWidth="1"/>
    <col min="16125" max="16126" width="7.6640625" style="31" customWidth="1"/>
    <col min="16127" max="16132" width="8.6640625" style="31" customWidth="1"/>
    <col min="16133" max="16135" width="10.6640625" style="31" customWidth="1"/>
    <col min="16136" max="16136" width="25.5546875" style="31" customWidth="1"/>
    <col min="16137" max="16137" width="9.33203125" style="31" customWidth="1"/>
    <col min="16138" max="16138" width="14.33203125" style="31" customWidth="1"/>
    <col min="16139" max="16139" width="12.44140625" style="31" customWidth="1"/>
    <col min="16140" max="16376" width="8.6640625" style="31"/>
    <col min="16377" max="16384" width="8.6640625" style="31" customWidth="1"/>
  </cols>
  <sheetData>
    <row r="1" spans="1:16" ht="13.8" thickBot="1" x14ac:dyDescent="0.3">
      <c r="A1" s="38"/>
      <c r="G1" s="116"/>
      <c r="H1" s="116"/>
      <c r="I1" s="116"/>
      <c r="J1" s="31"/>
      <c r="K1" s="49"/>
      <c r="L1" s="108"/>
      <c r="M1" s="49"/>
      <c r="N1" s="49"/>
    </row>
    <row r="2" spans="1:16" ht="18" x14ac:dyDescent="0.35">
      <c r="E2" s="145" t="s">
        <v>61</v>
      </c>
      <c r="G2" s="67"/>
      <c r="H2" s="116"/>
      <c r="I2" s="237" t="s">
        <v>1</v>
      </c>
      <c r="J2" s="238"/>
      <c r="K2" s="239"/>
      <c r="L2" s="201"/>
      <c r="M2" s="240"/>
      <c r="N2" s="241"/>
    </row>
    <row r="3" spans="1:16" ht="16.2" thickBot="1" x14ac:dyDescent="0.35">
      <c r="G3" s="116"/>
      <c r="H3" s="116"/>
      <c r="I3" s="196" t="s">
        <v>2</v>
      </c>
      <c r="J3" s="143"/>
      <c r="K3" s="143"/>
      <c r="L3" s="188"/>
      <c r="M3" s="242"/>
      <c r="N3" s="198"/>
    </row>
    <row r="4" spans="1:16" x14ac:dyDescent="0.25">
      <c r="E4" s="125" t="str">
        <f>'BCN-VLC-ALG to W-E Africa'!F4</f>
        <v>VALIDEZ: 1 Abril 2026 hasta 30 Abril 2026</v>
      </c>
      <c r="F4" s="130"/>
      <c r="G4" s="130"/>
      <c r="H4" s="116"/>
      <c r="I4" s="394"/>
      <c r="J4" s="31"/>
      <c r="K4" s="31"/>
      <c r="L4" s="37"/>
      <c r="M4" s="31"/>
      <c r="N4" s="31"/>
    </row>
    <row r="5" spans="1:16" ht="13.8" thickBot="1" x14ac:dyDescent="0.3">
      <c r="F5" s="73"/>
      <c r="G5" s="130"/>
      <c r="H5" s="116"/>
      <c r="I5" s="116"/>
      <c r="J5" s="31"/>
      <c r="K5" s="31"/>
      <c r="L5" s="37"/>
      <c r="M5" s="31"/>
      <c r="N5" s="31"/>
    </row>
    <row r="6" spans="1:16" ht="21.6" thickBot="1" x14ac:dyDescent="0.45">
      <c r="D6" s="418" t="s">
        <v>601</v>
      </c>
      <c r="E6" s="423"/>
      <c r="F6" s="420"/>
      <c r="G6" s="419"/>
      <c r="H6" s="419"/>
      <c r="I6" s="419"/>
      <c r="J6" s="424"/>
      <c r="K6" s="31"/>
      <c r="L6" s="37"/>
      <c r="M6" s="31"/>
      <c r="N6" s="31"/>
      <c r="P6" s="37"/>
    </row>
    <row r="7" spans="1:16" x14ac:dyDescent="0.25">
      <c r="E7" s="125"/>
      <c r="F7" s="73"/>
      <c r="G7" s="130"/>
      <c r="H7" s="116"/>
      <c r="I7" s="116"/>
      <c r="J7" s="31"/>
      <c r="K7" s="31"/>
      <c r="L7" s="37"/>
      <c r="M7" s="31"/>
      <c r="N7" s="31"/>
    </row>
    <row r="8" spans="1:16" ht="22.5" customHeight="1" x14ac:dyDescent="0.25">
      <c r="B8" s="216" t="s">
        <v>3</v>
      </c>
      <c r="C8" s="217" t="s">
        <v>5</v>
      </c>
      <c r="D8" s="217" t="s">
        <v>6</v>
      </c>
      <c r="E8" s="217" t="s">
        <v>8</v>
      </c>
      <c r="F8" s="217" t="s">
        <v>9</v>
      </c>
      <c r="G8" s="218" t="s">
        <v>10</v>
      </c>
      <c r="H8" s="218" t="s">
        <v>11</v>
      </c>
      <c r="I8" s="218" t="s">
        <v>12</v>
      </c>
      <c r="J8" s="218" t="s">
        <v>62</v>
      </c>
      <c r="K8" s="218" t="s">
        <v>63</v>
      </c>
      <c r="L8" s="218" t="s">
        <v>603</v>
      </c>
      <c r="M8" s="218" t="s">
        <v>14</v>
      </c>
      <c r="N8" s="218" t="s">
        <v>15</v>
      </c>
      <c r="O8" s="219" t="s">
        <v>16</v>
      </c>
    </row>
    <row r="9" spans="1:16" ht="31.5" customHeight="1" x14ac:dyDescent="0.25">
      <c r="B9" s="177" t="s">
        <v>64</v>
      </c>
      <c r="C9" s="65" t="s">
        <v>65</v>
      </c>
      <c r="D9" s="65" t="s">
        <v>66</v>
      </c>
      <c r="E9" s="106" t="s">
        <v>560</v>
      </c>
      <c r="F9" s="65" t="s">
        <v>68</v>
      </c>
      <c r="G9" s="333">
        <v>725</v>
      </c>
      <c r="H9" s="333">
        <v>950</v>
      </c>
      <c r="I9" s="333">
        <v>950</v>
      </c>
      <c r="J9" s="205" t="s">
        <v>69</v>
      </c>
      <c r="K9" s="205" t="s">
        <v>70</v>
      </c>
      <c r="L9" s="205">
        <v>60</v>
      </c>
      <c r="M9" s="205" t="s">
        <v>605</v>
      </c>
      <c r="N9" s="206"/>
      <c r="O9" s="207"/>
    </row>
    <row r="10" spans="1:16" ht="31.5" customHeight="1" x14ac:dyDescent="0.25">
      <c r="B10" s="177" t="s">
        <v>64</v>
      </c>
      <c r="C10" s="65" t="s">
        <v>71</v>
      </c>
      <c r="D10" s="65" t="s">
        <v>66</v>
      </c>
      <c r="E10" s="106" t="s">
        <v>560</v>
      </c>
      <c r="F10" s="65" t="s">
        <v>68</v>
      </c>
      <c r="G10" s="333">
        <v>800</v>
      </c>
      <c r="H10" s="333">
        <v>1075</v>
      </c>
      <c r="I10" s="333">
        <v>1075</v>
      </c>
      <c r="J10" s="205" t="s">
        <v>69</v>
      </c>
      <c r="K10" s="205" t="str">
        <f>K9</f>
        <v>INCL</v>
      </c>
      <c r="L10" s="205">
        <f ca="1">$L$10</f>
        <v>60</v>
      </c>
      <c r="M10" s="205" t="str">
        <f ca="1">$M$10</f>
        <v>EBS/ETS</v>
      </c>
      <c r="N10" s="206"/>
      <c r="O10" s="207"/>
    </row>
    <row r="11" spans="1:16" ht="18" customHeight="1" x14ac:dyDescent="0.25">
      <c r="B11" s="177" t="s">
        <v>64</v>
      </c>
      <c r="C11" s="65" t="s">
        <v>72</v>
      </c>
      <c r="D11" s="65" t="s">
        <v>20</v>
      </c>
      <c r="E11" s="106" t="s">
        <v>572</v>
      </c>
      <c r="F11" s="65" t="s">
        <v>68</v>
      </c>
      <c r="G11" s="333">
        <v>545</v>
      </c>
      <c r="H11" s="333">
        <v>665</v>
      </c>
      <c r="I11" s="333">
        <v>665</v>
      </c>
      <c r="J11" s="205" t="s">
        <v>69</v>
      </c>
      <c r="K11" s="205" t="str">
        <f>K10</f>
        <v>INCL</v>
      </c>
      <c r="L11" s="205">
        <f t="shared" ref="L11:L63" ca="1" si="0">$L$10</f>
        <v>60</v>
      </c>
      <c r="M11" s="205" t="str">
        <f t="shared" ref="M11:M63" ca="1" si="1">$M$10</f>
        <v>EBS/ETS</v>
      </c>
      <c r="N11" s="206"/>
      <c r="O11" s="207"/>
    </row>
    <row r="12" spans="1:16" ht="18" customHeight="1" x14ac:dyDescent="0.25">
      <c r="B12" s="177" t="s">
        <v>64</v>
      </c>
      <c r="C12" s="65" t="s">
        <v>73</v>
      </c>
      <c r="D12" s="65" t="s">
        <v>66</v>
      </c>
      <c r="E12" s="106" t="s">
        <v>561</v>
      </c>
      <c r="F12" s="65" t="s">
        <v>68</v>
      </c>
      <c r="G12" s="333">
        <v>825</v>
      </c>
      <c r="H12" s="333">
        <v>1150</v>
      </c>
      <c r="I12" s="333">
        <v>1150</v>
      </c>
      <c r="J12" s="205" t="s">
        <v>69</v>
      </c>
      <c r="K12" s="205" t="str">
        <f>K11</f>
        <v>INCL</v>
      </c>
      <c r="L12" s="205">
        <f t="shared" ca="1" si="0"/>
        <v>60</v>
      </c>
      <c r="M12" s="205" t="str">
        <f t="shared" ca="1" si="1"/>
        <v>EBS/ETS</v>
      </c>
      <c r="N12" s="206"/>
      <c r="O12" s="207"/>
    </row>
    <row r="13" spans="1:16" ht="18" customHeight="1" x14ac:dyDescent="0.25">
      <c r="B13" s="177" t="s">
        <v>64</v>
      </c>
      <c r="C13" s="65" t="s">
        <v>75</v>
      </c>
      <c r="D13" s="65" t="s">
        <v>66</v>
      </c>
      <c r="E13" s="106" t="s">
        <v>561</v>
      </c>
      <c r="F13" s="65" t="s">
        <v>68</v>
      </c>
      <c r="G13" s="333">
        <v>900</v>
      </c>
      <c r="H13" s="333">
        <v>1325</v>
      </c>
      <c r="I13" s="333">
        <v>1325</v>
      </c>
      <c r="J13" s="205" t="s">
        <v>69</v>
      </c>
      <c r="K13" s="205" t="str">
        <f t="shared" ref="K13:K63" si="2">K12</f>
        <v>INCL</v>
      </c>
      <c r="L13" s="205">
        <f t="shared" ca="1" si="0"/>
        <v>60</v>
      </c>
      <c r="M13" s="205" t="str">
        <f t="shared" ca="1" si="1"/>
        <v>EBS/ETS</v>
      </c>
      <c r="N13" s="206"/>
      <c r="O13" s="207"/>
    </row>
    <row r="14" spans="1:16" ht="18" customHeight="1" x14ac:dyDescent="0.25">
      <c r="B14" s="177" t="s">
        <v>64</v>
      </c>
      <c r="C14" s="65" t="s">
        <v>76</v>
      </c>
      <c r="D14" s="65" t="s">
        <v>66</v>
      </c>
      <c r="E14" s="106" t="s">
        <v>562</v>
      </c>
      <c r="F14" s="65" t="s">
        <v>68</v>
      </c>
      <c r="G14" s="333">
        <v>1375</v>
      </c>
      <c r="H14" s="333">
        <v>2150</v>
      </c>
      <c r="I14" s="333">
        <v>2150</v>
      </c>
      <c r="J14" s="205" t="s">
        <v>69</v>
      </c>
      <c r="K14" s="205" t="str">
        <f t="shared" si="2"/>
        <v>INCL</v>
      </c>
      <c r="L14" s="205">
        <f t="shared" ca="1" si="0"/>
        <v>60</v>
      </c>
      <c r="M14" s="205" t="str">
        <f t="shared" ca="1" si="1"/>
        <v>EBS/ETS</v>
      </c>
      <c r="N14" s="206"/>
      <c r="O14" s="207"/>
    </row>
    <row r="15" spans="1:16" ht="18" customHeight="1" x14ac:dyDescent="0.25">
      <c r="B15" s="379" t="s">
        <v>64</v>
      </c>
      <c r="C15" s="380" t="s">
        <v>78</v>
      </c>
      <c r="D15" s="380" t="s">
        <v>20</v>
      </c>
      <c r="E15" s="425" t="s">
        <v>558</v>
      </c>
      <c r="F15" s="380" t="s">
        <v>68</v>
      </c>
      <c r="G15" s="381">
        <v>500</v>
      </c>
      <c r="H15" s="381">
        <v>600</v>
      </c>
      <c r="I15" s="381">
        <v>600</v>
      </c>
      <c r="J15" s="382" t="s">
        <v>69</v>
      </c>
      <c r="K15" s="382" t="str">
        <f t="shared" si="2"/>
        <v>INCL</v>
      </c>
      <c r="L15" s="382">
        <f t="shared" ca="1" si="0"/>
        <v>60</v>
      </c>
      <c r="M15" s="382" t="str">
        <f t="shared" ca="1" si="1"/>
        <v>EBS/ETS</v>
      </c>
      <c r="N15" s="383"/>
      <c r="O15" s="384"/>
    </row>
    <row r="16" spans="1:16" ht="18" customHeight="1" x14ac:dyDescent="0.25">
      <c r="B16" s="177" t="s">
        <v>64</v>
      </c>
      <c r="C16" s="65" t="s">
        <v>79</v>
      </c>
      <c r="D16" s="65" t="s">
        <v>66</v>
      </c>
      <c r="E16" s="106" t="s">
        <v>563</v>
      </c>
      <c r="F16" s="65" t="s">
        <v>68</v>
      </c>
      <c r="G16" s="333">
        <v>1450</v>
      </c>
      <c r="H16" s="333">
        <v>2350</v>
      </c>
      <c r="I16" s="333">
        <v>2350</v>
      </c>
      <c r="J16" s="205" t="s">
        <v>69</v>
      </c>
      <c r="K16" s="205" t="str">
        <f t="shared" si="2"/>
        <v>INCL</v>
      </c>
      <c r="L16" s="205">
        <f t="shared" ca="1" si="0"/>
        <v>60</v>
      </c>
      <c r="M16" s="205" t="str">
        <f t="shared" ca="1" si="1"/>
        <v>EBS/ETS</v>
      </c>
      <c r="N16" s="206"/>
      <c r="O16" s="207"/>
    </row>
    <row r="17" spans="2:15" ht="18" customHeight="1" x14ac:dyDescent="0.25">
      <c r="B17" s="177" t="s">
        <v>64</v>
      </c>
      <c r="C17" s="65" t="s">
        <v>81</v>
      </c>
      <c r="D17" s="65" t="s">
        <v>66</v>
      </c>
      <c r="E17" s="106" t="s">
        <v>564</v>
      </c>
      <c r="F17" s="65" t="s">
        <v>68</v>
      </c>
      <c r="G17" s="333">
        <v>725</v>
      </c>
      <c r="H17" s="333">
        <v>1000</v>
      </c>
      <c r="I17" s="333">
        <v>1000</v>
      </c>
      <c r="J17" s="205" t="s">
        <v>69</v>
      </c>
      <c r="K17" s="205" t="str">
        <f t="shared" si="2"/>
        <v>INCL</v>
      </c>
      <c r="L17" s="205">
        <f t="shared" ca="1" si="0"/>
        <v>60</v>
      </c>
      <c r="M17" s="205" t="str">
        <f t="shared" ca="1" si="1"/>
        <v>EBS/ETS</v>
      </c>
      <c r="N17" s="206"/>
      <c r="O17" s="207"/>
    </row>
    <row r="18" spans="2:15" ht="18" customHeight="1" x14ac:dyDescent="0.25">
      <c r="B18" s="177" t="s">
        <v>64</v>
      </c>
      <c r="C18" s="65" t="s">
        <v>83</v>
      </c>
      <c r="D18" s="65" t="s">
        <v>66</v>
      </c>
      <c r="E18" s="106" t="s">
        <v>565</v>
      </c>
      <c r="F18" s="65" t="s">
        <v>68</v>
      </c>
      <c r="G18" s="333">
        <v>700</v>
      </c>
      <c r="H18" s="333">
        <v>950</v>
      </c>
      <c r="I18" s="333">
        <v>950</v>
      </c>
      <c r="J18" s="205" t="s">
        <v>69</v>
      </c>
      <c r="K18" s="205" t="str">
        <f t="shared" si="2"/>
        <v>INCL</v>
      </c>
      <c r="L18" s="205">
        <f t="shared" ca="1" si="0"/>
        <v>60</v>
      </c>
      <c r="M18" s="205" t="str">
        <f t="shared" ca="1" si="1"/>
        <v>EBS/ETS</v>
      </c>
      <c r="N18" s="206"/>
      <c r="O18" s="207"/>
    </row>
    <row r="19" spans="2:15" ht="18" customHeight="1" x14ac:dyDescent="0.25">
      <c r="B19" s="177" t="s">
        <v>64</v>
      </c>
      <c r="C19" s="65" t="s">
        <v>84</v>
      </c>
      <c r="D19" s="65" t="s">
        <v>66</v>
      </c>
      <c r="E19" s="106" t="s">
        <v>559</v>
      </c>
      <c r="F19" s="65" t="s">
        <v>68</v>
      </c>
      <c r="G19" s="333">
        <v>650</v>
      </c>
      <c r="H19" s="333">
        <v>900</v>
      </c>
      <c r="I19" s="333">
        <v>900</v>
      </c>
      <c r="J19" s="205" t="s">
        <v>69</v>
      </c>
      <c r="K19" s="205" t="str">
        <f t="shared" si="2"/>
        <v>INCL</v>
      </c>
      <c r="L19" s="205">
        <f t="shared" ca="1" si="0"/>
        <v>60</v>
      </c>
      <c r="M19" s="205" t="str">
        <f t="shared" ca="1" si="1"/>
        <v>EBS/ETS</v>
      </c>
      <c r="N19" s="206"/>
      <c r="O19" s="207"/>
    </row>
    <row r="20" spans="2:15" ht="18" customHeight="1" x14ac:dyDescent="0.25">
      <c r="B20" s="177" t="s">
        <v>64</v>
      </c>
      <c r="C20" s="65" t="s">
        <v>86</v>
      </c>
      <c r="D20" s="65" t="s">
        <v>66</v>
      </c>
      <c r="E20" s="106" t="s">
        <v>563</v>
      </c>
      <c r="F20" s="65" t="s">
        <v>68</v>
      </c>
      <c r="G20" s="333">
        <v>700</v>
      </c>
      <c r="H20" s="333">
        <v>900</v>
      </c>
      <c r="I20" s="333">
        <v>900</v>
      </c>
      <c r="J20" s="205" t="s">
        <v>69</v>
      </c>
      <c r="K20" s="205" t="str">
        <f t="shared" si="2"/>
        <v>INCL</v>
      </c>
      <c r="L20" s="205">
        <f t="shared" ca="1" si="0"/>
        <v>60</v>
      </c>
      <c r="M20" s="205" t="str">
        <f t="shared" ca="1" si="1"/>
        <v>EBS/ETS</v>
      </c>
      <c r="N20" s="206"/>
      <c r="O20" s="207"/>
    </row>
    <row r="21" spans="2:15" ht="18" customHeight="1" x14ac:dyDescent="0.25">
      <c r="B21" s="177" t="s">
        <v>64</v>
      </c>
      <c r="C21" s="65" t="s">
        <v>88</v>
      </c>
      <c r="D21" s="65" t="s">
        <v>66</v>
      </c>
      <c r="E21" s="106" t="s">
        <v>566</v>
      </c>
      <c r="F21" s="65" t="s">
        <v>68</v>
      </c>
      <c r="G21" s="333">
        <f>G28+250</f>
        <v>1100</v>
      </c>
      <c r="H21" s="333">
        <f>H28+350</f>
        <v>1400</v>
      </c>
      <c r="I21" s="333">
        <f>H21</f>
        <v>1400</v>
      </c>
      <c r="J21" s="205" t="s">
        <v>69</v>
      </c>
      <c r="K21" s="205" t="str">
        <f t="shared" si="2"/>
        <v>INCL</v>
      </c>
      <c r="L21" s="205">
        <f t="shared" ca="1" si="0"/>
        <v>60</v>
      </c>
      <c r="M21" s="205" t="str">
        <f t="shared" ca="1" si="1"/>
        <v>EBS/ETS</v>
      </c>
      <c r="N21" s="206"/>
      <c r="O21" s="207"/>
    </row>
    <row r="22" spans="2:15" ht="18" customHeight="1" x14ac:dyDescent="0.25">
      <c r="B22" s="177" t="s">
        <v>64</v>
      </c>
      <c r="C22" s="65" t="s">
        <v>90</v>
      </c>
      <c r="D22" s="65" t="s">
        <v>66</v>
      </c>
      <c r="E22" s="106" t="s">
        <v>563</v>
      </c>
      <c r="F22" s="65" t="s">
        <v>68</v>
      </c>
      <c r="G22" s="333">
        <v>650</v>
      </c>
      <c r="H22" s="333">
        <v>875</v>
      </c>
      <c r="I22" s="333">
        <v>875</v>
      </c>
      <c r="J22" s="205" t="s">
        <v>69</v>
      </c>
      <c r="K22" s="205" t="str">
        <f t="shared" si="2"/>
        <v>INCL</v>
      </c>
      <c r="L22" s="205">
        <f t="shared" ca="1" si="0"/>
        <v>60</v>
      </c>
      <c r="M22" s="205" t="str">
        <f t="shared" ca="1" si="1"/>
        <v>EBS/ETS</v>
      </c>
      <c r="N22" s="206"/>
      <c r="O22" s="207"/>
    </row>
    <row r="23" spans="2:15" ht="18" customHeight="1" x14ac:dyDescent="0.25">
      <c r="B23" s="379" t="s">
        <v>64</v>
      </c>
      <c r="C23" s="380" t="s">
        <v>91</v>
      </c>
      <c r="D23" s="380" t="s">
        <v>20</v>
      </c>
      <c r="E23" s="425" t="s">
        <v>334</v>
      </c>
      <c r="F23" s="380" t="s">
        <v>68</v>
      </c>
      <c r="G23" s="381">
        <v>500</v>
      </c>
      <c r="H23" s="381">
        <v>600</v>
      </c>
      <c r="I23" s="381">
        <v>600</v>
      </c>
      <c r="J23" s="382" t="s">
        <v>69</v>
      </c>
      <c r="K23" s="382" t="str">
        <f t="shared" si="2"/>
        <v>INCL</v>
      </c>
      <c r="L23" s="382">
        <f t="shared" ca="1" si="0"/>
        <v>60</v>
      </c>
      <c r="M23" s="382" t="str">
        <f t="shared" ca="1" si="1"/>
        <v>EBS/ETS</v>
      </c>
      <c r="N23" s="383"/>
      <c r="O23" s="384"/>
    </row>
    <row r="24" spans="2:15" ht="18" customHeight="1" x14ac:dyDescent="0.25">
      <c r="B24" s="177" t="s">
        <v>64</v>
      </c>
      <c r="C24" s="65" t="s">
        <v>93</v>
      </c>
      <c r="D24" s="65" t="s">
        <v>66</v>
      </c>
      <c r="E24" s="106" t="s">
        <v>567</v>
      </c>
      <c r="F24" s="65" t="s">
        <v>68</v>
      </c>
      <c r="G24" s="333">
        <v>700</v>
      </c>
      <c r="H24" s="333">
        <v>875</v>
      </c>
      <c r="I24" s="333">
        <v>875</v>
      </c>
      <c r="J24" s="205" t="s">
        <v>69</v>
      </c>
      <c r="K24" s="205" t="str">
        <f t="shared" si="2"/>
        <v>INCL</v>
      </c>
      <c r="L24" s="205">
        <f t="shared" ca="1" si="0"/>
        <v>60</v>
      </c>
      <c r="M24" s="205" t="str">
        <f t="shared" ca="1" si="1"/>
        <v>EBS/ETS</v>
      </c>
      <c r="N24" s="206"/>
      <c r="O24" s="207"/>
    </row>
    <row r="25" spans="2:15" ht="31.5" customHeight="1" x14ac:dyDescent="0.25">
      <c r="B25" s="177" t="s">
        <v>64</v>
      </c>
      <c r="C25" s="65" t="s">
        <v>95</v>
      </c>
      <c r="D25" s="65" t="s">
        <v>66</v>
      </c>
      <c r="E25" s="106" t="s">
        <v>560</v>
      </c>
      <c r="F25" s="65" t="s">
        <v>68</v>
      </c>
      <c r="G25" s="333">
        <v>775</v>
      </c>
      <c r="H25" s="333">
        <v>1000</v>
      </c>
      <c r="I25" s="333">
        <v>1000</v>
      </c>
      <c r="J25" s="205" t="s">
        <v>69</v>
      </c>
      <c r="K25" s="205" t="str">
        <f t="shared" si="2"/>
        <v>INCL</v>
      </c>
      <c r="L25" s="205">
        <f t="shared" ca="1" si="0"/>
        <v>60</v>
      </c>
      <c r="M25" s="205" t="str">
        <f t="shared" ca="1" si="1"/>
        <v>EBS/ETS</v>
      </c>
      <c r="N25" s="206"/>
      <c r="O25" s="207"/>
    </row>
    <row r="26" spans="2:15" ht="18" customHeight="1" x14ac:dyDescent="0.25">
      <c r="B26" s="379" t="s">
        <v>64</v>
      </c>
      <c r="C26" s="380" t="s">
        <v>97</v>
      </c>
      <c r="D26" s="380" t="s">
        <v>20</v>
      </c>
      <c r="E26" s="425" t="s">
        <v>334</v>
      </c>
      <c r="F26" s="380" t="s">
        <v>68</v>
      </c>
      <c r="G26" s="381">
        <v>500</v>
      </c>
      <c r="H26" s="381">
        <v>600</v>
      </c>
      <c r="I26" s="381">
        <v>600</v>
      </c>
      <c r="J26" s="382" t="s">
        <v>69</v>
      </c>
      <c r="K26" s="382" t="str">
        <f t="shared" si="2"/>
        <v>INCL</v>
      </c>
      <c r="L26" s="382">
        <f t="shared" ca="1" si="0"/>
        <v>60</v>
      </c>
      <c r="M26" s="382" t="str">
        <f t="shared" ca="1" si="1"/>
        <v>EBS/ETS</v>
      </c>
      <c r="N26" s="383"/>
      <c r="O26" s="384"/>
    </row>
    <row r="27" spans="2:15" ht="18" customHeight="1" x14ac:dyDescent="0.25">
      <c r="B27" s="177" t="s">
        <v>64</v>
      </c>
      <c r="C27" s="65" t="s">
        <v>99</v>
      </c>
      <c r="D27" s="65" t="s">
        <v>66</v>
      </c>
      <c r="E27" s="106" t="s">
        <v>568</v>
      </c>
      <c r="F27" s="65" t="s">
        <v>68</v>
      </c>
      <c r="G27" s="333">
        <v>850</v>
      </c>
      <c r="H27" s="333">
        <v>950</v>
      </c>
      <c r="I27" s="333">
        <v>950</v>
      </c>
      <c r="J27" s="205" t="s">
        <v>69</v>
      </c>
      <c r="K27" s="205" t="str">
        <f t="shared" si="2"/>
        <v>INCL</v>
      </c>
      <c r="L27" s="205">
        <f t="shared" ca="1" si="0"/>
        <v>60</v>
      </c>
      <c r="M27" s="205" t="str">
        <f t="shared" ca="1" si="1"/>
        <v>EBS/ETS</v>
      </c>
      <c r="N27" s="206"/>
      <c r="O27" s="207"/>
    </row>
    <row r="28" spans="2:15" ht="18" customHeight="1" x14ac:dyDescent="0.25">
      <c r="B28" s="385" t="s">
        <v>64</v>
      </c>
      <c r="C28" s="386" t="s">
        <v>89</v>
      </c>
      <c r="D28" s="386" t="s">
        <v>20</v>
      </c>
      <c r="E28" s="426" t="s">
        <v>559</v>
      </c>
      <c r="F28" s="386" t="s">
        <v>68</v>
      </c>
      <c r="G28" s="387">
        <v>850</v>
      </c>
      <c r="H28" s="387">
        <v>1050</v>
      </c>
      <c r="I28" s="387">
        <v>1050</v>
      </c>
      <c r="J28" s="388" t="s">
        <v>69</v>
      </c>
      <c r="K28" s="388" t="str">
        <f t="shared" si="2"/>
        <v>INCL</v>
      </c>
      <c r="L28" s="388">
        <f t="shared" ca="1" si="0"/>
        <v>60</v>
      </c>
      <c r="M28" s="388" t="str">
        <f t="shared" ca="1" si="1"/>
        <v>EBS/ETS</v>
      </c>
      <c r="N28" s="389"/>
      <c r="O28" s="390"/>
    </row>
    <row r="29" spans="2:15" ht="31.5" customHeight="1" x14ac:dyDescent="0.25">
      <c r="B29" s="177" t="s">
        <v>64</v>
      </c>
      <c r="C29" s="65" t="s">
        <v>102</v>
      </c>
      <c r="D29" s="65" t="s">
        <v>66</v>
      </c>
      <c r="E29" s="106" t="s">
        <v>560</v>
      </c>
      <c r="F29" s="65" t="s">
        <v>68</v>
      </c>
      <c r="G29" s="333">
        <v>700</v>
      </c>
      <c r="H29" s="333">
        <v>925</v>
      </c>
      <c r="I29" s="333">
        <v>925</v>
      </c>
      <c r="J29" s="205" t="s">
        <v>69</v>
      </c>
      <c r="K29" s="205" t="str">
        <f t="shared" si="2"/>
        <v>INCL</v>
      </c>
      <c r="L29" s="205">
        <f t="shared" ca="1" si="0"/>
        <v>60</v>
      </c>
      <c r="M29" s="205" t="str">
        <f t="shared" ca="1" si="1"/>
        <v>EBS/ETS</v>
      </c>
      <c r="N29" s="206"/>
      <c r="O29" s="207"/>
    </row>
    <row r="30" spans="2:15" ht="18" customHeight="1" x14ac:dyDescent="0.25">
      <c r="B30" s="177" t="s">
        <v>64</v>
      </c>
      <c r="C30" s="65" t="s">
        <v>103</v>
      </c>
      <c r="D30" s="65" t="s">
        <v>66</v>
      </c>
      <c r="E30" s="106" t="s">
        <v>561</v>
      </c>
      <c r="F30" s="65" t="s">
        <v>68</v>
      </c>
      <c r="G30" s="333">
        <v>775</v>
      </c>
      <c r="H30" s="333">
        <v>1100</v>
      </c>
      <c r="I30" s="333">
        <v>1100</v>
      </c>
      <c r="J30" s="205" t="s">
        <v>69</v>
      </c>
      <c r="K30" s="205" t="str">
        <f t="shared" si="2"/>
        <v>INCL</v>
      </c>
      <c r="L30" s="205">
        <f t="shared" ca="1" si="0"/>
        <v>60</v>
      </c>
      <c r="M30" s="205" t="str">
        <f t="shared" ca="1" si="1"/>
        <v>EBS/ETS</v>
      </c>
      <c r="N30" s="206"/>
      <c r="O30" s="207"/>
    </row>
    <row r="31" spans="2:15" ht="18" customHeight="1" x14ac:dyDescent="0.25">
      <c r="B31" s="177" t="s">
        <v>64</v>
      </c>
      <c r="C31" s="65" t="s">
        <v>104</v>
      </c>
      <c r="D31" s="65" t="s">
        <v>66</v>
      </c>
      <c r="E31" s="106" t="s">
        <v>91</v>
      </c>
      <c r="F31" s="65" t="s">
        <v>68</v>
      </c>
      <c r="G31" s="333">
        <v>850</v>
      </c>
      <c r="H31" s="333">
        <v>1175</v>
      </c>
      <c r="I31" s="333">
        <v>1175</v>
      </c>
      <c r="J31" s="205" t="s">
        <v>69</v>
      </c>
      <c r="K31" s="205" t="str">
        <f t="shared" si="2"/>
        <v>INCL</v>
      </c>
      <c r="L31" s="205">
        <f t="shared" ca="1" si="0"/>
        <v>60</v>
      </c>
      <c r="M31" s="205" t="str">
        <f t="shared" ca="1" si="1"/>
        <v>EBS/ETS</v>
      </c>
      <c r="N31" s="206"/>
      <c r="O31" s="207"/>
    </row>
    <row r="32" spans="2:15" ht="18" customHeight="1" x14ac:dyDescent="0.25">
      <c r="B32" s="177" t="s">
        <v>64</v>
      </c>
      <c r="C32" s="65" t="s">
        <v>105</v>
      </c>
      <c r="D32" s="65" t="s">
        <v>66</v>
      </c>
      <c r="E32" s="106" t="s">
        <v>106</v>
      </c>
      <c r="F32" s="65" t="s">
        <v>68</v>
      </c>
      <c r="G32" s="333">
        <v>925</v>
      </c>
      <c r="H32" s="333">
        <v>1275</v>
      </c>
      <c r="I32" s="333">
        <v>1275</v>
      </c>
      <c r="J32" s="205" t="s">
        <v>69</v>
      </c>
      <c r="K32" s="205" t="str">
        <f t="shared" si="2"/>
        <v>INCL</v>
      </c>
      <c r="L32" s="205">
        <f t="shared" ca="1" si="0"/>
        <v>60</v>
      </c>
      <c r="M32" s="205" t="str">
        <f t="shared" ca="1" si="1"/>
        <v>EBS/ETS</v>
      </c>
      <c r="N32" s="206"/>
      <c r="O32" s="207"/>
    </row>
    <row r="33" spans="2:15" ht="18" customHeight="1" x14ac:dyDescent="0.25">
      <c r="B33" s="385" t="s">
        <v>64</v>
      </c>
      <c r="C33" s="386" t="s">
        <v>107</v>
      </c>
      <c r="D33" s="386" t="s">
        <v>20</v>
      </c>
      <c r="E33" s="426" t="s">
        <v>559</v>
      </c>
      <c r="F33" s="386" t="s">
        <v>68</v>
      </c>
      <c r="G33" s="387">
        <v>850</v>
      </c>
      <c r="H33" s="387">
        <v>1050</v>
      </c>
      <c r="I33" s="387">
        <v>1050</v>
      </c>
      <c r="J33" s="388" t="s">
        <v>69</v>
      </c>
      <c r="K33" s="388" t="str">
        <f t="shared" si="2"/>
        <v>INCL</v>
      </c>
      <c r="L33" s="388">
        <f t="shared" ca="1" si="0"/>
        <v>60</v>
      </c>
      <c r="M33" s="388" t="str">
        <f t="shared" ca="1" si="1"/>
        <v>EBS/ETS</v>
      </c>
      <c r="N33" s="389"/>
      <c r="O33" s="390"/>
    </row>
    <row r="34" spans="2:15" ht="18" customHeight="1" x14ac:dyDescent="0.25">
      <c r="B34" s="379" t="s">
        <v>64</v>
      </c>
      <c r="C34" s="380" t="s">
        <v>96</v>
      </c>
      <c r="D34" s="380" t="s">
        <v>20</v>
      </c>
      <c r="E34" s="425" t="s">
        <v>108</v>
      </c>
      <c r="F34" s="380" t="s">
        <v>68</v>
      </c>
      <c r="G34" s="381">
        <v>500</v>
      </c>
      <c r="H34" s="381">
        <v>600</v>
      </c>
      <c r="I34" s="381">
        <v>600</v>
      </c>
      <c r="J34" s="382" t="s">
        <v>69</v>
      </c>
      <c r="K34" s="382" t="str">
        <f t="shared" si="2"/>
        <v>INCL</v>
      </c>
      <c r="L34" s="382">
        <f t="shared" ca="1" si="0"/>
        <v>60</v>
      </c>
      <c r="M34" s="382" t="str">
        <f t="shared" ca="1" si="1"/>
        <v>EBS/ETS</v>
      </c>
      <c r="N34" s="383"/>
      <c r="O34" s="384"/>
    </row>
    <row r="35" spans="2:15" ht="18" customHeight="1" x14ac:dyDescent="0.25">
      <c r="B35" s="177" t="s">
        <v>64</v>
      </c>
      <c r="C35" s="65" t="s">
        <v>109</v>
      </c>
      <c r="D35" s="65" t="s">
        <v>66</v>
      </c>
      <c r="E35" s="106" t="s">
        <v>74</v>
      </c>
      <c r="F35" s="65" t="s">
        <v>68</v>
      </c>
      <c r="G35" s="333">
        <v>850</v>
      </c>
      <c r="H35" s="333">
        <v>1050</v>
      </c>
      <c r="I35" s="333">
        <v>1050</v>
      </c>
      <c r="J35" s="205" t="s">
        <v>69</v>
      </c>
      <c r="K35" s="205" t="str">
        <f t="shared" si="2"/>
        <v>INCL</v>
      </c>
      <c r="L35" s="205">
        <f t="shared" ca="1" si="0"/>
        <v>60</v>
      </c>
      <c r="M35" s="205" t="str">
        <f t="shared" ca="1" si="1"/>
        <v>EBS/ETS</v>
      </c>
      <c r="N35" s="206"/>
      <c r="O35" s="207"/>
    </row>
    <row r="36" spans="2:15" ht="18" customHeight="1" x14ac:dyDescent="0.25">
      <c r="B36" s="379" t="s">
        <v>64</v>
      </c>
      <c r="C36" s="380" t="s">
        <v>82</v>
      </c>
      <c r="D36" s="380" t="s">
        <v>20</v>
      </c>
      <c r="E36" s="425" t="s">
        <v>33</v>
      </c>
      <c r="F36" s="380" t="s">
        <v>68</v>
      </c>
      <c r="G36" s="381">
        <v>500</v>
      </c>
      <c r="H36" s="381">
        <v>600</v>
      </c>
      <c r="I36" s="381">
        <v>600</v>
      </c>
      <c r="J36" s="382" t="s">
        <v>69</v>
      </c>
      <c r="K36" s="382" t="str">
        <f t="shared" si="2"/>
        <v>INCL</v>
      </c>
      <c r="L36" s="382">
        <f t="shared" ca="1" si="0"/>
        <v>60</v>
      </c>
      <c r="M36" s="382" t="str">
        <f t="shared" ca="1" si="1"/>
        <v>EBS/ETS</v>
      </c>
      <c r="N36" s="383"/>
      <c r="O36" s="384"/>
    </row>
    <row r="37" spans="2:15" ht="18" customHeight="1" x14ac:dyDescent="0.25">
      <c r="B37" s="385" t="s">
        <v>64</v>
      </c>
      <c r="C37" s="386" t="s">
        <v>110</v>
      </c>
      <c r="D37" s="386" t="s">
        <v>20</v>
      </c>
      <c r="E37" s="426" t="s">
        <v>559</v>
      </c>
      <c r="F37" s="386" t="s">
        <v>68</v>
      </c>
      <c r="G37" s="387">
        <v>850</v>
      </c>
      <c r="H37" s="387">
        <v>1050</v>
      </c>
      <c r="I37" s="387">
        <v>1050</v>
      </c>
      <c r="J37" s="388" t="s">
        <v>69</v>
      </c>
      <c r="K37" s="388" t="str">
        <f t="shared" si="2"/>
        <v>INCL</v>
      </c>
      <c r="L37" s="388">
        <f t="shared" ca="1" si="0"/>
        <v>60</v>
      </c>
      <c r="M37" s="388" t="str">
        <f t="shared" ca="1" si="1"/>
        <v>EBS/ETS</v>
      </c>
      <c r="N37" s="389"/>
      <c r="O37" s="390"/>
    </row>
    <row r="38" spans="2:15" ht="18" customHeight="1" x14ac:dyDescent="0.25">
      <c r="B38" s="177" t="s">
        <v>64</v>
      </c>
      <c r="C38" s="65" t="s">
        <v>112</v>
      </c>
      <c r="D38" s="65" t="s">
        <v>66</v>
      </c>
      <c r="E38" s="106" t="s">
        <v>67</v>
      </c>
      <c r="F38" s="65" t="s">
        <v>68</v>
      </c>
      <c r="G38" s="333">
        <v>700</v>
      </c>
      <c r="H38" s="333">
        <v>900</v>
      </c>
      <c r="I38" s="333">
        <v>900</v>
      </c>
      <c r="J38" s="205" t="s">
        <v>69</v>
      </c>
      <c r="K38" s="205" t="str">
        <f t="shared" si="2"/>
        <v>INCL</v>
      </c>
      <c r="L38" s="205">
        <f t="shared" ca="1" si="0"/>
        <v>60</v>
      </c>
      <c r="M38" s="205" t="str">
        <f t="shared" ca="1" si="1"/>
        <v>EBS/ETS</v>
      </c>
      <c r="N38" s="206"/>
      <c r="O38" s="207"/>
    </row>
    <row r="39" spans="2:15" ht="18" customHeight="1" x14ac:dyDescent="0.25">
      <c r="B39" s="379" t="s">
        <v>64</v>
      </c>
      <c r="C39" s="380" t="s">
        <v>113</v>
      </c>
      <c r="D39" s="380" t="s">
        <v>20</v>
      </c>
      <c r="E39" s="425" t="s">
        <v>334</v>
      </c>
      <c r="F39" s="380" t="s">
        <v>68</v>
      </c>
      <c r="G39" s="381">
        <v>500</v>
      </c>
      <c r="H39" s="381">
        <v>600</v>
      </c>
      <c r="I39" s="381">
        <v>600</v>
      </c>
      <c r="J39" s="382" t="s">
        <v>69</v>
      </c>
      <c r="K39" s="382" t="str">
        <f t="shared" si="2"/>
        <v>INCL</v>
      </c>
      <c r="L39" s="382">
        <f t="shared" ca="1" si="0"/>
        <v>60</v>
      </c>
      <c r="M39" s="382" t="str">
        <f t="shared" ca="1" si="1"/>
        <v>EBS/ETS</v>
      </c>
      <c r="N39" s="383"/>
      <c r="O39" s="384"/>
    </row>
    <row r="40" spans="2:15" ht="18" customHeight="1" x14ac:dyDescent="0.25">
      <c r="B40" s="379" t="s">
        <v>64</v>
      </c>
      <c r="C40" s="380" t="s">
        <v>114</v>
      </c>
      <c r="D40" s="380" t="s">
        <v>20</v>
      </c>
      <c r="E40" s="425" t="s">
        <v>334</v>
      </c>
      <c r="F40" s="380" t="s">
        <v>68</v>
      </c>
      <c r="G40" s="381">
        <v>500</v>
      </c>
      <c r="H40" s="381">
        <v>600</v>
      </c>
      <c r="I40" s="381">
        <v>600</v>
      </c>
      <c r="J40" s="382" t="s">
        <v>69</v>
      </c>
      <c r="K40" s="382" t="str">
        <f t="shared" si="2"/>
        <v>INCL</v>
      </c>
      <c r="L40" s="382">
        <f t="shared" ca="1" si="0"/>
        <v>60</v>
      </c>
      <c r="M40" s="382" t="str">
        <f t="shared" ca="1" si="1"/>
        <v>EBS/ETS</v>
      </c>
      <c r="N40" s="383"/>
      <c r="O40" s="384"/>
    </row>
    <row r="41" spans="2:15" ht="18" customHeight="1" x14ac:dyDescent="0.25">
      <c r="B41" s="177" t="s">
        <v>64</v>
      </c>
      <c r="C41" s="65" t="s">
        <v>115</v>
      </c>
      <c r="D41" s="65" t="s">
        <v>66</v>
      </c>
      <c r="E41" s="106" t="s">
        <v>559</v>
      </c>
      <c r="F41" s="65" t="s">
        <v>68</v>
      </c>
      <c r="G41" s="333">
        <v>750</v>
      </c>
      <c r="H41" s="333">
        <v>950</v>
      </c>
      <c r="I41" s="333">
        <v>950</v>
      </c>
      <c r="J41" s="205" t="s">
        <v>69</v>
      </c>
      <c r="K41" s="205" t="str">
        <f t="shared" si="2"/>
        <v>INCL</v>
      </c>
      <c r="L41" s="205">
        <f t="shared" ca="1" si="0"/>
        <v>60</v>
      </c>
      <c r="M41" s="205" t="str">
        <f t="shared" ca="1" si="1"/>
        <v>EBS/ETS</v>
      </c>
      <c r="N41" s="206"/>
      <c r="O41" s="207"/>
    </row>
    <row r="42" spans="2:15" ht="18" customHeight="1" x14ac:dyDescent="0.25">
      <c r="B42" s="177" t="s">
        <v>64</v>
      </c>
      <c r="C42" s="65" t="s">
        <v>116</v>
      </c>
      <c r="D42" s="65" t="s">
        <v>66</v>
      </c>
      <c r="E42" s="106" t="s">
        <v>559</v>
      </c>
      <c r="F42" s="65" t="s">
        <v>68</v>
      </c>
      <c r="G42" s="333">
        <v>750</v>
      </c>
      <c r="H42" s="333">
        <v>950</v>
      </c>
      <c r="I42" s="333">
        <v>950</v>
      </c>
      <c r="J42" s="205" t="s">
        <v>69</v>
      </c>
      <c r="K42" s="205" t="str">
        <f t="shared" si="2"/>
        <v>INCL</v>
      </c>
      <c r="L42" s="205">
        <f t="shared" ca="1" si="0"/>
        <v>60</v>
      </c>
      <c r="M42" s="205" t="str">
        <f t="shared" ca="1" si="1"/>
        <v>EBS/ETS</v>
      </c>
      <c r="N42" s="206"/>
      <c r="O42" s="207"/>
    </row>
    <row r="43" spans="2:15" ht="31.5" customHeight="1" x14ac:dyDescent="0.25">
      <c r="B43" s="177" t="s">
        <v>64</v>
      </c>
      <c r="C43" s="65" t="s">
        <v>118</v>
      </c>
      <c r="D43" s="65" t="s">
        <v>66</v>
      </c>
      <c r="E43" s="106" t="s">
        <v>560</v>
      </c>
      <c r="F43" s="65" t="s">
        <v>68</v>
      </c>
      <c r="G43" s="333">
        <v>850</v>
      </c>
      <c r="H43" s="333">
        <v>1000</v>
      </c>
      <c r="I43" s="333">
        <v>1000</v>
      </c>
      <c r="J43" s="205" t="s">
        <v>69</v>
      </c>
      <c r="K43" s="205" t="str">
        <f t="shared" si="2"/>
        <v>INCL</v>
      </c>
      <c r="L43" s="205">
        <f t="shared" ca="1" si="0"/>
        <v>60</v>
      </c>
      <c r="M43" s="205" t="str">
        <f t="shared" ca="1" si="1"/>
        <v>EBS/ETS</v>
      </c>
      <c r="N43" s="206"/>
      <c r="O43" s="207"/>
    </row>
    <row r="44" spans="2:15" ht="18" customHeight="1" x14ac:dyDescent="0.25">
      <c r="B44" s="379" t="s">
        <v>64</v>
      </c>
      <c r="C44" s="380" t="s">
        <v>74</v>
      </c>
      <c r="D44" s="380" t="s">
        <v>20</v>
      </c>
      <c r="E44" s="425" t="s">
        <v>334</v>
      </c>
      <c r="F44" s="380" t="s">
        <v>68</v>
      </c>
      <c r="G44" s="381">
        <v>500</v>
      </c>
      <c r="H44" s="381">
        <v>600</v>
      </c>
      <c r="I44" s="381">
        <v>600</v>
      </c>
      <c r="J44" s="382" t="s">
        <v>69</v>
      </c>
      <c r="K44" s="382" t="str">
        <f t="shared" si="2"/>
        <v>INCL</v>
      </c>
      <c r="L44" s="382">
        <f t="shared" ca="1" si="0"/>
        <v>60</v>
      </c>
      <c r="M44" s="382" t="str">
        <f t="shared" ca="1" si="1"/>
        <v>EBS/ETS</v>
      </c>
      <c r="N44" s="383"/>
      <c r="O44" s="384"/>
    </row>
    <row r="45" spans="2:15" ht="18" customHeight="1" x14ac:dyDescent="0.25">
      <c r="B45" s="379" t="s">
        <v>64</v>
      </c>
      <c r="C45" s="380" t="s">
        <v>119</v>
      </c>
      <c r="D45" s="380" t="s">
        <v>20</v>
      </c>
      <c r="E45" s="425" t="s">
        <v>334</v>
      </c>
      <c r="F45" s="380" t="s">
        <v>68</v>
      </c>
      <c r="G45" s="381">
        <v>500</v>
      </c>
      <c r="H45" s="381">
        <v>600</v>
      </c>
      <c r="I45" s="381">
        <v>600</v>
      </c>
      <c r="J45" s="382" t="s">
        <v>69</v>
      </c>
      <c r="K45" s="382" t="str">
        <f t="shared" si="2"/>
        <v>INCL</v>
      </c>
      <c r="L45" s="382">
        <f t="shared" ca="1" si="0"/>
        <v>60</v>
      </c>
      <c r="M45" s="382" t="str">
        <f t="shared" ca="1" si="1"/>
        <v>EBS/ETS</v>
      </c>
      <c r="N45" s="383"/>
      <c r="O45" s="384"/>
    </row>
    <row r="46" spans="2:15" ht="18" customHeight="1" x14ac:dyDescent="0.25">
      <c r="B46" s="177" t="s">
        <v>64</v>
      </c>
      <c r="C46" s="65" t="s">
        <v>121</v>
      </c>
      <c r="D46" s="65" t="s">
        <v>20</v>
      </c>
      <c r="E46" s="106" t="s">
        <v>569</v>
      </c>
      <c r="F46" s="65" t="s">
        <v>68</v>
      </c>
      <c r="G46" s="333">
        <v>1000</v>
      </c>
      <c r="H46" s="333">
        <v>1200</v>
      </c>
      <c r="I46" s="333">
        <v>1200</v>
      </c>
      <c r="J46" s="205" t="s">
        <v>69</v>
      </c>
      <c r="K46" s="205" t="str">
        <f t="shared" si="2"/>
        <v>INCL</v>
      </c>
      <c r="L46" s="205">
        <f t="shared" ca="1" si="0"/>
        <v>60</v>
      </c>
      <c r="M46" s="205" t="str">
        <f t="shared" ca="1" si="1"/>
        <v>EBS/ETS</v>
      </c>
      <c r="N46" s="206"/>
      <c r="O46" s="207"/>
    </row>
    <row r="47" spans="2:15" ht="31.5" customHeight="1" x14ac:dyDescent="0.25">
      <c r="B47" s="177" t="s">
        <v>64</v>
      </c>
      <c r="C47" s="65" t="s">
        <v>122</v>
      </c>
      <c r="D47" s="65" t="s">
        <v>66</v>
      </c>
      <c r="E47" s="106" t="s">
        <v>560</v>
      </c>
      <c r="F47" s="65" t="s">
        <v>68</v>
      </c>
      <c r="G47" s="333">
        <v>925</v>
      </c>
      <c r="H47" s="333">
        <v>1350</v>
      </c>
      <c r="I47" s="333">
        <v>1350</v>
      </c>
      <c r="J47" s="205" t="s">
        <v>69</v>
      </c>
      <c r="K47" s="205" t="str">
        <f t="shared" si="2"/>
        <v>INCL</v>
      </c>
      <c r="L47" s="205">
        <f t="shared" ca="1" si="0"/>
        <v>60</v>
      </c>
      <c r="M47" s="205" t="str">
        <f t="shared" ca="1" si="1"/>
        <v>EBS/ETS</v>
      </c>
      <c r="N47" s="206"/>
      <c r="O47" s="207"/>
    </row>
    <row r="48" spans="2:15" ht="18" customHeight="1" x14ac:dyDescent="0.25">
      <c r="B48" s="379" t="s">
        <v>64</v>
      </c>
      <c r="C48" s="380" t="s">
        <v>77</v>
      </c>
      <c r="D48" s="380" t="s">
        <v>20</v>
      </c>
      <c r="E48" s="425" t="s">
        <v>334</v>
      </c>
      <c r="F48" s="380" t="s">
        <v>68</v>
      </c>
      <c r="G48" s="381">
        <v>500</v>
      </c>
      <c r="H48" s="381">
        <v>600</v>
      </c>
      <c r="I48" s="381">
        <v>600</v>
      </c>
      <c r="J48" s="382" t="s">
        <v>69</v>
      </c>
      <c r="K48" s="382" t="str">
        <f t="shared" si="2"/>
        <v>INCL</v>
      </c>
      <c r="L48" s="382">
        <f t="shared" ca="1" si="0"/>
        <v>60</v>
      </c>
      <c r="M48" s="382" t="str">
        <f t="shared" ca="1" si="1"/>
        <v>EBS/ETS</v>
      </c>
      <c r="N48" s="383"/>
      <c r="O48" s="384"/>
    </row>
    <row r="49" spans="2:15" ht="18" customHeight="1" x14ac:dyDescent="0.25">
      <c r="B49" s="177" t="s">
        <v>64</v>
      </c>
      <c r="C49" s="65" t="s">
        <v>124</v>
      </c>
      <c r="D49" s="65" t="s">
        <v>66</v>
      </c>
      <c r="E49" s="106" t="s">
        <v>563</v>
      </c>
      <c r="F49" s="65" t="s">
        <v>68</v>
      </c>
      <c r="G49" s="333">
        <v>725</v>
      </c>
      <c r="H49" s="333">
        <v>1075</v>
      </c>
      <c r="I49" s="333">
        <v>1075</v>
      </c>
      <c r="J49" s="205" t="s">
        <v>69</v>
      </c>
      <c r="K49" s="205" t="str">
        <f t="shared" si="2"/>
        <v>INCL</v>
      </c>
      <c r="L49" s="205">
        <f t="shared" ca="1" si="0"/>
        <v>60</v>
      </c>
      <c r="M49" s="205" t="str">
        <f t="shared" ca="1" si="1"/>
        <v>EBS/ETS</v>
      </c>
      <c r="N49" s="206"/>
      <c r="O49" s="207"/>
    </row>
    <row r="50" spans="2:15" ht="31.5" customHeight="1" x14ac:dyDescent="0.25">
      <c r="B50" s="177" t="s">
        <v>64</v>
      </c>
      <c r="C50" s="65" t="s">
        <v>125</v>
      </c>
      <c r="D50" s="65" t="s">
        <v>66</v>
      </c>
      <c r="E50" s="106" t="s">
        <v>560</v>
      </c>
      <c r="F50" s="65" t="s">
        <v>68</v>
      </c>
      <c r="G50" s="333">
        <v>850</v>
      </c>
      <c r="H50" s="333">
        <v>1000</v>
      </c>
      <c r="I50" s="333">
        <v>1000</v>
      </c>
      <c r="J50" s="205" t="s">
        <v>69</v>
      </c>
      <c r="K50" s="205" t="str">
        <f t="shared" si="2"/>
        <v>INCL</v>
      </c>
      <c r="L50" s="205">
        <f t="shared" ca="1" si="0"/>
        <v>60</v>
      </c>
      <c r="M50" s="205" t="str">
        <f t="shared" ca="1" si="1"/>
        <v>EBS/ETS</v>
      </c>
      <c r="N50" s="206"/>
      <c r="O50" s="207"/>
    </row>
    <row r="51" spans="2:15" ht="18" customHeight="1" x14ac:dyDescent="0.25">
      <c r="B51" s="177" t="s">
        <v>64</v>
      </c>
      <c r="C51" s="65" t="s">
        <v>126</v>
      </c>
      <c r="D51" s="65" t="s">
        <v>66</v>
      </c>
      <c r="E51" s="106" t="s">
        <v>568</v>
      </c>
      <c r="F51" s="65" t="s">
        <v>68</v>
      </c>
      <c r="G51" s="333">
        <v>650</v>
      </c>
      <c r="H51" s="333">
        <v>850</v>
      </c>
      <c r="I51" s="333">
        <v>850</v>
      </c>
      <c r="J51" s="205" t="s">
        <v>69</v>
      </c>
      <c r="K51" s="205" t="str">
        <f t="shared" si="2"/>
        <v>INCL</v>
      </c>
      <c r="L51" s="205">
        <f t="shared" ca="1" si="0"/>
        <v>60</v>
      </c>
      <c r="M51" s="205" t="str">
        <f t="shared" ca="1" si="1"/>
        <v>EBS/ETS</v>
      </c>
      <c r="N51" s="206"/>
      <c r="O51" s="207"/>
    </row>
    <row r="52" spans="2:15" ht="18" customHeight="1" x14ac:dyDescent="0.25">
      <c r="B52" s="177" t="s">
        <v>64</v>
      </c>
      <c r="C52" s="65" t="s">
        <v>127</v>
      </c>
      <c r="D52" s="65" t="s">
        <v>66</v>
      </c>
      <c r="E52" s="106" t="s">
        <v>568</v>
      </c>
      <c r="F52" s="65" t="s">
        <v>68</v>
      </c>
      <c r="G52" s="333">
        <v>825</v>
      </c>
      <c r="H52" s="333">
        <v>925</v>
      </c>
      <c r="I52" s="333">
        <v>925</v>
      </c>
      <c r="J52" s="205" t="s">
        <v>69</v>
      </c>
      <c r="K52" s="205" t="str">
        <f t="shared" si="2"/>
        <v>INCL</v>
      </c>
      <c r="L52" s="205">
        <f t="shared" ca="1" si="0"/>
        <v>60</v>
      </c>
      <c r="M52" s="205" t="str">
        <f t="shared" ca="1" si="1"/>
        <v>EBS/ETS</v>
      </c>
      <c r="N52" s="206"/>
      <c r="O52" s="207"/>
    </row>
    <row r="53" spans="2:15" ht="18" customHeight="1" x14ac:dyDescent="0.25">
      <c r="B53" s="177" t="s">
        <v>64</v>
      </c>
      <c r="C53" s="65" t="s">
        <v>128</v>
      </c>
      <c r="D53" s="65" t="s">
        <v>66</v>
      </c>
      <c r="E53" s="106" t="s">
        <v>568</v>
      </c>
      <c r="F53" s="65" t="s">
        <v>68</v>
      </c>
      <c r="G53" s="333">
        <v>775</v>
      </c>
      <c r="H53" s="333">
        <v>875</v>
      </c>
      <c r="I53" s="333">
        <v>875</v>
      </c>
      <c r="J53" s="205" t="s">
        <v>69</v>
      </c>
      <c r="K53" s="205" t="str">
        <f t="shared" si="2"/>
        <v>INCL</v>
      </c>
      <c r="L53" s="205">
        <f t="shared" ca="1" si="0"/>
        <v>60</v>
      </c>
      <c r="M53" s="205" t="str">
        <f t="shared" ca="1" si="1"/>
        <v>EBS/ETS</v>
      </c>
      <c r="N53" s="206"/>
      <c r="O53" s="207"/>
    </row>
    <row r="54" spans="2:15" x14ac:dyDescent="0.25">
      <c r="B54" s="385" t="s">
        <v>64</v>
      </c>
      <c r="C54" s="386" t="s">
        <v>85</v>
      </c>
      <c r="D54" s="386" t="s">
        <v>20</v>
      </c>
      <c r="E54" s="426" t="s">
        <v>559</v>
      </c>
      <c r="F54" s="386" t="s">
        <v>68</v>
      </c>
      <c r="G54" s="387">
        <v>850</v>
      </c>
      <c r="H54" s="387">
        <v>1050</v>
      </c>
      <c r="I54" s="387">
        <v>1050</v>
      </c>
      <c r="J54" s="388" t="s">
        <v>69</v>
      </c>
      <c r="K54" s="388" t="str">
        <f t="shared" si="2"/>
        <v>INCL</v>
      </c>
      <c r="L54" s="388">
        <f t="shared" ca="1" si="0"/>
        <v>60</v>
      </c>
      <c r="M54" s="388" t="str">
        <f t="shared" ca="1" si="1"/>
        <v>EBS/ETS</v>
      </c>
      <c r="N54" s="389"/>
      <c r="O54" s="390"/>
    </row>
    <row r="55" spans="2:15" ht="18" customHeight="1" x14ac:dyDescent="0.25">
      <c r="B55" s="177" t="s">
        <v>64</v>
      </c>
      <c r="C55" s="65" t="s">
        <v>130</v>
      </c>
      <c r="D55" s="65" t="s">
        <v>66</v>
      </c>
      <c r="E55" s="106" t="s">
        <v>564</v>
      </c>
      <c r="F55" s="65" t="s">
        <v>68</v>
      </c>
      <c r="G55" s="333">
        <v>850</v>
      </c>
      <c r="H55" s="333">
        <v>1050</v>
      </c>
      <c r="I55" s="333">
        <v>1050</v>
      </c>
      <c r="J55" s="205" t="s">
        <v>69</v>
      </c>
      <c r="K55" s="205" t="str">
        <f t="shared" si="2"/>
        <v>INCL</v>
      </c>
      <c r="L55" s="205">
        <f t="shared" ca="1" si="0"/>
        <v>60</v>
      </c>
      <c r="M55" s="205" t="str">
        <f t="shared" ca="1" si="1"/>
        <v>EBS/ETS</v>
      </c>
      <c r="N55" s="206"/>
      <c r="O55" s="207"/>
    </row>
    <row r="56" spans="2:15" ht="18" customHeight="1" x14ac:dyDescent="0.25">
      <c r="B56" s="379" t="s">
        <v>64</v>
      </c>
      <c r="C56" s="380" t="s">
        <v>131</v>
      </c>
      <c r="D56" s="380" t="s">
        <v>20</v>
      </c>
      <c r="E56" s="425" t="s">
        <v>334</v>
      </c>
      <c r="F56" s="380" t="s">
        <v>68</v>
      </c>
      <c r="G56" s="381">
        <v>500</v>
      </c>
      <c r="H56" s="381">
        <v>600</v>
      </c>
      <c r="I56" s="381">
        <v>600</v>
      </c>
      <c r="J56" s="382" t="s">
        <v>69</v>
      </c>
      <c r="K56" s="382" t="str">
        <f t="shared" si="2"/>
        <v>INCL</v>
      </c>
      <c r="L56" s="382">
        <f t="shared" ca="1" si="0"/>
        <v>60</v>
      </c>
      <c r="M56" s="382" t="str">
        <f t="shared" ca="1" si="1"/>
        <v>EBS/ETS</v>
      </c>
      <c r="N56" s="383"/>
      <c r="O56" s="384"/>
    </row>
    <row r="57" spans="2:15" ht="18" customHeight="1" x14ac:dyDescent="0.25">
      <c r="B57" s="379" t="s">
        <v>64</v>
      </c>
      <c r="C57" s="380" t="s">
        <v>132</v>
      </c>
      <c r="D57" s="380" t="s">
        <v>20</v>
      </c>
      <c r="E57" s="425" t="s">
        <v>334</v>
      </c>
      <c r="F57" s="380" t="s">
        <v>68</v>
      </c>
      <c r="G57" s="381">
        <v>500</v>
      </c>
      <c r="H57" s="381">
        <v>600</v>
      </c>
      <c r="I57" s="381">
        <v>600</v>
      </c>
      <c r="J57" s="382" t="s">
        <v>69</v>
      </c>
      <c r="K57" s="382" t="str">
        <f t="shared" si="2"/>
        <v>INCL</v>
      </c>
      <c r="L57" s="382">
        <f t="shared" ca="1" si="0"/>
        <v>60</v>
      </c>
      <c r="M57" s="382" t="str">
        <f t="shared" ca="1" si="1"/>
        <v>EBS/ETS</v>
      </c>
      <c r="N57" s="383"/>
      <c r="O57" s="384"/>
    </row>
    <row r="58" spans="2:15" ht="31.5" customHeight="1" x14ac:dyDescent="0.25">
      <c r="B58" s="177" t="s">
        <v>64</v>
      </c>
      <c r="C58" s="65" t="s">
        <v>134</v>
      </c>
      <c r="D58" s="65" t="s">
        <v>66</v>
      </c>
      <c r="E58" s="106" t="s">
        <v>560</v>
      </c>
      <c r="F58" s="65" t="s">
        <v>68</v>
      </c>
      <c r="G58" s="333">
        <v>850</v>
      </c>
      <c r="H58" s="333">
        <v>1050</v>
      </c>
      <c r="I58" s="333">
        <v>1050</v>
      </c>
      <c r="J58" s="205" t="s">
        <v>69</v>
      </c>
      <c r="K58" s="205" t="str">
        <f t="shared" si="2"/>
        <v>INCL</v>
      </c>
      <c r="L58" s="205">
        <f t="shared" ca="1" si="0"/>
        <v>60</v>
      </c>
      <c r="M58" s="205" t="str">
        <f t="shared" ca="1" si="1"/>
        <v>EBS/ETS</v>
      </c>
      <c r="N58" s="206"/>
      <c r="O58" s="207"/>
    </row>
    <row r="59" spans="2:15" ht="18" customHeight="1" x14ac:dyDescent="0.25">
      <c r="B59" s="177" t="s">
        <v>64</v>
      </c>
      <c r="C59" s="65" t="s">
        <v>135</v>
      </c>
      <c r="D59" s="65" t="s">
        <v>66</v>
      </c>
      <c r="E59" s="106" t="s">
        <v>570</v>
      </c>
      <c r="F59" s="65" t="s">
        <v>68</v>
      </c>
      <c r="G59" s="333">
        <v>850</v>
      </c>
      <c r="H59" s="333">
        <v>1050</v>
      </c>
      <c r="I59" s="333">
        <v>1050</v>
      </c>
      <c r="J59" s="205" t="s">
        <v>69</v>
      </c>
      <c r="K59" s="205" t="str">
        <f t="shared" si="2"/>
        <v>INCL</v>
      </c>
      <c r="L59" s="205">
        <f t="shared" ca="1" si="0"/>
        <v>60</v>
      </c>
      <c r="M59" s="205" t="str">
        <f t="shared" ca="1" si="1"/>
        <v>EBS/ETS</v>
      </c>
      <c r="N59" s="206"/>
      <c r="O59" s="207"/>
    </row>
    <row r="60" spans="2:15" ht="18" customHeight="1" x14ac:dyDescent="0.25">
      <c r="B60" s="379" t="s">
        <v>64</v>
      </c>
      <c r="C60" s="380" t="s">
        <v>136</v>
      </c>
      <c r="D60" s="380" t="s">
        <v>20</v>
      </c>
      <c r="E60" s="425" t="s">
        <v>334</v>
      </c>
      <c r="F60" s="380" t="s">
        <v>68</v>
      </c>
      <c r="G60" s="381">
        <v>500</v>
      </c>
      <c r="H60" s="381">
        <v>600</v>
      </c>
      <c r="I60" s="381">
        <v>600</v>
      </c>
      <c r="J60" s="382" t="s">
        <v>69</v>
      </c>
      <c r="K60" s="382" t="str">
        <f t="shared" si="2"/>
        <v>INCL</v>
      </c>
      <c r="L60" s="382">
        <f t="shared" ca="1" si="0"/>
        <v>60</v>
      </c>
      <c r="M60" s="382" t="str">
        <f t="shared" ca="1" si="1"/>
        <v>EBS/ETS</v>
      </c>
      <c r="N60" s="383"/>
      <c r="O60" s="384"/>
    </row>
    <row r="61" spans="2:15" ht="18" customHeight="1" x14ac:dyDescent="0.25">
      <c r="B61" s="385" t="s">
        <v>64</v>
      </c>
      <c r="C61" s="386" t="s">
        <v>137</v>
      </c>
      <c r="D61" s="386" t="s">
        <v>20</v>
      </c>
      <c r="E61" s="426" t="s">
        <v>559</v>
      </c>
      <c r="F61" s="386" t="s">
        <v>68</v>
      </c>
      <c r="G61" s="387">
        <v>850</v>
      </c>
      <c r="H61" s="387">
        <v>1050</v>
      </c>
      <c r="I61" s="387">
        <v>1050</v>
      </c>
      <c r="J61" s="388" t="s">
        <v>69</v>
      </c>
      <c r="K61" s="388" t="str">
        <f t="shared" si="2"/>
        <v>INCL</v>
      </c>
      <c r="L61" s="388">
        <f t="shared" ca="1" si="0"/>
        <v>60</v>
      </c>
      <c r="M61" s="388" t="str">
        <f t="shared" ca="1" si="1"/>
        <v>EBS/ETS</v>
      </c>
      <c r="N61" s="389"/>
      <c r="O61" s="390"/>
    </row>
    <row r="62" spans="2:15" ht="18" customHeight="1" x14ac:dyDescent="0.25">
      <c r="B62" s="177" t="s">
        <v>64</v>
      </c>
      <c r="C62" s="65" t="s">
        <v>138</v>
      </c>
      <c r="D62" s="65" t="s">
        <v>66</v>
      </c>
      <c r="E62" s="106" t="s">
        <v>561</v>
      </c>
      <c r="F62" s="65" t="s">
        <v>68</v>
      </c>
      <c r="G62" s="333">
        <v>800</v>
      </c>
      <c r="H62" s="333">
        <v>1075</v>
      </c>
      <c r="I62" s="333">
        <v>1075</v>
      </c>
      <c r="J62" s="205" t="s">
        <v>69</v>
      </c>
      <c r="K62" s="205" t="str">
        <f t="shared" si="2"/>
        <v>INCL</v>
      </c>
      <c r="L62" s="205">
        <f t="shared" ca="1" si="0"/>
        <v>60</v>
      </c>
      <c r="M62" s="205" t="str">
        <f t="shared" ca="1" si="1"/>
        <v>EBS/ETS</v>
      </c>
      <c r="N62" s="206"/>
      <c r="O62" s="207"/>
    </row>
    <row r="63" spans="2:15" ht="18" customHeight="1" x14ac:dyDescent="0.25">
      <c r="B63" s="177" t="s">
        <v>64</v>
      </c>
      <c r="C63" s="176" t="s">
        <v>139</v>
      </c>
      <c r="D63" s="176" t="s">
        <v>66</v>
      </c>
      <c r="E63" s="320" t="s">
        <v>571</v>
      </c>
      <c r="F63" s="176" t="s">
        <v>68</v>
      </c>
      <c r="G63" s="336">
        <v>725</v>
      </c>
      <c r="H63" s="336">
        <v>950</v>
      </c>
      <c r="I63" s="336">
        <v>950</v>
      </c>
      <c r="J63" s="212" t="s">
        <v>69</v>
      </c>
      <c r="K63" s="212" t="str">
        <f t="shared" si="2"/>
        <v>INCL</v>
      </c>
      <c r="L63" s="212">
        <f t="shared" ca="1" si="0"/>
        <v>60</v>
      </c>
      <c r="M63" s="212" t="str">
        <f t="shared" ca="1" si="1"/>
        <v>EBS/ETS</v>
      </c>
      <c r="N63" s="213"/>
      <c r="O63" s="215"/>
    </row>
    <row r="64" spans="2:15" ht="18" customHeight="1" thickBot="1" x14ac:dyDescent="0.3">
      <c r="B64" s="256"/>
      <c r="C64" s="256"/>
      <c r="D64" s="256"/>
      <c r="E64" s="256"/>
      <c r="F64" s="256"/>
      <c r="G64" s="109"/>
      <c r="H64" s="109"/>
      <c r="I64" s="109"/>
      <c r="J64" s="109"/>
      <c r="K64" s="109"/>
      <c r="L64" s="109"/>
      <c r="M64" s="41"/>
      <c r="N64" s="70"/>
    </row>
    <row r="65" spans="1:14" s="35" customFormat="1" ht="13.8" thickBot="1" x14ac:dyDescent="0.3">
      <c r="A65"/>
      <c r="B65" s="448" t="s">
        <v>41</v>
      </c>
      <c r="C65" s="449"/>
      <c r="D65" s="449"/>
      <c r="E65" s="449"/>
      <c r="F65" s="449"/>
      <c r="G65" s="449"/>
      <c r="H65" s="449"/>
      <c r="I65" s="449"/>
      <c r="J65" s="450"/>
      <c r="N65" s="59"/>
    </row>
    <row r="66" spans="1:14" customFormat="1" x14ac:dyDescent="0.25">
      <c r="B66" s="131" t="s">
        <v>141</v>
      </c>
      <c r="C66" s="132"/>
      <c r="D66" s="133"/>
      <c r="E66" s="133"/>
      <c r="F66" s="134"/>
      <c r="G66" s="397"/>
      <c r="H66" s="397"/>
      <c r="I66" s="397"/>
      <c r="J66" s="136"/>
      <c r="K66" s="35"/>
      <c r="N66" s="72"/>
    </row>
    <row r="67" spans="1:14" customFormat="1" x14ac:dyDescent="0.25">
      <c r="B67" s="25" t="s">
        <v>142</v>
      </c>
      <c r="C67" s="78"/>
      <c r="D67" s="79"/>
      <c r="E67" s="79"/>
      <c r="F67" s="80"/>
      <c r="G67" s="394"/>
      <c r="H67" s="394"/>
      <c r="I67" s="394"/>
      <c r="J67" s="23"/>
      <c r="K67" s="35"/>
    </row>
    <row r="68" spans="1:14" customFormat="1" x14ac:dyDescent="0.25">
      <c r="B68" s="26" t="s">
        <v>143</v>
      </c>
      <c r="C68" s="78"/>
      <c r="D68" s="79"/>
      <c r="E68" s="79"/>
      <c r="F68" s="80"/>
      <c r="G68" s="394"/>
      <c r="H68" s="394"/>
      <c r="I68" s="394"/>
      <c r="J68" s="23"/>
      <c r="K68" s="35"/>
    </row>
    <row r="69" spans="1:14" customFormat="1" x14ac:dyDescent="0.25">
      <c r="B69" s="4" t="s">
        <v>144</v>
      </c>
      <c r="C69" s="81"/>
      <c r="D69" s="82"/>
      <c r="E69" s="82"/>
      <c r="F69" s="83"/>
      <c r="G69" s="394"/>
      <c r="H69" s="394"/>
      <c r="I69" s="394"/>
      <c r="J69" s="23"/>
      <c r="K69" s="35"/>
    </row>
    <row r="70" spans="1:14" customFormat="1" x14ac:dyDescent="0.25">
      <c r="B70" s="24" t="s">
        <v>145</v>
      </c>
      <c r="C70" s="84"/>
      <c r="D70" s="85"/>
      <c r="E70" s="85"/>
      <c r="F70" s="86"/>
      <c r="G70" s="394"/>
      <c r="H70" s="394"/>
      <c r="I70" s="394"/>
      <c r="J70" s="23"/>
      <c r="K70" s="35"/>
    </row>
    <row r="71" spans="1:14" customFormat="1" x14ac:dyDescent="0.25">
      <c r="B71" s="13" t="s">
        <v>146</v>
      </c>
      <c r="C71" s="137"/>
      <c r="D71" s="138"/>
      <c r="E71" s="138"/>
      <c r="F71" s="87"/>
      <c r="G71" s="394"/>
      <c r="H71" s="394"/>
      <c r="I71" s="394"/>
      <c r="J71" s="23"/>
      <c r="K71" s="35"/>
    </row>
    <row r="72" spans="1:14" customFormat="1" x14ac:dyDescent="0.25">
      <c r="B72" s="144" t="s">
        <v>147</v>
      </c>
      <c r="C72" s="139"/>
      <c r="D72" s="140"/>
      <c r="E72" s="140"/>
      <c r="F72" s="12"/>
      <c r="G72" s="394"/>
      <c r="H72" s="394"/>
      <c r="I72" s="394"/>
      <c r="J72" s="23"/>
      <c r="K72" s="35"/>
    </row>
    <row r="73" spans="1:14" customFormat="1" x14ac:dyDescent="0.25">
      <c r="B73" s="144" t="s">
        <v>596</v>
      </c>
      <c r="C73" s="139"/>
      <c r="D73" s="140"/>
      <c r="E73" s="140"/>
      <c r="F73" s="12"/>
      <c r="G73" s="394"/>
      <c r="H73" s="394"/>
      <c r="I73" s="394"/>
      <c r="J73" s="23"/>
      <c r="K73" s="35"/>
    </row>
    <row r="74" spans="1:14" customFormat="1" x14ac:dyDescent="0.25">
      <c r="B74" s="13" t="s">
        <v>148</v>
      </c>
      <c r="C74" s="10"/>
      <c r="D74" s="11"/>
      <c r="E74" s="11"/>
      <c r="F74" s="12"/>
      <c r="G74" s="398"/>
      <c r="H74" s="22"/>
      <c r="I74" s="22"/>
      <c r="J74" s="98"/>
      <c r="K74" s="35"/>
    </row>
    <row r="75" spans="1:14" customFormat="1" x14ac:dyDescent="0.25">
      <c r="B75" s="4" t="s">
        <v>149</v>
      </c>
      <c r="C75" s="10"/>
      <c r="D75" s="11"/>
      <c r="E75" s="11"/>
      <c r="F75" s="11"/>
      <c r="G75" s="398"/>
      <c r="H75" s="5"/>
      <c r="I75" s="88"/>
      <c r="J75" s="44"/>
      <c r="K75" s="1"/>
      <c r="L75" s="33"/>
      <c r="M75" s="3"/>
    </row>
    <row r="76" spans="1:14" customFormat="1" x14ac:dyDescent="0.25">
      <c r="B76" s="202" t="s">
        <v>150</v>
      </c>
      <c r="C76" s="84"/>
      <c r="D76" s="85"/>
      <c r="E76" s="87"/>
      <c r="F76" s="87"/>
      <c r="G76" s="394"/>
      <c r="H76" s="394"/>
      <c r="I76" s="394"/>
      <c r="J76" s="23"/>
      <c r="K76" s="35"/>
    </row>
    <row r="77" spans="1:14" customFormat="1" x14ac:dyDescent="0.25">
      <c r="B77" s="127" t="s">
        <v>579</v>
      </c>
      <c r="C77" s="128"/>
      <c r="D77" s="129"/>
      <c r="E77" s="87"/>
      <c r="F77" s="87"/>
      <c r="G77" s="394"/>
      <c r="H77" s="394"/>
      <c r="I77" s="394"/>
      <c r="J77" s="23"/>
      <c r="K77" s="35"/>
      <c r="L77" s="1"/>
    </row>
    <row r="78" spans="1:14" customFormat="1" x14ac:dyDescent="0.25">
      <c r="B78" s="4" t="s">
        <v>151</v>
      </c>
      <c r="C78" s="202"/>
      <c r="D78" s="84"/>
      <c r="E78" s="87"/>
      <c r="F78" s="87"/>
      <c r="G78" s="394"/>
      <c r="H78" s="394"/>
      <c r="I78" s="394"/>
      <c r="J78" s="23"/>
      <c r="K78" s="35"/>
      <c r="L78" s="1"/>
    </row>
    <row r="79" spans="1:14" customFormat="1" x14ac:dyDescent="0.25">
      <c r="B79" s="99" t="s">
        <v>544</v>
      </c>
      <c r="D79" s="56"/>
      <c r="E79" s="56"/>
      <c r="F79" s="56"/>
      <c r="G79" s="394"/>
      <c r="H79" s="394"/>
      <c r="I79" s="394"/>
      <c r="J79" s="23"/>
      <c r="K79" s="35"/>
      <c r="L79" s="1"/>
    </row>
    <row r="80" spans="1:14" customFormat="1" x14ac:dyDescent="0.25">
      <c r="B80" s="127" t="s">
        <v>602</v>
      </c>
      <c r="C80" s="127"/>
      <c r="D80" s="127"/>
      <c r="E80" s="127"/>
      <c r="F80" s="297" t="s">
        <v>557</v>
      </c>
      <c r="G80" s="21"/>
      <c r="H80" s="148"/>
      <c r="I80" s="148"/>
      <c r="J80" s="23"/>
      <c r="K80" s="1"/>
      <c r="M80" s="3"/>
    </row>
    <row r="81" spans="1:12" customFormat="1" x14ac:dyDescent="0.25">
      <c r="B81" s="99"/>
      <c r="D81" s="56"/>
      <c r="E81" s="56"/>
      <c r="F81" s="56"/>
      <c r="G81" s="394"/>
      <c r="H81" s="394"/>
      <c r="I81" s="394"/>
      <c r="J81" s="23"/>
      <c r="K81" s="35"/>
      <c r="L81" s="1"/>
    </row>
    <row r="82" spans="1:12" customFormat="1" x14ac:dyDescent="0.25">
      <c r="B82" s="27" t="s">
        <v>152</v>
      </c>
      <c r="C82" s="91"/>
      <c r="D82" s="92"/>
      <c r="E82" s="92"/>
      <c r="F82" s="93"/>
      <c r="G82" s="394"/>
      <c r="H82" s="394"/>
      <c r="I82" s="394"/>
      <c r="J82" s="23"/>
      <c r="K82" s="35"/>
      <c r="L82" s="1"/>
    </row>
    <row r="83" spans="1:12" customFormat="1" x14ac:dyDescent="0.25">
      <c r="B83" s="28" t="s">
        <v>153</v>
      </c>
      <c r="C83" s="91"/>
      <c r="D83" s="92"/>
      <c r="E83" s="92"/>
      <c r="F83" s="93"/>
      <c r="G83" s="394"/>
      <c r="H83" s="394"/>
      <c r="I83" s="394"/>
      <c r="J83" s="23"/>
      <c r="K83" s="35"/>
      <c r="L83" s="1"/>
    </row>
    <row r="84" spans="1:12" customFormat="1" ht="14.4" x14ac:dyDescent="0.25">
      <c r="B84" s="117" t="s">
        <v>154</v>
      </c>
      <c r="C84" s="91"/>
      <c r="D84" s="92"/>
      <c r="E84" s="92"/>
      <c r="F84" s="93"/>
      <c r="G84" s="394"/>
      <c r="H84" s="394"/>
      <c r="I84" s="394"/>
      <c r="J84" s="23"/>
      <c r="K84" s="35"/>
      <c r="L84" s="1"/>
    </row>
    <row r="85" spans="1:12" customFormat="1" ht="14.4" x14ac:dyDescent="0.25">
      <c r="B85" s="117" t="s">
        <v>155</v>
      </c>
      <c r="C85" s="91"/>
      <c r="D85" s="92"/>
      <c r="E85" s="92"/>
      <c r="F85" s="93"/>
      <c r="G85" s="394"/>
      <c r="H85" s="394"/>
      <c r="I85" s="394"/>
      <c r="J85" s="23"/>
      <c r="K85" s="35"/>
      <c r="L85" s="1"/>
    </row>
    <row r="86" spans="1:12" customFormat="1" ht="14.4" x14ac:dyDescent="0.25">
      <c r="B86" s="117" t="s">
        <v>156</v>
      </c>
      <c r="C86" s="91"/>
      <c r="D86" s="92"/>
      <c r="E86" s="92"/>
      <c r="F86" s="93"/>
      <c r="G86" s="394"/>
      <c r="H86" s="394"/>
      <c r="I86" s="394"/>
      <c r="J86" s="23"/>
      <c r="K86" s="35"/>
      <c r="L86" s="1"/>
    </row>
    <row r="87" spans="1:12" customFormat="1" ht="14.4" x14ac:dyDescent="0.25">
      <c r="B87" s="117" t="s">
        <v>157</v>
      </c>
      <c r="C87" s="91"/>
      <c r="D87" s="92"/>
      <c r="E87" s="92"/>
      <c r="F87" s="93"/>
      <c r="G87" s="394"/>
      <c r="H87" s="394"/>
      <c r="I87" s="394"/>
      <c r="J87" s="23"/>
      <c r="K87" s="35"/>
      <c r="L87" s="1"/>
    </row>
    <row r="88" spans="1:12" customFormat="1" ht="14.4" x14ac:dyDescent="0.25">
      <c r="B88" s="117" t="s">
        <v>158</v>
      </c>
      <c r="C88" s="91"/>
      <c r="D88" s="92"/>
      <c r="E88" s="92"/>
      <c r="F88" s="93"/>
      <c r="G88" s="394"/>
      <c r="H88" s="394"/>
      <c r="I88" s="394"/>
      <c r="J88" s="23"/>
      <c r="K88" s="35"/>
      <c r="L88" s="1"/>
    </row>
    <row r="89" spans="1:12" customFormat="1" ht="14.4" x14ac:dyDescent="0.25">
      <c r="B89" s="117" t="s">
        <v>159</v>
      </c>
      <c r="C89" s="91"/>
      <c r="D89" s="92"/>
      <c r="E89" s="92"/>
      <c r="F89" s="93"/>
      <c r="G89" s="394"/>
      <c r="H89" s="394"/>
      <c r="I89" s="394"/>
      <c r="J89" s="23"/>
      <c r="K89" s="35"/>
      <c r="L89" s="1"/>
    </row>
    <row r="90" spans="1:12" customFormat="1" ht="14.4" x14ac:dyDescent="0.25">
      <c r="B90" s="117" t="s">
        <v>160</v>
      </c>
      <c r="C90" s="91"/>
      <c r="D90" s="92"/>
      <c r="E90" s="92"/>
      <c r="F90" s="93"/>
      <c r="G90" s="394"/>
      <c r="H90" s="394"/>
      <c r="I90" s="394"/>
      <c r="J90" s="23"/>
      <c r="K90" s="35"/>
      <c r="L90" s="1"/>
    </row>
    <row r="91" spans="1:12" customFormat="1" ht="14.4" x14ac:dyDescent="0.25">
      <c r="B91" s="117" t="s">
        <v>161</v>
      </c>
      <c r="C91" s="91"/>
      <c r="D91" s="92"/>
      <c r="E91" s="92"/>
      <c r="F91" s="93"/>
      <c r="G91" s="394"/>
      <c r="H91" s="394"/>
      <c r="I91" s="394"/>
      <c r="J91" s="23"/>
      <c r="K91" s="35"/>
      <c r="L91" s="1"/>
    </row>
    <row r="92" spans="1:12" customFormat="1" x14ac:dyDescent="0.25">
      <c r="B92" s="28" t="s">
        <v>162</v>
      </c>
      <c r="C92" s="81"/>
      <c r="D92" s="82"/>
      <c r="E92" s="82"/>
      <c r="F92" s="83"/>
      <c r="G92" s="394"/>
      <c r="H92" s="394"/>
      <c r="I92" s="394"/>
      <c r="J92" s="23"/>
      <c r="K92" s="35"/>
      <c r="L92" s="1"/>
    </row>
    <row r="93" spans="1:12" customFormat="1" ht="14.4" x14ac:dyDescent="0.3">
      <c r="B93" s="101" t="s">
        <v>525</v>
      </c>
      <c r="C93" s="94"/>
      <c r="D93" s="95"/>
      <c r="E93" s="95"/>
      <c r="F93" s="96"/>
      <c r="G93" s="394"/>
      <c r="H93" s="394"/>
      <c r="J93" s="19"/>
      <c r="K93" s="35"/>
      <c r="L93" s="1"/>
    </row>
    <row r="94" spans="1:12" customFormat="1" ht="14.4" x14ac:dyDescent="0.3">
      <c r="B94" s="318"/>
      <c r="C94" s="81"/>
      <c r="D94" s="82"/>
      <c r="E94" s="82"/>
      <c r="F94" s="83"/>
      <c r="G94" s="394"/>
      <c r="H94" s="394"/>
      <c r="J94" s="19"/>
      <c r="K94" s="35"/>
      <c r="L94" s="1"/>
    </row>
    <row r="95" spans="1:12" customFormat="1" x14ac:dyDescent="0.25">
      <c r="A95" s="35"/>
      <c r="B95" s="28" t="s">
        <v>50</v>
      </c>
      <c r="C95" s="91"/>
      <c r="D95" s="92"/>
      <c r="E95" s="92"/>
      <c r="F95" s="93"/>
      <c r="G95" s="394"/>
      <c r="H95" s="394"/>
      <c r="I95" s="394"/>
      <c r="J95" s="23"/>
      <c r="K95" s="35"/>
      <c r="L95" s="1"/>
    </row>
    <row r="96" spans="1:12" customFormat="1" ht="14.4" x14ac:dyDescent="0.25">
      <c r="A96" s="35"/>
      <c r="B96" s="29" t="s">
        <v>51</v>
      </c>
      <c r="C96" s="81"/>
      <c r="D96" s="81"/>
      <c r="E96" s="81"/>
      <c r="F96" s="81"/>
      <c r="G96" s="1"/>
      <c r="H96" s="1"/>
      <c r="J96" s="100"/>
      <c r="K96" s="35"/>
      <c r="L96" s="1"/>
    </row>
    <row r="97" spans="2:14" customFormat="1" ht="14.4" x14ac:dyDescent="0.25">
      <c r="B97" s="29" t="s">
        <v>52</v>
      </c>
      <c r="J97" s="100"/>
      <c r="K97" s="35"/>
    </row>
    <row r="98" spans="2:14" ht="13.8" thickBot="1" x14ac:dyDescent="0.3">
      <c r="B98" s="142"/>
      <c r="C98" s="143"/>
      <c r="D98" s="143"/>
      <c r="E98" s="143"/>
      <c r="F98" s="143"/>
      <c r="G98" s="399"/>
      <c r="H98" s="400"/>
      <c r="I98" s="399"/>
      <c r="J98" s="64"/>
      <c r="K98" s="31"/>
      <c r="L98" s="31"/>
      <c r="M98" s="31"/>
      <c r="N98" s="31"/>
    </row>
  </sheetData>
  <autoFilter ref="B8:N63" xr:uid="{46951E78-74D7-47CE-8239-DF1B6AE860F8}"/>
  <sortState xmlns:xlrd2="http://schemas.microsoft.com/office/spreadsheetml/2017/richdata2" ref="B9:N56">
    <sortCondition ref="C9:C56"/>
  </sortState>
  <mergeCells count="1">
    <mergeCell ref="B65:J65"/>
  </mergeCells>
  <conditionalFormatting sqref="B69">
    <cfRule type="duplicateValues" dxfId="53" priority="12" stopIfTrue="1"/>
  </conditionalFormatting>
  <conditionalFormatting sqref="B71">
    <cfRule type="duplicateValues" dxfId="52" priority="6" stopIfTrue="1"/>
  </conditionalFormatting>
  <conditionalFormatting sqref="B74">
    <cfRule type="duplicateValues" dxfId="51" priority="8" stopIfTrue="1"/>
  </conditionalFormatting>
  <conditionalFormatting sqref="B75">
    <cfRule type="duplicateValues" dxfId="50" priority="7" stopIfTrue="1"/>
  </conditionalFormatting>
  <conditionalFormatting sqref="B77">
    <cfRule type="duplicateValues" dxfId="49" priority="14" stopIfTrue="1"/>
  </conditionalFormatting>
  <conditionalFormatting sqref="B78">
    <cfRule type="duplicateValues" dxfId="48" priority="3" stopIfTrue="1"/>
  </conditionalFormatting>
  <conditionalFormatting sqref="B80:E80">
    <cfRule type="duplicateValues" dxfId="47" priority="1" stopIfTrue="1"/>
  </conditionalFormatting>
  <conditionalFormatting sqref="C72">
    <cfRule type="duplicateValues" dxfId="46" priority="10"/>
  </conditionalFormatting>
  <conditionalFormatting sqref="C73 C66:C71">
    <cfRule type="duplicateValues" dxfId="45" priority="11"/>
  </conditionalFormatting>
  <conditionalFormatting sqref="C76">
    <cfRule type="duplicateValues" dxfId="44" priority="9"/>
  </conditionalFormatting>
  <conditionalFormatting sqref="C77">
    <cfRule type="duplicateValues" dxfId="43" priority="4"/>
  </conditionalFormatting>
  <conditionalFormatting sqref="C82:C97">
    <cfRule type="duplicateValues" dxfId="42" priority="5"/>
  </conditionalFormatting>
  <conditionalFormatting sqref="C98">
    <cfRule type="duplicateValues" dxfId="41" priority="13" stopIfTrue="1"/>
  </conditionalFormatting>
  <conditionalFormatting sqref="D78">
    <cfRule type="duplicateValues" dxfId="40" priority="2"/>
  </conditionalFormatting>
  <hyperlinks>
    <hyperlink ref="B96" r:id="rId1" xr:uid="{9694029E-101F-45F9-8F87-5CEAE4388C05}"/>
    <hyperlink ref="B97" r:id="rId2" xr:uid="{4643A5CE-E949-410A-B2E0-CD8D956C0E95}"/>
    <hyperlink ref="F80" r:id="rId3" display="https://moc.oocl.com/wls_prs_rp/public/ruleTariff/OOLL-100/T-53/display/20260323" xr:uid="{6C03C1E4-DB13-4E44-96C6-B5970BA73C6E}"/>
  </hyperlinks>
  <pageMargins left="0.75" right="0.75" top="1" bottom="1" header="0.5" footer="0.5"/>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3" filterMode="1"/>
  <dimension ref="A1:P111"/>
  <sheetViews>
    <sheetView workbookViewId="0">
      <selection activeCell="C77" sqref="C77"/>
    </sheetView>
  </sheetViews>
  <sheetFormatPr baseColWidth="10" defaultColWidth="8.88671875" defaultRowHeight="13.2" x14ac:dyDescent="0.25"/>
  <cols>
    <col min="1" max="1" width="3.6640625" style="31" customWidth="1"/>
    <col min="2" max="2" width="17.5546875" style="31" customWidth="1"/>
    <col min="3" max="3" width="31.44140625" style="31" customWidth="1"/>
    <col min="4" max="4" width="9" style="31" customWidth="1"/>
    <col min="5" max="5" width="29.88671875" style="31" customWidth="1"/>
    <col min="6" max="6" width="10.33203125" style="31" customWidth="1"/>
    <col min="7" max="7" width="9.44140625" style="21" customWidth="1"/>
    <col min="8" max="8" width="7.44140625" style="31" customWidth="1"/>
    <col min="9" max="9" width="7.6640625" style="21" customWidth="1"/>
    <col min="10" max="10" width="45.33203125" style="21" customWidth="1"/>
    <col min="11" max="11" width="9.33203125" style="54" customWidth="1"/>
    <col min="12" max="12" width="14.33203125" style="54" customWidth="1"/>
    <col min="13" max="13" width="11.33203125" style="54" customWidth="1"/>
    <col min="14" max="14" width="30.6640625" style="54" customWidth="1"/>
    <col min="15" max="19" width="9.109375" style="31" customWidth="1"/>
    <col min="20" max="248" width="9.33203125" style="31"/>
    <col min="249" max="249" width="2.44140625" style="31" customWidth="1"/>
    <col min="250" max="250" width="15.33203125" style="31" customWidth="1"/>
    <col min="251" max="251" width="17.33203125" style="31" customWidth="1"/>
    <col min="252" max="252" width="3.5546875" style="31" customWidth="1"/>
    <col min="253" max="253" width="17.33203125" style="31" customWidth="1"/>
    <col min="254" max="254" width="0.33203125" style="31" customWidth="1"/>
    <col min="255" max="255" width="4.6640625" style="31" customWidth="1"/>
    <col min="256" max="257" width="7.6640625" style="31" customWidth="1"/>
    <col min="258" max="263" width="8.6640625" style="31" customWidth="1"/>
    <col min="264" max="266" width="10.6640625" style="31" customWidth="1"/>
    <col min="267" max="267" width="25.5546875" style="31" customWidth="1"/>
    <col min="268" max="268" width="9.33203125" style="31" customWidth="1"/>
    <col min="269" max="269" width="14.33203125" style="31" customWidth="1"/>
    <col min="270" max="270" width="12.44140625" style="31" customWidth="1"/>
    <col min="271" max="504" width="9.33203125" style="31"/>
    <col min="505" max="505" width="2.44140625" style="31" customWidth="1"/>
    <col min="506" max="506" width="15.33203125" style="31" customWidth="1"/>
    <col min="507" max="507" width="17.33203125" style="31" customWidth="1"/>
    <col min="508" max="508" width="3.5546875" style="31" customWidth="1"/>
    <col min="509" max="509" width="17.33203125" style="31" customWidth="1"/>
    <col min="510" max="510" width="0.33203125" style="31" customWidth="1"/>
    <col min="511" max="511" width="4.6640625" style="31" customWidth="1"/>
    <col min="512" max="513" width="7.6640625" style="31" customWidth="1"/>
    <col min="514" max="519" width="8.6640625" style="31" customWidth="1"/>
    <col min="520" max="522" width="10.6640625" style="31" customWidth="1"/>
    <col min="523" max="523" width="25.5546875" style="31" customWidth="1"/>
    <col min="524" max="524" width="9.33203125" style="31" customWidth="1"/>
    <col min="525" max="525" width="14.33203125" style="31" customWidth="1"/>
    <col min="526" max="526" width="12.44140625" style="31" customWidth="1"/>
    <col min="527" max="760" width="9.33203125" style="31"/>
    <col min="761" max="761" width="2.44140625" style="31" customWidth="1"/>
    <col min="762" max="762" width="15.33203125" style="31" customWidth="1"/>
    <col min="763" max="763" width="17.33203125" style="31" customWidth="1"/>
    <col min="764" max="764" width="3.5546875" style="31" customWidth="1"/>
    <col min="765" max="765" width="17.33203125" style="31" customWidth="1"/>
    <col min="766" max="766" width="0.33203125" style="31" customWidth="1"/>
    <col min="767" max="767" width="4.6640625" style="31" customWidth="1"/>
    <col min="768" max="769" width="7.6640625" style="31" customWidth="1"/>
    <col min="770" max="775" width="8.6640625" style="31" customWidth="1"/>
    <col min="776" max="778" width="10.6640625" style="31" customWidth="1"/>
    <col min="779" max="779" width="25.5546875" style="31" customWidth="1"/>
    <col min="780" max="780" width="9.33203125" style="31" customWidth="1"/>
    <col min="781" max="781" width="14.33203125" style="31" customWidth="1"/>
    <col min="782" max="782" width="12.44140625" style="31" customWidth="1"/>
    <col min="783" max="1016" width="9.33203125" style="31"/>
    <col min="1017" max="1017" width="2.44140625" style="31" customWidth="1"/>
    <col min="1018" max="1018" width="15.33203125" style="31" customWidth="1"/>
    <col min="1019" max="1019" width="17.33203125" style="31" customWidth="1"/>
    <col min="1020" max="1020" width="3.5546875" style="31" customWidth="1"/>
    <col min="1021" max="1021" width="17.33203125" style="31" customWidth="1"/>
    <col min="1022" max="1022" width="0.33203125" style="31" customWidth="1"/>
    <col min="1023" max="1023" width="4.6640625" style="31" customWidth="1"/>
    <col min="1024" max="1025" width="7.6640625" style="31" customWidth="1"/>
    <col min="1026" max="1031" width="8.6640625" style="31" customWidth="1"/>
    <col min="1032" max="1034" width="10.6640625" style="31" customWidth="1"/>
    <col min="1035" max="1035" width="25.5546875" style="31" customWidth="1"/>
    <col min="1036" max="1036" width="9.33203125" style="31" customWidth="1"/>
    <col min="1037" max="1037" width="14.33203125" style="31" customWidth="1"/>
    <col min="1038" max="1038" width="12.44140625" style="31" customWidth="1"/>
    <col min="1039" max="1272" width="9.33203125" style="31"/>
    <col min="1273" max="1273" width="2.44140625" style="31" customWidth="1"/>
    <col min="1274" max="1274" width="15.33203125" style="31" customWidth="1"/>
    <col min="1275" max="1275" width="17.33203125" style="31" customWidth="1"/>
    <col min="1276" max="1276" width="3.5546875" style="31" customWidth="1"/>
    <col min="1277" max="1277" width="17.33203125" style="31" customWidth="1"/>
    <col min="1278" max="1278" width="0.33203125" style="31" customWidth="1"/>
    <col min="1279" max="1279" width="4.6640625" style="31" customWidth="1"/>
    <col min="1280" max="1281" width="7.6640625" style="31" customWidth="1"/>
    <col min="1282" max="1287" width="8.6640625" style="31" customWidth="1"/>
    <col min="1288" max="1290" width="10.6640625" style="31" customWidth="1"/>
    <col min="1291" max="1291" width="25.5546875" style="31" customWidth="1"/>
    <col min="1292" max="1292" width="9.33203125" style="31" customWidth="1"/>
    <col min="1293" max="1293" width="14.33203125" style="31" customWidth="1"/>
    <col min="1294" max="1294" width="12.44140625" style="31" customWidth="1"/>
    <col min="1295" max="1528" width="9.33203125" style="31"/>
    <col min="1529" max="1529" width="2.44140625" style="31" customWidth="1"/>
    <col min="1530" max="1530" width="15.33203125" style="31" customWidth="1"/>
    <col min="1531" max="1531" width="17.33203125" style="31" customWidth="1"/>
    <col min="1532" max="1532" width="3.5546875" style="31" customWidth="1"/>
    <col min="1533" max="1533" width="17.33203125" style="31" customWidth="1"/>
    <col min="1534" max="1534" width="0.33203125" style="31" customWidth="1"/>
    <col min="1535" max="1535" width="4.6640625" style="31" customWidth="1"/>
    <col min="1536" max="1537" width="7.6640625" style="31" customWidth="1"/>
    <col min="1538" max="1543" width="8.6640625" style="31" customWidth="1"/>
    <col min="1544" max="1546" width="10.6640625" style="31" customWidth="1"/>
    <col min="1547" max="1547" width="25.5546875" style="31" customWidth="1"/>
    <col min="1548" max="1548" width="9.33203125" style="31" customWidth="1"/>
    <col min="1549" max="1549" width="14.33203125" style="31" customWidth="1"/>
    <col min="1550" max="1550" width="12.44140625" style="31" customWidth="1"/>
    <col min="1551" max="1784" width="9.33203125" style="31"/>
    <col min="1785" max="1785" width="2.44140625" style="31" customWidth="1"/>
    <col min="1786" max="1786" width="15.33203125" style="31" customWidth="1"/>
    <col min="1787" max="1787" width="17.33203125" style="31" customWidth="1"/>
    <col min="1788" max="1788" width="3.5546875" style="31" customWidth="1"/>
    <col min="1789" max="1789" width="17.33203125" style="31" customWidth="1"/>
    <col min="1790" max="1790" width="0.33203125" style="31" customWidth="1"/>
    <col min="1791" max="1791" width="4.6640625" style="31" customWidth="1"/>
    <col min="1792" max="1793" width="7.6640625" style="31" customWidth="1"/>
    <col min="1794" max="1799" width="8.6640625" style="31" customWidth="1"/>
    <col min="1800" max="1802" width="10.6640625" style="31" customWidth="1"/>
    <col min="1803" max="1803" width="25.5546875" style="31" customWidth="1"/>
    <col min="1804" max="1804" width="9.33203125" style="31" customWidth="1"/>
    <col min="1805" max="1805" width="14.33203125" style="31" customWidth="1"/>
    <col min="1806" max="1806" width="12.44140625" style="31" customWidth="1"/>
    <col min="1807" max="2040" width="9.33203125" style="31"/>
    <col min="2041" max="2041" width="2.44140625" style="31" customWidth="1"/>
    <col min="2042" max="2042" width="15.33203125" style="31" customWidth="1"/>
    <col min="2043" max="2043" width="17.33203125" style="31" customWidth="1"/>
    <col min="2044" max="2044" width="3.5546875" style="31" customWidth="1"/>
    <col min="2045" max="2045" width="17.33203125" style="31" customWidth="1"/>
    <col min="2046" max="2046" width="0.33203125" style="31" customWidth="1"/>
    <col min="2047" max="2047" width="4.6640625" style="31" customWidth="1"/>
    <col min="2048" max="2049" width="7.6640625" style="31" customWidth="1"/>
    <col min="2050" max="2055" width="8.6640625" style="31" customWidth="1"/>
    <col min="2056" max="2058" width="10.6640625" style="31" customWidth="1"/>
    <col min="2059" max="2059" width="25.5546875" style="31" customWidth="1"/>
    <col min="2060" max="2060" width="9.33203125" style="31" customWidth="1"/>
    <col min="2061" max="2061" width="14.33203125" style="31" customWidth="1"/>
    <col min="2062" max="2062" width="12.44140625" style="31" customWidth="1"/>
    <col min="2063" max="2296" width="9.33203125" style="31"/>
    <col min="2297" max="2297" width="2.44140625" style="31" customWidth="1"/>
    <col min="2298" max="2298" width="15.33203125" style="31" customWidth="1"/>
    <col min="2299" max="2299" width="17.33203125" style="31" customWidth="1"/>
    <col min="2300" max="2300" width="3.5546875" style="31" customWidth="1"/>
    <col min="2301" max="2301" width="17.33203125" style="31" customWidth="1"/>
    <col min="2302" max="2302" width="0.33203125" style="31" customWidth="1"/>
    <col min="2303" max="2303" width="4.6640625" style="31" customWidth="1"/>
    <col min="2304" max="2305" width="7.6640625" style="31" customWidth="1"/>
    <col min="2306" max="2311" width="8.6640625" style="31" customWidth="1"/>
    <col min="2312" max="2314" width="10.6640625" style="31" customWidth="1"/>
    <col min="2315" max="2315" width="25.5546875" style="31" customWidth="1"/>
    <col min="2316" max="2316" width="9.33203125" style="31" customWidth="1"/>
    <col min="2317" max="2317" width="14.33203125" style="31" customWidth="1"/>
    <col min="2318" max="2318" width="12.44140625" style="31" customWidth="1"/>
    <col min="2319" max="2552" width="9.33203125" style="31"/>
    <col min="2553" max="2553" width="2.44140625" style="31" customWidth="1"/>
    <col min="2554" max="2554" width="15.33203125" style="31" customWidth="1"/>
    <col min="2555" max="2555" width="17.33203125" style="31" customWidth="1"/>
    <col min="2556" max="2556" width="3.5546875" style="31" customWidth="1"/>
    <col min="2557" max="2557" width="17.33203125" style="31" customWidth="1"/>
    <col min="2558" max="2558" width="0.33203125" style="31" customWidth="1"/>
    <col min="2559" max="2559" width="4.6640625" style="31" customWidth="1"/>
    <col min="2560" max="2561" width="7.6640625" style="31" customWidth="1"/>
    <col min="2562" max="2567" width="8.6640625" style="31" customWidth="1"/>
    <col min="2568" max="2570" width="10.6640625" style="31" customWidth="1"/>
    <col min="2571" max="2571" width="25.5546875" style="31" customWidth="1"/>
    <col min="2572" max="2572" width="9.33203125" style="31" customWidth="1"/>
    <col min="2573" max="2573" width="14.33203125" style="31" customWidth="1"/>
    <col min="2574" max="2574" width="12.44140625" style="31" customWidth="1"/>
    <col min="2575" max="2808" width="9.33203125" style="31"/>
    <col min="2809" max="2809" width="2.44140625" style="31" customWidth="1"/>
    <col min="2810" max="2810" width="15.33203125" style="31" customWidth="1"/>
    <col min="2811" max="2811" width="17.33203125" style="31" customWidth="1"/>
    <col min="2812" max="2812" width="3.5546875" style="31" customWidth="1"/>
    <col min="2813" max="2813" width="17.33203125" style="31" customWidth="1"/>
    <col min="2814" max="2814" width="0.33203125" style="31" customWidth="1"/>
    <col min="2815" max="2815" width="4.6640625" style="31" customWidth="1"/>
    <col min="2816" max="2817" width="7.6640625" style="31" customWidth="1"/>
    <col min="2818" max="2823" width="8.6640625" style="31" customWidth="1"/>
    <col min="2824" max="2826" width="10.6640625" style="31" customWidth="1"/>
    <col min="2827" max="2827" width="25.5546875" style="31" customWidth="1"/>
    <col min="2828" max="2828" width="9.33203125" style="31" customWidth="1"/>
    <col min="2829" max="2829" width="14.33203125" style="31" customWidth="1"/>
    <col min="2830" max="2830" width="12.44140625" style="31" customWidth="1"/>
    <col min="2831" max="3064" width="9.33203125" style="31"/>
    <col min="3065" max="3065" width="2.44140625" style="31" customWidth="1"/>
    <col min="3066" max="3066" width="15.33203125" style="31" customWidth="1"/>
    <col min="3067" max="3067" width="17.33203125" style="31" customWidth="1"/>
    <col min="3068" max="3068" width="3.5546875" style="31" customWidth="1"/>
    <col min="3069" max="3069" width="17.33203125" style="31" customWidth="1"/>
    <col min="3070" max="3070" width="0.33203125" style="31" customWidth="1"/>
    <col min="3071" max="3071" width="4.6640625" style="31" customWidth="1"/>
    <col min="3072" max="3073" width="7.6640625" style="31" customWidth="1"/>
    <col min="3074" max="3079" width="8.6640625" style="31" customWidth="1"/>
    <col min="3080" max="3082" width="10.6640625" style="31" customWidth="1"/>
    <col min="3083" max="3083" width="25.5546875" style="31" customWidth="1"/>
    <col min="3084" max="3084" width="9.33203125" style="31" customWidth="1"/>
    <col min="3085" max="3085" width="14.33203125" style="31" customWidth="1"/>
    <col min="3086" max="3086" width="12.44140625" style="31" customWidth="1"/>
    <col min="3087" max="3320" width="9.33203125" style="31"/>
    <col min="3321" max="3321" width="2.44140625" style="31" customWidth="1"/>
    <col min="3322" max="3322" width="15.33203125" style="31" customWidth="1"/>
    <col min="3323" max="3323" width="17.33203125" style="31" customWidth="1"/>
    <col min="3324" max="3324" width="3.5546875" style="31" customWidth="1"/>
    <col min="3325" max="3325" width="17.33203125" style="31" customWidth="1"/>
    <col min="3326" max="3326" width="0.33203125" style="31" customWidth="1"/>
    <col min="3327" max="3327" width="4.6640625" style="31" customWidth="1"/>
    <col min="3328" max="3329" width="7.6640625" style="31" customWidth="1"/>
    <col min="3330" max="3335" width="8.6640625" style="31" customWidth="1"/>
    <col min="3336" max="3338" width="10.6640625" style="31" customWidth="1"/>
    <col min="3339" max="3339" width="25.5546875" style="31" customWidth="1"/>
    <col min="3340" max="3340" width="9.33203125" style="31" customWidth="1"/>
    <col min="3341" max="3341" width="14.33203125" style="31" customWidth="1"/>
    <col min="3342" max="3342" width="12.44140625" style="31" customWidth="1"/>
    <col min="3343" max="3576" width="9.33203125" style="31"/>
    <col min="3577" max="3577" width="2.44140625" style="31" customWidth="1"/>
    <col min="3578" max="3578" width="15.33203125" style="31" customWidth="1"/>
    <col min="3579" max="3579" width="17.33203125" style="31" customWidth="1"/>
    <col min="3580" max="3580" width="3.5546875" style="31" customWidth="1"/>
    <col min="3581" max="3581" width="17.33203125" style="31" customWidth="1"/>
    <col min="3582" max="3582" width="0.33203125" style="31" customWidth="1"/>
    <col min="3583" max="3583" width="4.6640625" style="31" customWidth="1"/>
    <col min="3584" max="3585" width="7.6640625" style="31" customWidth="1"/>
    <col min="3586" max="3591" width="8.6640625" style="31" customWidth="1"/>
    <col min="3592" max="3594" width="10.6640625" style="31" customWidth="1"/>
    <col min="3595" max="3595" width="25.5546875" style="31" customWidth="1"/>
    <col min="3596" max="3596" width="9.33203125" style="31" customWidth="1"/>
    <col min="3597" max="3597" width="14.33203125" style="31" customWidth="1"/>
    <col min="3598" max="3598" width="12.44140625" style="31" customWidth="1"/>
    <col min="3599" max="3832" width="9.33203125" style="31"/>
    <col min="3833" max="3833" width="2.44140625" style="31" customWidth="1"/>
    <col min="3834" max="3834" width="15.33203125" style="31" customWidth="1"/>
    <col min="3835" max="3835" width="17.33203125" style="31" customWidth="1"/>
    <col min="3836" max="3836" width="3.5546875" style="31" customWidth="1"/>
    <col min="3837" max="3837" width="17.33203125" style="31" customWidth="1"/>
    <col min="3838" max="3838" width="0.33203125" style="31" customWidth="1"/>
    <col min="3839" max="3839" width="4.6640625" style="31" customWidth="1"/>
    <col min="3840" max="3841" width="7.6640625" style="31" customWidth="1"/>
    <col min="3842" max="3847" width="8.6640625" style="31" customWidth="1"/>
    <col min="3848" max="3850" width="10.6640625" style="31" customWidth="1"/>
    <col min="3851" max="3851" width="25.5546875" style="31" customWidth="1"/>
    <col min="3852" max="3852" width="9.33203125" style="31" customWidth="1"/>
    <col min="3853" max="3853" width="14.33203125" style="31" customWidth="1"/>
    <col min="3854" max="3854" width="12.44140625" style="31" customWidth="1"/>
    <col min="3855" max="4088" width="9.33203125" style="31"/>
    <col min="4089" max="4089" width="2.44140625" style="31" customWidth="1"/>
    <col min="4090" max="4090" width="15.33203125" style="31" customWidth="1"/>
    <col min="4091" max="4091" width="17.33203125" style="31" customWidth="1"/>
    <col min="4092" max="4092" width="3.5546875" style="31" customWidth="1"/>
    <col min="4093" max="4093" width="17.33203125" style="31" customWidth="1"/>
    <col min="4094" max="4094" width="0.33203125" style="31" customWidth="1"/>
    <col min="4095" max="4095" width="4.6640625" style="31" customWidth="1"/>
    <col min="4096" max="4097" width="7.6640625" style="31" customWidth="1"/>
    <col min="4098" max="4103" width="8.6640625" style="31" customWidth="1"/>
    <col min="4104" max="4106" width="10.6640625" style="31" customWidth="1"/>
    <col min="4107" max="4107" width="25.5546875" style="31" customWidth="1"/>
    <col min="4108" max="4108" width="9.33203125" style="31" customWidth="1"/>
    <col min="4109" max="4109" width="14.33203125" style="31" customWidth="1"/>
    <col min="4110" max="4110" width="12.44140625" style="31" customWidth="1"/>
    <col min="4111" max="4344" width="9.33203125" style="31"/>
    <col min="4345" max="4345" width="2.44140625" style="31" customWidth="1"/>
    <col min="4346" max="4346" width="15.33203125" style="31" customWidth="1"/>
    <col min="4347" max="4347" width="17.33203125" style="31" customWidth="1"/>
    <col min="4348" max="4348" width="3.5546875" style="31" customWidth="1"/>
    <col min="4349" max="4349" width="17.33203125" style="31" customWidth="1"/>
    <col min="4350" max="4350" width="0.33203125" style="31" customWidth="1"/>
    <col min="4351" max="4351" width="4.6640625" style="31" customWidth="1"/>
    <col min="4352" max="4353" width="7.6640625" style="31" customWidth="1"/>
    <col min="4354" max="4359" width="8.6640625" style="31" customWidth="1"/>
    <col min="4360" max="4362" width="10.6640625" style="31" customWidth="1"/>
    <col min="4363" max="4363" width="25.5546875" style="31" customWidth="1"/>
    <col min="4364" max="4364" width="9.33203125" style="31" customWidth="1"/>
    <col min="4365" max="4365" width="14.33203125" style="31" customWidth="1"/>
    <col min="4366" max="4366" width="12.44140625" style="31" customWidth="1"/>
    <col min="4367" max="4600" width="9.33203125" style="31"/>
    <col min="4601" max="4601" width="2.44140625" style="31" customWidth="1"/>
    <col min="4602" max="4602" width="15.33203125" style="31" customWidth="1"/>
    <col min="4603" max="4603" width="17.33203125" style="31" customWidth="1"/>
    <col min="4604" max="4604" width="3.5546875" style="31" customWidth="1"/>
    <col min="4605" max="4605" width="17.33203125" style="31" customWidth="1"/>
    <col min="4606" max="4606" width="0.33203125" style="31" customWidth="1"/>
    <col min="4607" max="4607" width="4.6640625" style="31" customWidth="1"/>
    <col min="4608" max="4609" width="7.6640625" style="31" customWidth="1"/>
    <col min="4610" max="4615" width="8.6640625" style="31" customWidth="1"/>
    <col min="4616" max="4618" width="10.6640625" style="31" customWidth="1"/>
    <col min="4619" max="4619" width="25.5546875" style="31" customWidth="1"/>
    <col min="4620" max="4620" width="9.33203125" style="31" customWidth="1"/>
    <col min="4621" max="4621" width="14.33203125" style="31" customWidth="1"/>
    <col min="4622" max="4622" width="12.44140625" style="31" customWidth="1"/>
    <col min="4623" max="4856" width="9.33203125" style="31"/>
    <col min="4857" max="4857" width="2.44140625" style="31" customWidth="1"/>
    <col min="4858" max="4858" width="15.33203125" style="31" customWidth="1"/>
    <col min="4859" max="4859" width="17.33203125" style="31" customWidth="1"/>
    <col min="4860" max="4860" width="3.5546875" style="31" customWidth="1"/>
    <col min="4861" max="4861" width="17.33203125" style="31" customWidth="1"/>
    <col min="4862" max="4862" width="0.33203125" style="31" customWidth="1"/>
    <col min="4863" max="4863" width="4.6640625" style="31" customWidth="1"/>
    <col min="4864" max="4865" width="7.6640625" style="31" customWidth="1"/>
    <col min="4866" max="4871" width="8.6640625" style="31" customWidth="1"/>
    <col min="4872" max="4874" width="10.6640625" style="31" customWidth="1"/>
    <col min="4875" max="4875" width="25.5546875" style="31" customWidth="1"/>
    <col min="4876" max="4876" width="9.33203125" style="31" customWidth="1"/>
    <col min="4877" max="4877" width="14.33203125" style="31" customWidth="1"/>
    <col min="4878" max="4878" width="12.44140625" style="31" customWidth="1"/>
    <col min="4879" max="5112" width="9.33203125" style="31"/>
    <col min="5113" max="5113" width="2.44140625" style="31" customWidth="1"/>
    <col min="5114" max="5114" width="15.33203125" style="31" customWidth="1"/>
    <col min="5115" max="5115" width="17.33203125" style="31" customWidth="1"/>
    <col min="5116" max="5116" width="3.5546875" style="31" customWidth="1"/>
    <col min="5117" max="5117" width="17.33203125" style="31" customWidth="1"/>
    <col min="5118" max="5118" width="0.33203125" style="31" customWidth="1"/>
    <col min="5119" max="5119" width="4.6640625" style="31" customWidth="1"/>
    <col min="5120" max="5121" width="7.6640625" style="31" customWidth="1"/>
    <col min="5122" max="5127" width="8.6640625" style="31" customWidth="1"/>
    <col min="5128" max="5130" width="10.6640625" style="31" customWidth="1"/>
    <col min="5131" max="5131" width="25.5546875" style="31" customWidth="1"/>
    <col min="5132" max="5132" width="9.33203125" style="31" customWidth="1"/>
    <col min="5133" max="5133" width="14.33203125" style="31" customWidth="1"/>
    <col min="5134" max="5134" width="12.44140625" style="31" customWidth="1"/>
    <col min="5135" max="5368" width="9.33203125" style="31"/>
    <col min="5369" max="5369" width="2.44140625" style="31" customWidth="1"/>
    <col min="5370" max="5370" width="15.33203125" style="31" customWidth="1"/>
    <col min="5371" max="5371" width="17.33203125" style="31" customWidth="1"/>
    <col min="5372" max="5372" width="3.5546875" style="31" customWidth="1"/>
    <col min="5373" max="5373" width="17.33203125" style="31" customWidth="1"/>
    <col min="5374" max="5374" width="0.33203125" style="31" customWidth="1"/>
    <col min="5375" max="5375" width="4.6640625" style="31" customWidth="1"/>
    <col min="5376" max="5377" width="7.6640625" style="31" customWidth="1"/>
    <col min="5378" max="5383" width="8.6640625" style="31" customWidth="1"/>
    <col min="5384" max="5386" width="10.6640625" style="31" customWidth="1"/>
    <col min="5387" max="5387" width="25.5546875" style="31" customWidth="1"/>
    <col min="5388" max="5388" width="9.33203125" style="31" customWidth="1"/>
    <col min="5389" max="5389" width="14.33203125" style="31" customWidth="1"/>
    <col min="5390" max="5390" width="12.44140625" style="31" customWidth="1"/>
    <col min="5391" max="5624" width="9.33203125" style="31"/>
    <col min="5625" max="5625" width="2.44140625" style="31" customWidth="1"/>
    <col min="5626" max="5626" width="15.33203125" style="31" customWidth="1"/>
    <col min="5627" max="5627" width="17.33203125" style="31" customWidth="1"/>
    <col min="5628" max="5628" width="3.5546875" style="31" customWidth="1"/>
    <col min="5629" max="5629" width="17.33203125" style="31" customWidth="1"/>
    <col min="5630" max="5630" width="0.33203125" style="31" customWidth="1"/>
    <col min="5631" max="5631" width="4.6640625" style="31" customWidth="1"/>
    <col min="5632" max="5633" width="7.6640625" style="31" customWidth="1"/>
    <col min="5634" max="5639" width="8.6640625" style="31" customWidth="1"/>
    <col min="5640" max="5642" width="10.6640625" style="31" customWidth="1"/>
    <col min="5643" max="5643" width="25.5546875" style="31" customWidth="1"/>
    <col min="5644" max="5644" width="9.33203125" style="31" customWidth="1"/>
    <col min="5645" max="5645" width="14.33203125" style="31" customWidth="1"/>
    <col min="5646" max="5646" width="12.44140625" style="31" customWidth="1"/>
    <col min="5647" max="5880" width="9.33203125" style="31"/>
    <col min="5881" max="5881" width="2.44140625" style="31" customWidth="1"/>
    <col min="5882" max="5882" width="15.33203125" style="31" customWidth="1"/>
    <col min="5883" max="5883" width="17.33203125" style="31" customWidth="1"/>
    <col min="5884" max="5884" width="3.5546875" style="31" customWidth="1"/>
    <col min="5885" max="5885" width="17.33203125" style="31" customWidth="1"/>
    <col min="5886" max="5886" width="0.33203125" style="31" customWidth="1"/>
    <col min="5887" max="5887" width="4.6640625" style="31" customWidth="1"/>
    <col min="5888" max="5889" width="7.6640625" style="31" customWidth="1"/>
    <col min="5890" max="5895" width="8.6640625" style="31" customWidth="1"/>
    <col min="5896" max="5898" width="10.6640625" style="31" customWidth="1"/>
    <col min="5899" max="5899" width="25.5546875" style="31" customWidth="1"/>
    <col min="5900" max="5900" width="9.33203125" style="31" customWidth="1"/>
    <col min="5901" max="5901" width="14.33203125" style="31" customWidth="1"/>
    <col min="5902" max="5902" width="12.44140625" style="31" customWidth="1"/>
    <col min="5903" max="6136" width="9.33203125" style="31"/>
    <col min="6137" max="6137" width="2.44140625" style="31" customWidth="1"/>
    <col min="6138" max="6138" width="15.33203125" style="31" customWidth="1"/>
    <col min="6139" max="6139" width="17.33203125" style="31" customWidth="1"/>
    <col min="6140" max="6140" width="3.5546875" style="31" customWidth="1"/>
    <col min="6141" max="6141" width="17.33203125" style="31" customWidth="1"/>
    <col min="6142" max="6142" width="0.33203125" style="31" customWidth="1"/>
    <col min="6143" max="6143" width="4.6640625" style="31" customWidth="1"/>
    <col min="6144" max="6145" width="7.6640625" style="31" customWidth="1"/>
    <col min="6146" max="6151" width="8.6640625" style="31" customWidth="1"/>
    <col min="6152" max="6154" width="10.6640625" style="31" customWidth="1"/>
    <col min="6155" max="6155" width="25.5546875" style="31" customWidth="1"/>
    <col min="6156" max="6156" width="9.33203125" style="31" customWidth="1"/>
    <col min="6157" max="6157" width="14.33203125" style="31" customWidth="1"/>
    <col min="6158" max="6158" width="12.44140625" style="31" customWidth="1"/>
    <col min="6159" max="6392" width="9.33203125" style="31"/>
    <col min="6393" max="6393" width="2.44140625" style="31" customWidth="1"/>
    <col min="6394" max="6394" width="15.33203125" style="31" customWidth="1"/>
    <col min="6395" max="6395" width="17.33203125" style="31" customWidth="1"/>
    <col min="6396" max="6396" width="3.5546875" style="31" customWidth="1"/>
    <col min="6397" max="6397" width="17.33203125" style="31" customWidth="1"/>
    <col min="6398" max="6398" width="0.33203125" style="31" customWidth="1"/>
    <col min="6399" max="6399" width="4.6640625" style="31" customWidth="1"/>
    <col min="6400" max="6401" width="7.6640625" style="31" customWidth="1"/>
    <col min="6402" max="6407" width="8.6640625" style="31" customWidth="1"/>
    <col min="6408" max="6410" width="10.6640625" style="31" customWidth="1"/>
    <col min="6411" max="6411" width="25.5546875" style="31" customWidth="1"/>
    <col min="6412" max="6412" width="9.33203125" style="31" customWidth="1"/>
    <col min="6413" max="6413" width="14.33203125" style="31" customWidth="1"/>
    <col min="6414" max="6414" width="12.44140625" style="31" customWidth="1"/>
    <col min="6415" max="6648" width="9.33203125" style="31"/>
    <col min="6649" max="6649" width="2.44140625" style="31" customWidth="1"/>
    <col min="6650" max="6650" width="15.33203125" style="31" customWidth="1"/>
    <col min="6651" max="6651" width="17.33203125" style="31" customWidth="1"/>
    <col min="6652" max="6652" width="3.5546875" style="31" customWidth="1"/>
    <col min="6653" max="6653" width="17.33203125" style="31" customWidth="1"/>
    <col min="6654" max="6654" width="0.33203125" style="31" customWidth="1"/>
    <col min="6655" max="6655" width="4.6640625" style="31" customWidth="1"/>
    <col min="6656" max="6657" width="7.6640625" style="31" customWidth="1"/>
    <col min="6658" max="6663" width="8.6640625" style="31" customWidth="1"/>
    <col min="6664" max="6666" width="10.6640625" style="31" customWidth="1"/>
    <col min="6667" max="6667" width="25.5546875" style="31" customWidth="1"/>
    <col min="6668" max="6668" width="9.33203125" style="31" customWidth="1"/>
    <col min="6669" max="6669" width="14.33203125" style="31" customWidth="1"/>
    <col min="6670" max="6670" width="12.44140625" style="31" customWidth="1"/>
    <col min="6671" max="6904" width="9.33203125" style="31"/>
    <col min="6905" max="6905" width="2.44140625" style="31" customWidth="1"/>
    <col min="6906" max="6906" width="15.33203125" style="31" customWidth="1"/>
    <col min="6907" max="6907" width="17.33203125" style="31" customWidth="1"/>
    <col min="6908" max="6908" width="3.5546875" style="31" customWidth="1"/>
    <col min="6909" max="6909" width="17.33203125" style="31" customWidth="1"/>
    <col min="6910" max="6910" width="0.33203125" style="31" customWidth="1"/>
    <col min="6911" max="6911" width="4.6640625" style="31" customWidth="1"/>
    <col min="6912" max="6913" width="7.6640625" style="31" customWidth="1"/>
    <col min="6914" max="6919" width="8.6640625" style="31" customWidth="1"/>
    <col min="6920" max="6922" width="10.6640625" style="31" customWidth="1"/>
    <col min="6923" max="6923" width="25.5546875" style="31" customWidth="1"/>
    <col min="6924" max="6924" width="9.33203125" style="31" customWidth="1"/>
    <col min="6925" max="6925" width="14.33203125" style="31" customWidth="1"/>
    <col min="6926" max="6926" width="12.44140625" style="31" customWidth="1"/>
    <col min="6927" max="7160" width="9.33203125" style="31"/>
    <col min="7161" max="7161" width="2.44140625" style="31" customWidth="1"/>
    <col min="7162" max="7162" width="15.33203125" style="31" customWidth="1"/>
    <col min="7163" max="7163" width="17.33203125" style="31" customWidth="1"/>
    <col min="7164" max="7164" width="3.5546875" style="31" customWidth="1"/>
    <col min="7165" max="7165" width="17.33203125" style="31" customWidth="1"/>
    <col min="7166" max="7166" width="0.33203125" style="31" customWidth="1"/>
    <col min="7167" max="7167" width="4.6640625" style="31" customWidth="1"/>
    <col min="7168" max="7169" width="7.6640625" style="31" customWidth="1"/>
    <col min="7170" max="7175" width="8.6640625" style="31" customWidth="1"/>
    <col min="7176" max="7178" width="10.6640625" style="31" customWidth="1"/>
    <col min="7179" max="7179" width="25.5546875" style="31" customWidth="1"/>
    <col min="7180" max="7180" width="9.33203125" style="31" customWidth="1"/>
    <col min="7181" max="7181" width="14.33203125" style="31" customWidth="1"/>
    <col min="7182" max="7182" width="12.44140625" style="31" customWidth="1"/>
    <col min="7183" max="7416" width="9.33203125" style="31"/>
    <col min="7417" max="7417" width="2.44140625" style="31" customWidth="1"/>
    <col min="7418" max="7418" width="15.33203125" style="31" customWidth="1"/>
    <col min="7419" max="7419" width="17.33203125" style="31" customWidth="1"/>
    <col min="7420" max="7420" width="3.5546875" style="31" customWidth="1"/>
    <col min="7421" max="7421" width="17.33203125" style="31" customWidth="1"/>
    <col min="7422" max="7422" width="0.33203125" style="31" customWidth="1"/>
    <col min="7423" max="7423" width="4.6640625" style="31" customWidth="1"/>
    <col min="7424" max="7425" width="7.6640625" style="31" customWidth="1"/>
    <col min="7426" max="7431" width="8.6640625" style="31" customWidth="1"/>
    <col min="7432" max="7434" width="10.6640625" style="31" customWidth="1"/>
    <col min="7435" max="7435" width="25.5546875" style="31" customWidth="1"/>
    <col min="7436" max="7436" width="9.33203125" style="31" customWidth="1"/>
    <col min="7437" max="7437" width="14.33203125" style="31" customWidth="1"/>
    <col min="7438" max="7438" width="12.44140625" style="31" customWidth="1"/>
    <col min="7439" max="7672" width="9.33203125" style="31"/>
    <col min="7673" max="7673" width="2.44140625" style="31" customWidth="1"/>
    <col min="7674" max="7674" width="15.33203125" style="31" customWidth="1"/>
    <col min="7675" max="7675" width="17.33203125" style="31" customWidth="1"/>
    <col min="7676" max="7676" width="3.5546875" style="31" customWidth="1"/>
    <col min="7677" max="7677" width="17.33203125" style="31" customWidth="1"/>
    <col min="7678" max="7678" width="0.33203125" style="31" customWidth="1"/>
    <col min="7679" max="7679" width="4.6640625" style="31" customWidth="1"/>
    <col min="7680" max="7681" width="7.6640625" style="31" customWidth="1"/>
    <col min="7682" max="7687" width="8.6640625" style="31" customWidth="1"/>
    <col min="7688" max="7690" width="10.6640625" style="31" customWidth="1"/>
    <col min="7691" max="7691" width="25.5546875" style="31" customWidth="1"/>
    <col min="7692" max="7692" width="9.33203125" style="31" customWidth="1"/>
    <col min="7693" max="7693" width="14.33203125" style="31" customWidth="1"/>
    <col min="7694" max="7694" width="12.44140625" style="31" customWidth="1"/>
    <col min="7695" max="7928" width="9.33203125" style="31"/>
    <col min="7929" max="7929" width="2.44140625" style="31" customWidth="1"/>
    <col min="7930" max="7930" width="15.33203125" style="31" customWidth="1"/>
    <col min="7931" max="7931" width="17.33203125" style="31" customWidth="1"/>
    <col min="7932" max="7932" width="3.5546875" style="31" customWidth="1"/>
    <col min="7933" max="7933" width="17.33203125" style="31" customWidth="1"/>
    <col min="7934" max="7934" width="0.33203125" style="31" customWidth="1"/>
    <col min="7935" max="7935" width="4.6640625" style="31" customWidth="1"/>
    <col min="7936" max="7937" width="7.6640625" style="31" customWidth="1"/>
    <col min="7938" max="7943" width="8.6640625" style="31" customWidth="1"/>
    <col min="7944" max="7946" width="10.6640625" style="31" customWidth="1"/>
    <col min="7947" max="7947" width="25.5546875" style="31" customWidth="1"/>
    <col min="7948" max="7948" width="9.33203125" style="31" customWidth="1"/>
    <col min="7949" max="7949" width="14.33203125" style="31" customWidth="1"/>
    <col min="7950" max="7950" width="12.44140625" style="31" customWidth="1"/>
    <col min="7951" max="8184" width="9.33203125" style="31"/>
    <col min="8185" max="8185" width="2.44140625" style="31" customWidth="1"/>
    <col min="8186" max="8186" width="15.33203125" style="31" customWidth="1"/>
    <col min="8187" max="8187" width="17.33203125" style="31" customWidth="1"/>
    <col min="8188" max="8188" width="3.5546875" style="31" customWidth="1"/>
    <col min="8189" max="8189" width="17.33203125" style="31" customWidth="1"/>
    <col min="8190" max="8190" width="0.33203125" style="31" customWidth="1"/>
    <col min="8191" max="8191" width="4.6640625" style="31" customWidth="1"/>
    <col min="8192" max="8193" width="7.6640625" style="31" customWidth="1"/>
    <col min="8194" max="8199" width="8.6640625" style="31" customWidth="1"/>
    <col min="8200" max="8202" width="10.6640625" style="31" customWidth="1"/>
    <col min="8203" max="8203" width="25.5546875" style="31" customWidth="1"/>
    <col min="8204" max="8204" width="9.33203125" style="31" customWidth="1"/>
    <col min="8205" max="8205" width="14.33203125" style="31" customWidth="1"/>
    <col min="8206" max="8206" width="12.44140625" style="31" customWidth="1"/>
    <col min="8207" max="8440" width="9.33203125" style="31"/>
    <col min="8441" max="8441" width="2.44140625" style="31" customWidth="1"/>
    <col min="8442" max="8442" width="15.33203125" style="31" customWidth="1"/>
    <col min="8443" max="8443" width="17.33203125" style="31" customWidth="1"/>
    <col min="8444" max="8444" width="3.5546875" style="31" customWidth="1"/>
    <col min="8445" max="8445" width="17.33203125" style="31" customWidth="1"/>
    <col min="8446" max="8446" width="0.33203125" style="31" customWidth="1"/>
    <col min="8447" max="8447" width="4.6640625" style="31" customWidth="1"/>
    <col min="8448" max="8449" width="7.6640625" style="31" customWidth="1"/>
    <col min="8450" max="8455" width="8.6640625" style="31" customWidth="1"/>
    <col min="8456" max="8458" width="10.6640625" style="31" customWidth="1"/>
    <col min="8459" max="8459" width="25.5546875" style="31" customWidth="1"/>
    <col min="8460" max="8460" width="9.33203125" style="31" customWidth="1"/>
    <col min="8461" max="8461" width="14.33203125" style="31" customWidth="1"/>
    <col min="8462" max="8462" width="12.44140625" style="31" customWidth="1"/>
    <col min="8463" max="8696" width="9.33203125" style="31"/>
    <col min="8697" max="8697" width="2.44140625" style="31" customWidth="1"/>
    <col min="8698" max="8698" width="15.33203125" style="31" customWidth="1"/>
    <col min="8699" max="8699" width="17.33203125" style="31" customWidth="1"/>
    <col min="8700" max="8700" width="3.5546875" style="31" customWidth="1"/>
    <col min="8701" max="8701" width="17.33203125" style="31" customWidth="1"/>
    <col min="8702" max="8702" width="0.33203125" style="31" customWidth="1"/>
    <col min="8703" max="8703" width="4.6640625" style="31" customWidth="1"/>
    <col min="8704" max="8705" width="7.6640625" style="31" customWidth="1"/>
    <col min="8706" max="8711" width="8.6640625" style="31" customWidth="1"/>
    <col min="8712" max="8714" width="10.6640625" style="31" customWidth="1"/>
    <col min="8715" max="8715" width="25.5546875" style="31" customWidth="1"/>
    <col min="8716" max="8716" width="9.33203125" style="31" customWidth="1"/>
    <col min="8717" max="8717" width="14.33203125" style="31" customWidth="1"/>
    <col min="8718" max="8718" width="12.44140625" style="31" customWidth="1"/>
    <col min="8719" max="8952" width="9.33203125" style="31"/>
    <col min="8953" max="8953" width="2.44140625" style="31" customWidth="1"/>
    <col min="8954" max="8954" width="15.33203125" style="31" customWidth="1"/>
    <col min="8955" max="8955" width="17.33203125" style="31" customWidth="1"/>
    <col min="8956" max="8956" width="3.5546875" style="31" customWidth="1"/>
    <col min="8957" max="8957" width="17.33203125" style="31" customWidth="1"/>
    <col min="8958" max="8958" width="0.33203125" style="31" customWidth="1"/>
    <col min="8959" max="8959" width="4.6640625" style="31" customWidth="1"/>
    <col min="8960" max="8961" width="7.6640625" style="31" customWidth="1"/>
    <col min="8962" max="8967" width="8.6640625" style="31" customWidth="1"/>
    <col min="8968" max="8970" width="10.6640625" style="31" customWidth="1"/>
    <col min="8971" max="8971" width="25.5546875" style="31" customWidth="1"/>
    <col min="8972" max="8972" width="9.33203125" style="31" customWidth="1"/>
    <col min="8973" max="8973" width="14.33203125" style="31" customWidth="1"/>
    <col min="8974" max="8974" width="12.44140625" style="31" customWidth="1"/>
    <col min="8975" max="9208" width="9.33203125" style="31"/>
    <col min="9209" max="9209" width="2.44140625" style="31" customWidth="1"/>
    <col min="9210" max="9210" width="15.33203125" style="31" customWidth="1"/>
    <col min="9211" max="9211" width="17.33203125" style="31" customWidth="1"/>
    <col min="9212" max="9212" width="3.5546875" style="31" customWidth="1"/>
    <col min="9213" max="9213" width="17.33203125" style="31" customWidth="1"/>
    <col min="9214" max="9214" width="0.33203125" style="31" customWidth="1"/>
    <col min="9215" max="9215" width="4.6640625" style="31" customWidth="1"/>
    <col min="9216" max="9217" width="7.6640625" style="31" customWidth="1"/>
    <col min="9218" max="9223" width="8.6640625" style="31" customWidth="1"/>
    <col min="9224" max="9226" width="10.6640625" style="31" customWidth="1"/>
    <col min="9227" max="9227" width="25.5546875" style="31" customWidth="1"/>
    <col min="9228" max="9228" width="9.33203125" style="31" customWidth="1"/>
    <col min="9229" max="9229" width="14.33203125" style="31" customWidth="1"/>
    <col min="9230" max="9230" width="12.44140625" style="31" customWidth="1"/>
    <col min="9231" max="9464" width="9.33203125" style="31"/>
    <col min="9465" max="9465" width="2.44140625" style="31" customWidth="1"/>
    <col min="9466" max="9466" width="15.33203125" style="31" customWidth="1"/>
    <col min="9467" max="9467" width="17.33203125" style="31" customWidth="1"/>
    <col min="9468" max="9468" width="3.5546875" style="31" customWidth="1"/>
    <col min="9469" max="9469" width="17.33203125" style="31" customWidth="1"/>
    <col min="9470" max="9470" width="0.33203125" style="31" customWidth="1"/>
    <col min="9471" max="9471" width="4.6640625" style="31" customWidth="1"/>
    <col min="9472" max="9473" width="7.6640625" style="31" customWidth="1"/>
    <col min="9474" max="9479" width="8.6640625" style="31" customWidth="1"/>
    <col min="9480" max="9482" width="10.6640625" style="31" customWidth="1"/>
    <col min="9483" max="9483" width="25.5546875" style="31" customWidth="1"/>
    <col min="9484" max="9484" width="9.33203125" style="31" customWidth="1"/>
    <col min="9485" max="9485" width="14.33203125" style="31" customWidth="1"/>
    <col min="9486" max="9486" width="12.44140625" style="31" customWidth="1"/>
    <col min="9487" max="9720" width="9.33203125" style="31"/>
    <col min="9721" max="9721" width="2.44140625" style="31" customWidth="1"/>
    <col min="9722" max="9722" width="15.33203125" style="31" customWidth="1"/>
    <col min="9723" max="9723" width="17.33203125" style="31" customWidth="1"/>
    <col min="9724" max="9724" width="3.5546875" style="31" customWidth="1"/>
    <col min="9725" max="9725" width="17.33203125" style="31" customWidth="1"/>
    <col min="9726" max="9726" width="0.33203125" style="31" customWidth="1"/>
    <col min="9727" max="9727" width="4.6640625" style="31" customWidth="1"/>
    <col min="9728" max="9729" width="7.6640625" style="31" customWidth="1"/>
    <col min="9730" max="9735" width="8.6640625" style="31" customWidth="1"/>
    <col min="9736" max="9738" width="10.6640625" style="31" customWidth="1"/>
    <col min="9739" max="9739" width="25.5546875" style="31" customWidth="1"/>
    <col min="9740" max="9740" width="9.33203125" style="31" customWidth="1"/>
    <col min="9741" max="9741" width="14.33203125" style="31" customWidth="1"/>
    <col min="9742" max="9742" width="12.44140625" style="31" customWidth="1"/>
    <col min="9743" max="9976" width="9.33203125" style="31"/>
    <col min="9977" max="9977" width="2.44140625" style="31" customWidth="1"/>
    <col min="9978" max="9978" width="15.33203125" style="31" customWidth="1"/>
    <col min="9979" max="9979" width="17.33203125" style="31" customWidth="1"/>
    <col min="9980" max="9980" width="3.5546875" style="31" customWidth="1"/>
    <col min="9981" max="9981" width="17.33203125" style="31" customWidth="1"/>
    <col min="9982" max="9982" width="0.33203125" style="31" customWidth="1"/>
    <col min="9983" max="9983" width="4.6640625" style="31" customWidth="1"/>
    <col min="9984" max="9985" width="7.6640625" style="31" customWidth="1"/>
    <col min="9986" max="9991" width="8.6640625" style="31" customWidth="1"/>
    <col min="9992" max="9994" width="10.6640625" style="31" customWidth="1"/>
    <col min="9995" max="9995" width="25.5546875" style="31" customWidth="1"/>
    <col min="9996" max="9996" width="9.33203125" style="31" customWidth="1"/>
    <col min="9997" max="9997" width="14.33203125" style="31" customWidth="1"/>
    <col min="9998" max="9998" width="12.44140625" style="31" customWidth="1"/>
    <col min="9999" max="10232" width="9.33203125" style="31"/>
    <col min="10233" max="10233" width="2.44140625" style="31" customWidth="1"/>
    <col min="10234" max="10234" width="15.33203125" style="31" customWidth="1"/>
    <col min="10235" max="10235" width="17.33203125" style="31" customWidth="1"/>
    <col min="10236" max="10236" width="3.5546875" style="31" customWidth="1"/>
    <col min="10237" max="10237" width="17.33203125" style="31" customWidth="1"/>
    <col min="10238" max="10238" width="0.33203125" style="31" customWidth="1"/>
    <col min="10239" max="10239" width="4.6640625" style="31" customWidth="1"/>
    <col min="10240" max="10241" width="7.6640625" style="31" customWidth="1"/>
    <col min="10242" max="10247" width="8.6640625" style="31" customWidth="1"/>
    <col min="10248" max="10250" width="10.6640625" style="31" customWidth="1"/>
    <col min="10251" max="10251" width="25.5546875" style="31" customWidth="1"/>
    <col min="10252" max="10252" width="9.33203125" style="31" customWidth="1"/>
    <col min="10253" max="10253" width="14.33203125" style="31" customWidth="1"/>
    <col min="10254" max="10254" width="12.44140625" style="31" customWidth="1"/>
    <col min="10255" max="10488" width="9.33203125" style="31"/>
    <col min="10489" max="10489" width="2.44140625" style="31" customWidth="1"/>
    <col min="10490" max="10490" width="15.33203125" style="31" customWidth="1"/>
    <col min="10491" max="10491" width="17.33203125" style="31" customWidth="1"/>
    <col min="10492" max="10492" width="3.5546875" style="31" customWidth="1"/>
    <col min="10493" max="10493" width="17.33203125" style="31" customWidth="1"/>
    <col min="10494" max="10494" width="0.33203125" style="31" customWidth="1"/>
    <col min="10495" max="10495" width="4.6640625" style="31" customWidth="1"/>
    <col min="10496" max="10497" width="7.6640625" style="31" customWidth="1"/>
    <col min="10498" max="10503" width="8.6640625" style="31" customWidth="1"/>
    <col min="10504" max="10506" width="10.6640625" style="31" customWidth="1"/>
    <col min="10507" max="10507" width="25.5546875" style="31" customWidth="1"/>
    <col min="10508" max="10508" width="9.33203125" style="31" customWidth="1"/>
    <col min="10509" max="10509" width="14.33203125" style="31" customWidth="1"/>
    <col min="10510" max="10510" width="12.44140625" style="31" customWidth="1"/>
    <col min="10511" max="10744" width="9.33203125" style="31"/>
    <col min="10745" max="10745" width="2.44140625" style="31" customWidth="1"/>
    <col min="10746" max="10746" width="15.33203125" style="31" customWidth="1"/>
    <col min="10747" max="10747" width="17.33203125" style="31" customWidth="1"/>
    <col min="10748" max="10748" width="3.5546875" style="31" customWidth="1"/>
    <col min="10749" max="10749" width="17.33203125" style="31" customWidth="1"/>
    <col min="10750" max="10750" width="0.33203125" style="31" customWidth="1"/>
    <col min="10751" max="10751" width="4.6640625" style="31" customWidth="1"/>
    <col min="10752" max="10753" width="7.6640625" style="31" customWidth="1"/>
    <col min="10754" max="10759" width="8.6640625" style="31" customWidth="1"/>
    <col min="10760" max="10762" width="10.6640625" style="31" customWidth="1"/>
    <col min="10763" max="10763" width="25.5546875" style="31" customWidth="1"/>
    <col min="10764" max="10764" width="9.33203125" style="31" customWidth="1"/>
    <col min="10765" max="10765" width="14.33203125" style="31" customWidth="1"/>
    <col min="10766" max="10766" width="12.44140625" style="31" customWidth="1"/>
    <col min="10767" max="11000" width="9.33203125" style="31"/>
    <col min="11001" max="11001" width="2.44140625" style="31" customWidth="1"/>
    <col min="11002" max="11002" width="15.33203125" style="31" customWidth="1"/>
    <col min="11003" max="11003" width="17.33203125" style="31" customWidth="1"/>
    <col min="11004" max="11004" width="3.5546875" style="31" customWidth="1"/>
    <col min="11005" max="11005" width="17.33203125" style="31" customWidth="1"/>
    <col min="11006" max="11006" width="0.33203125" style="31" customWidth="1"/>
    <col min="11007" max="11007" width="4.6640625" style="31" customWidth="1"/>
    <col min="11008" max="11009" width="7.6640625" style="31" customWidth="1"/>
    <col min="11010" max="11015" width="8.6640625" style="31" customWidth="1"/>
    <col min="11016" max="11018" width="10.6640625" style="31" customWidth="1"/>
    <col min="11019" max="11019" width="25.5546875" style="31" customWidth="1"/>
    <col min="11020" max="11020" width="9.33203125" style="31" customWidth="1"/>
    <col min="11021" max="11021" width="14.33203125" style="31" customWidth="1"/>
    <col min="11022" max="11022" width="12.44140625" style="31" customWidth="1"/>
    <col min="11023" max="11256" width="9.33203125" style="31"/>
    <col min="11257" max="11257" width="2.44140625" style="31" customWidth="1"/>
    <col min="11258" max="11258" width="15.33203125" style="31" customWidth="1"/>
    <col min="11259" max="11259" width="17.33203125" style="31" customWidth="1"/>
    <col min="11260" max="11260" width="3.5546875" style="31" customWidth="1"/>
    <col min="11261" max="11261" width="17.33203125" style="31" customWidth="1"/>
    <col min="11262" max="11262" width="0.33203125" style="31" customWidth="1"/>
    <col min="11263" max="11263" width="4.6640625" style="31" customWidth="1"/>
    <col min="11264" max="11265" width="7.6640625" style="31" customWidth="1"/>
    <col min="11266" max="11271" width="8.6640625" style="31" customWidth="1"/>
    <col min="11272" max="11274" width="10.6640625" style="31" customWidth="1"/>
    <col min="11275" max="11275" width="25.5546875" style="31" customWidth="1"/>
    <col min="11276" max="11276" width="9.33203125" style="31" customWidth="1"/>
    <col min="11277" max="11277" width="14.33203125" style="31" customWidth="1"/>
    <col min="11278" max="11278" width="12.44140625" style="31" customWidth="1"/>
    <col min="11279" max="11512" width="9.33203125" style="31"/>
    <col min="11513" max="11513" width="2.44140625" style="31" customWidth="1"/>
    <col min="11514" max="11514" width="15.33203125" style="31" customWidth="1"/>
    <col min="11515" max="11515" width="17.33203125" style="31" customWidth="1"/>
    <col min="11516" max="11516" width="3.5546875" style="31" customWidth="1"/>
    <col min="11517" max="11517" width="17.33203125" style="31" customWidth="1"/>
    <col min="11518" max="11518" width="0.33203125" style="31" customWidth="1"/>
    <col min="11519" max="11519" width="4.6640625" style="31" customWidth="1"/>
    <col min="11520" max="11521" width="7.6640625" style="31" customWidth="1"/>
    <col min="11522" max="11527" width="8.6640625" style="31" customWidth="1"/>
    <col min="11528" max="11530" width="10.6640625" style="31" customWidth="1"/>
    <col min="11531" max="11531" width="25.5546875" style="31" customWidth="1"/>
    <col min="11532" max="11532" width="9.33203125" style="31" customWidth="1"/>
    <col min="11533" max="11533" width="14.33203125" style="31" customWidth="1"/>
    <col min="11534" max="11534" width="12.44140625" style="31" customWidth="1"/>
    <col min="11535" max="11768" width="9.33203125" style="31"/>
    <col min="11769" max="11769" width="2.44140625" style="31" customWidth="1"/>
    <col min="11770" max="11770" width="15.33203125" style="31" customWidth="1"/>
    <col min="11771" max="11771" width="17.33203125" style="31" customWidth="1"/>
    <col min="11772" max="11772" width="3.5546875" style="31" customWidth="1"/>
    <col min="11773" max="11773" width="17.33203125" style="31" customWidth="1"/>
    <col min="11774" max="11774" width="0.33203125" style="31" customWidth="1"/>
    <col min="11775" max="11775" width="4.6640625" style="31" customWidth="1"/>
    <col min="11776" max="11777" width="7.6640625" style="31" customWidth="1"/>
    <col min="11778" max="11783" width="8.6640625" style="31" customWidth="1"/>
    <col min="11784" max="11786" width="10.6640625" style="31" customWidth="1"/>
    <col min="11787" max="11787" width="25.5546875" style="31" customWidth="1"/>
    <col min="11788" max="11788" width="9.33203125" style="31" customWidth="1"/>
    <col min="11789" max="11789" width="14.33203125" style="31" customWidth="1"/>
    <col min="11790" max="11790" width="12.44140625" style="31" customWidth="1"/>
    <col min="11791" max="12024" width="9.33203125" style="31"/>
    <col min="12025" max="12025" width="2.44140625" style="31" customWidth="1"/>
    <col min="12026" max="12026" width="15.33203125" style="31" customWidth="1"/>
    <col min="12027" max="12027" width="17.33203125" style="31" customWidth="1"/>
    <col min="12028" max="12028" width="3.5546875" style="31" customWidth="1"/>
    <col min="12029" max="12029" width="17.33203125" style="31" customWidth="1"/>
    <col min="12030" max="12030" width="0.33203125" style="31" customWidth="1"/>
    <col min="12031" max="12031" width="4.6640625" style="31" customWidth="1"/>
    <col min="12032" max="12033" width="7.6640625" style="31" customWidth="1"/>
    <col min="12034" max="12039" width="8.6640625" style="31" customWidth="1"/>
    <col min="12040" max="12042" width="10.6640625" style="31" customWidth="1"/>
    <col min="12043" max="12043" width="25.5546875" style="31" customWidth="1"/>
    <col min="12044" max="12044" width="9.33203125" style="31" customWidth="1"/>
    <col min="12045" max="12045" width="14.33203125" style="31" customWidth="1"/>
    <col min="12046" max="12046" width="12.44140625" style="31" customWidth="1"/>
    <col min="12047" max="12280" width="9.33203125" style="31"/>
    <col min="12281" max="12281" width="2.44140625" style="31" customWidth="1"/>
    <col min="12282" max="12282" width="15.33203125" style="31" customWidth="1"/>
    <col min="12283" max="12283" width="17.33203125" style="31" customWidth="1"/>
    <col min="12284" max="12284" width="3.5546875" style="31" customWidth="1"/>
    <col min="12285" max="12285" width="17.33203125" style="31" customWidth="1"/>
    <col min="12286" max="12286" width="0.33203125" style="31" customWidth="1"/>
    <col min="12287" max="12287" width="4.6640625" style="31" customWidth="1"/>
    <col min="12288" max="12289" width="7.6640625" style="31" customWidth="1"/>
    <col min="12290" max="12295" width="8.6640625" style="31" customWidth="1"/>
    <col min="12296" max="12298" width="10.6640625" style="31" customWidth="1"/>
    <col min="12299" max="12299" width="25.5546875" style="31" customWidth="1"/>
    <col min="12300" max="12300" width="9.33203125" style="31" customWidth="1"/>
    <col min="12301" max="12301" width="14.33203125" style="31" customWidth="1"/>
    <col min="12302" max="12302" width="12.44140625" style="31" customWidth="1"/>
    <col min="12303" max="12536" width="9.33203125" style="31"/>
    <col min="12537" max="12537" width="2.44140625" style="31" customWidth="1"/>
    <col min="12538" max="12538" width="15.33203125" style="31" customWidth="1"/>
    <col min="12539" max="12539" width="17.33203125" style="31" customWidth="1"/>
    <col min="12540" max="12540" width="3.5546875" style="31" customWidth="1"/>
    <col min="12541" max="12541" width="17.33203125" style="31" customWidth="1"/>
    <col min="12542" max="12542" width="0.33203125" style="31" customWidth="1"/>
    <col min="12543" max="12543" width="4.6640625" style="31" customWidth="1"/>
    <col min="12544" max="12545" width="7.6640625" style="31" customWidth="1"/>
    <col min="12546" max="12551" width="8.6640625" style="31" customWidth="1"/>
    <col min="12552" max="12554" width="10.6640625" style="31" customWidth="1"/>
    <col min="12555" max="12555" width="25.5546875" style="31" customWidth="1"/>
    <col min="12556" max="12556" width="9.33203125" style="31" customWidth="1"/>
    <col min="12557" max="12557" width="14.33203125" style="31" customWidth="1"/>
    <col min="12558" max="12558" width="12.44140625" style="31" customWidth="1"/>
    <col min="12559" max="12792" width="9.33203125" style="31"/>
    <col min="12793" max="12793" width="2.44140625" style="31" customWidth="1"/>
    <col min="12794" max="12794" width="15.33203125" style="31" customWidth="1"/>
    <col min="12795" max="12795" width="17.33203125" style="31" customWidth="1"/>
    <col min="12796" max="12796" width="3.5546875" style="31" customWidth="1"/>
    <col min="12797" max="12797" width="17.33203125" style="31" customWidth="1"/>
    <col min="12798" max="12798" width="0.33203125" style="31" customWidth="1"/>
    <col min="12799" max="12799" width="4.6640625" style="31" customWidth="1"/>
    <col min="12800" max="12801" width="7.6640625" style="31" customWidth="1"/>
    <col min="12802" max="12807" width="8.6640625" style="31" customWidth="1"/>
    <col min="12808" max="12810" width="10.6640625" style="31" customWidth="1"/>
    <col min="12811" max="12811" width="25.5546875" style="31" customWidth="1"/>
    <col min="12812" max="12812" width="9.33203125" style="31" customWidth="1"/>
    <col min="12813" max="12813" width="14.33203125" style="31" customWidth="1"/>
    <col min="12814" max="12814" width="12.44140625" style="31" customWidth="1"/>
    <col min="12815" max="13048" width="9.33203125" style="31"/>
    <col min="13049" max="13049" width="2.44140625" style="31" customWidth="1"/>
    <col min="13050" max="13050" width="15.33203125" style="31" customWidth="1"/>
    <col min="13051" max="13051" width="17.33203125" style="31" customWidth="1"/>
    <col min="13052" max="13052" width="3.5546875" style="31" customWidth="1"/>
    <col min="13053" max="13053" width="17.33203125" style="31" customWidth="1"/>
    <col min="13054" max="13054" width="0.33203125" style="31" customWidth="1"/>
    <col min="13055" max="13055" width="4.6640625" style="31" customWidth="1"/>
    <col min="13056" max="13057" width="7.6640625" style="31" customWidth="1"/>
    <col min="13058" max="13063" width="8.6640625" style="31" customWidth="1"/>
    <col min="13064" max="13066" width="10.6640625" style="31" customWidth="1"/>
    <col min="13067" max="13067" width="25.5546875" style="31" customWidth="1"/>
    <col min="13068" max="13068" width="9.33203125" style="31" customWidth="1"/>
    <col min="13069" max="13069" width="14.33203125" style="31" customWidth="1"/>
    <col min="13070" max="13070" width="12.44140625" style="31" customWidth="1"/>
    <col min="13071" max="13304" width="9.33203125" style="31"/>
    <col min="13305" max="13305" width="2.44140625" style="31" customWidth="1"/>
    <col min="13306" max="13306" width="15.33203125" style="31" customWidth="1"/>
    <col min="13307" max="13307" width="17.33203125" style="31" customWidth="1"/>
    <col min="13308" max="13308" width="3.5546875" style="31" customWidth="1"/>
    <col min="13309" max="13309" width="17.33203125" style="31" customWidth="1"/>
    <col min="13310" max="13310" width="0.33203125" style="31" customWidth="1"/>
    <col min="13311" max="13311" width="4.6640625" style="31" customWidth="1"/>
    <col min="13312" max="13313" width="7.6640625" style="31" customWidth="1"/>
    <col min="13314" max="13319" width="8.6640625" style="31" customWidth="1"/>
    <col min="13320" max="13322" width="10.6640625" style="31" customWidth="1"/>
    <col min="13323" max="13323" width="25.5546875" style="31" customWidth="1"/>
    <col min="13324" max="13324" width="9.33203125" style="31" customWidth="1"/>
    <col min="13325" max="13325" width="14.33203125" style="31" customWidth="1"/>
    <col min="13326" max="13326" width="12.44140625" style="31" customWidth="1"/>
    <col min="13327" max="13560" width="9.33203125" style="31"/>
    <col min="13561" max="13561" width="2.44140625" style="31" customWidth="1"/>
    <col min="13562" max="13562" width="15.33203125" style="31" customWidth="1"/>
    <col min="13563" max="13563" width="17.33203125" style="31" customWidth="1"/>
    <col min="13564" max="13564" width="3.5546875" style="31" customWidth="1"/>
    <col min="13565" max="13565" width="17.33203125" style="31" customWidth="1"/>
    <col min="13566" max="13566" width="0.33203125" style="31" customWidth="1"/>
    <col min="13567" max="13567" width="4.6640625" style="31" customWidth="1"/>
    <col min="13568" max="13569" width="7.6640625" style="31" customWidth="1"/>
    <col min="13570" max="13575" width="8.6640625" style="31" customWidth="1"/>
    <col min="13576" max="13578" width="10.6640625" style="31" customWidth="1"/>
    <col min="13579" max="13579" width="25.5546875" style="31" customWidth="1"/>
    <col min="13580" max="13580" width="9.33203125" style="31" customWidth="1"/>
    <col min="13581" max="13581" width="14.33203125" style="31" customWidth="1"/>
    <col min="13582" max="13582" width="12.44140625" style="31" customWidth="1"/>
    <col min="13583" max="13816" width="9.33203125" style="31"/>
    <col min="13817" max="13817" width="2.44140625" style="31" customWidth="1"/>
    <col min="13818" max="13818" width="15.33203125" style="31" customWidth="1"/>
    <col min="13819" max="13819" width="17.33203125" style="31" customWidth="1"/>
    <col min="13820" max="13820" width="3.5546875" style="31" customWidth="1"/>
    <col min="13821" max="13821" width="17.33203125" style="31" customWidth="1"/>
    <col min="13822" max="13822" width="0.33203125" style="31" customWidth="1"/>
    <col min="13823" max="13823" width="4.6640625" style="31" customWidth="1"/>
    <col min="13824" max="13825" width="7.6640625" style="31" customWidth="1"/>
    <col min="13826" max="13831" width="8.6640625" style="31" customWidth="1"/>
    <col min="13832" max="13834" width="10.6640625" style="31" customWidth="1"/>
    <col min="13835" max="13835" width="25.5546875" style="31" customWidth="1"/>
    <col min="13836" max="13836" width="9.33203125" style="31" customWidth="1"/>
    <col min="13837" max="13837" width="14.33203125" style="31" customWidth="1"/>
    <col min="13838" max="13838" width="12.44140625" style="31" customWidth="1"/>
    <col min="13839" max="14072" width="9.33203125" style="31"/>
    <col min="14073" max="14073" width="2.44140625" style="31" customWidth="1"/>
    <col min="14074" max="14074" width="15.33203125" style="31" customWidth="1"/>
    <col min="14075" max="14075" width="17.33203125" style="31" customWidth="1"/>
    <col min="14076" max="14076" width="3.5546875" style="31" customWidth="1"/>
    <col min="14077" max="14077" width="17.33203125" style="31" customWidth="1"/>
    <col min="14078" max="14078" width="0.33203125" style="31" customWidth="1"/>
    <col min="14079" max="14079" width="4.6640625" style="31" customWidth="1"/>
    <col min="14080" max="14081" width="7.6640625" style="31" customWidth="1"/>
    <col min="14082" max="14087" width="8.6640625" style="31" customWidth="1"/>
    <col min="14088" max="14090" width="10.6640625" style="31" customWidth="1"/>
    <col min="14091" max="14091" width="25.5546875" style="31" customWidth="1"/>
    <col min="14092" max="14092" width="9.33203125" style="31" customWidth="1"/>
    <col min="14093" max="14093" width="14.33203125" style="31" customWidth="1"/>
    <col min="14094" max="14094" width="12.44140625" style="31" customWidth="1"/>
    <col min="14095" max="14328" width="9.33203125" style="31"/>
    <col min="14329" max="14329" width="2.44140625" style="31" customWidth="1"/>
    <col min="14330" max="14330" width="15.33203125" style="31" customWidth="1"/>
    <col min="14331" max="14331" width="17.33203125" style="31" customWidth="1"/>
    <col min="14332" max="14332" width="3.5546875" style="31" customWidth="1"/>
    <col min="14333" max="14333" width="17.33203125" style="31" customWidth="1"/>
    <col min="14334" max="14334" width="0.33203125" style="31" customWidth="1"/>
    <col min="14335" max="14335" width="4.6640625" style="31" customWidth="1"/>
    <col min="14336" max="14337" width="7.6640625" style="31" customWidth="1"/>
    <col min="14338" max="14343" width="8.6640625" style="31" customWidth="1"/>
    <col min="14344" max="14346" width="10.6640625" style="31" customWidth="1"/>
    <col min="14347" max="14347" width="25.5546875" style="31" customWidth="1"/>
    <col min="14348" max="14348" width="9.33203125" style="31" customWidth="1"/>
    <col min="14349" max="14349" width="14.33203125" style="31" customWidth="1"/>
    <col min="14350" max="14350" width="12.44140625" style="31" customWidth="1"/>
    <col min="14351" max="14584" width="9.33203125" style="31"/>
    <col min="14585" max="14585" width="2.44140625" style="31" customWidth="1"/>
    <col min="14586" max="14586" width="15.33203125" style="31" customWidth="1"/>
    <col min="14587" max="14587" width="17.33203125" style="31" customWidth="1"/>
    <col min="14588" max="14588" width="3.5546875" style="31" customWidth="1"/>
    <col min="14589" max="14589" width="17.33203125" style="31" customWidth="1"/>
    <col min="14590" max="14590" width="0.33203125" style="31" customWidth="1"/>
    <col min="14591" max="14591" width="4.6640625" style="31" customWidth="1"/>
    <col min="14592" max="14593" width="7.6640625" style="31" customWidth="1"/>
    <col min="14594" max="14599" width="8.6640625" style="31" customWidth="1"/>
    <col min="14600" max="14602" width="10.6640625" style="31" customWidth="1"/>
    <col min="14603" max="14603" width="25.5546875" style="31" customWidth="1"/>
    <col min="14604" max="14604" width="9.33203125" style="31" customWidth="1"/>
    <col min="14605" max="14605" width="14.33203125" style="31" customWidth="1"/>
    <col min="14606" max="14606" width="12.44140625" style="31" customWidth="1"/>
    <col min="14607" max="14840" width="9.33203125" style="31"/>
    <col min="14841" max="14841" width="2.44140625" style="31" customWidth="1"/>
    <col min="14842" max="14842" width="15.33203125" style="31" customWidth="1"/>
    <col min="14843" max="14843" width="17.33203125" style="31" customWidth="1"/>
    <col min="14844" max="14844" width="3.5546875" style="31" customWidth="1"/>
    <col min="14845" max="14845" width="17.33203125" style="31" customWidth="1"/>
    <col min="14846" max="14846" width="0.33203125" style="31" customWidth="1"/>
    <col min="14847" max="14847" width="4.6640625" style="31" customWidth="1"/>
    <col min="14848" max="14849" width="7.6640625" style="31" customWidth="1"/>
    <col min="14850" max="14855" width="8.6640625" style="31" customWidth="1"/>
    <col min="14856" max="14858" width="10.6640625" style="31" customWidth="1"/>
    <col min="14859" max="14859" width="25.5546875" style="31" customWidth="1"/>
    <col min="14860" max="14860" width="9.33203125" style="31" customWidth="1"/>
    <col min="14861" max="14861" width="14.33203125" style="31" customWidth="1"/>
    <col min="14862" max="14862" width="12.44140625" style="31" customWidth="1"/>
    <col min="14863" max="15096" width="9.33203125" style="31"/>
    <col min="15097" max="15097" width="2.44140625" style="31" customWidth="1"/>
    <col min="15098" max="15098" width="15.33203125" style="31" customWidth="1"/>
    <col min="15099" max="15099" width="17.33203125" style="31" customWidth="1"/>
    <col min="15100" max="15100" width="3.5546875" style="31" customWidth="1"/>
    <col min="15101" max="15101" width="17.33203125" style="31" customWidth="1"/>
    <col min="15102" max="15102" width="0.33203125" style="31" customWidth="1"/>
    <col min="15103" max="15103" width="4.6640625" style="31" customWidth="1"/>
    <col min="15104" max="15105" width="7.6640625" style="31" customWidth="1"/>
    <col min="15106" max="15111" width="8.6640625" style="31" customWidth="1"/>
    <col min="15112" max="15114" width="10.6640625" style="31" customWidth="1"/>
    <col min="15115" max="15115" width="25.5546875" style="31" customWidth="1"/>
    <col min="15116" max="15116" width="9.33203125" style="31" customWidth="1"/>
    <col min="15117" max="15117" width="14.33203125" style="31" customWidth="1"/>
    <col min="15118" max="15118" width="12.44140625" style="31" customWidth="1"/>
    <col min="15119" max="15352" width="9.33203125" style="31"/>
    <col min="15353" max="15353" width="2.44140625" style="31" customWidth="1"/>
    <col min="15354" max="15354" width="15.33203125" style="31" customWidth="1"/>
    <col min="15355" max="15355" width="17.33203125" style="31" customWidth="1"/>
    <col min="15356" max="15356" width="3.5546875" style="31" customWidth="1"/>
    <col min="15357" max="15357" width="17.33203125" style="31" customWidth="1"/>
    <col min="15358" max="15358" width="0.33203125" style="31" customWidth="1"/>
    <col min="15359" max="15359" width="4.6640625" style="31" customWidth="1"/>
    <col min="15360" max="15361" width="7.6640625" style="31" customWidth="1"/>
    <col min="15362" max="15367" width="8.6640625" style="31" customWidth="1"/>
    <col min="15368" max="15370" width="10.6640625" style="31" customWidth="1"/>
    <col min="15371" max="15371" width="25.5546875" style="31" customWidth="1"/>
    <col min="15372" max="15372" width="9.33203125" style="31" customWidth="1"/>
    <col min="15373" max="15373" width="14.33203125" style="31" customWidth="1"/>
    <col min="15374" max="15374" width="12.44140625" style="31" customWidth="1"/>
    <col min="15375" max="15608" width="9.33203125" style="31"/>
    <col min="15609" max="15609" width="2.44140625" style="31" customWidth="1"/>
    <col min="15610" max="15610" width="15.33203125" style="31" customWidth="1"/>
    <col min="15611" max="15611" width="17.33203125" style="31" customWidth="1"/>
    <col min="15612" max="15612" width="3.5546875" style="31" customWidth="1"/>
    <col min="15613" max="15613" width="17.33203125" style="31" customWidth="1"/>
    <col min="15614" max="15614" width="0.33203125" style="31" customWidth="1"/>
    <col min="15615" max="15615" width="4.6640625" style="31" customWidth="1"/>
    <col min="15616" max="15617" width="7.6640625" style="31" customWidth="1"/>
    <col min="15618" max="15623" width="8.6640625" style="31" customWidth="1"/>
    <col min="15624" max="15626" width="10.6640625" style="31" customWidth="1"/>
    <col min="15627" max="15627" width="25.5546875" style="31" customWidth="1"/>
    <col min="15628" max="15628" width="9.33203125" style="31" customWidth="1"/>
    <col min="15629" max="15629" width="14.33203125" style="31" customWidth="1"/>
    <col min="15630" max="15630" width="12.44140625" style="31" customWidth="1"/>
    <col min="15631" max="15864" width="9.33203125" style="31"/>
    <col min="15865" max="15865" width="2.44140625" style="31" customWidth="1"/>
    <col min="15866" max="15866" width="15.33203125" style="31" customWidth="1"/>
    <col min="15867" max="15867" width="17.33203125" style="31" customWidth="1"/>
    <col min="15868" max="15868" width="3.5546875" style="31" customWidth="1"/>
    <col min="15869" max="15869" width="17.33203125" style="31" customWidth="1"/>
    <col min="15870" max="15870" width="0.33203125" style="31" customWidth="1"/>
    <col min="15871" max="15871" width="4.6640625" style="31" customWidth="1"/>
    <col min="15872" max="15873" width="7.6640625" style="31" customWidth="1"/>
    <col min="15874" max="15879" width="8.6640625" style="31" customWidth="1"/>
    <col min="15880" max="15882" width="10.6640625" style="31" customWidth="1"/>
    <col min="15883" max="15883" width="25.5546875" style="31" customWidth="1"/>
    <col min="15884" max="15884" width="9.33203125" style="31" customWidth="1"/>
    <col min="15885" max="15885" width="14.33203125" style="31" customWidth="1"/>
    <col min="15886" max="15886" width="12.44140625" style="31" customWidth="1"/>
    <col min="15887" max="16120" width="9.33203125" style="31"/>
    <col min="16121" max="16121" width="2.44140625" style="31" customWidth="1"/>
    <col min="16122" max="16122" width="15.33203125" style="31" customWidth="1"/>
    <col min="16123" max="16123" width="17.33203125" style="31" customWidth="1"/>
    <col min="16124" max="16124" width="3.5546875" style="31" customWidth="1"/>
    <col min="16125" max="16125" width="17.33203125" style="31" customWidth="1"/>
    <col min="16126" max="16126" width="0.33203125" style="31" customWidth="1"/>
    <col min="16127" max="16127" width="4.6640625" style="31" customWidth="1"/>
    <col min="16128" max="16129" width="7.6640625" style="31" customWidth="1"/>
    <col min="16130" max="16135" width="8.6640625" style="31" customWidth="1"/>
    <col min="16136" max="16138" width="10.6640625" style="31" customWidth="1"/>
    <col min="16139" max="16139" width="25.5546875" style="31" customWidth="1"/>
    <col min="16140" max="16140" width="9.33203125" style="31" customWidth="1"/>
    <col min="16141" max="16141" width="14.33203125" style="31" customWidth="1"/>
    <col min="16142" max="16142" width="12.44140625" style="31" customWidth="1"/>
    <col min="16143" max="16378" width="9.33203125" style="31"/>
    <col min="16379" max="16384" width="9.33203125" style="31" customWidth="1"/>
  </cols>
  <sheetData>
    <row r="1" spans="2:16" ht="13.8" thickBot="1" x14ac:dyDescent="0.3">
      <c r="G1" s="31"/>
      <c r="I1" s="31"/>
      <c r="J1" s="31"/>
      <c r="K1" s="49"/>
      <c r="L1" s="49"/>
      <c r="M1" s="49"/>
      <c r="N1" s="49"/>
    </row>
    <row r="2" spans="2:16" ht="18" x14ac:dyDescent="0.35">
      <c r="E2" s="145" t="s">
        <v>163</v>
      </c>
      <c r="G2" s="67"/>
      <c r="J2" s="237" t="s">
        <v>1</v>
      </c>
      <c r="K2" s="238"/>
      <c r="L2" s="239"/>
      <c r="M2" s="201"/>
      <c r="N2" s="241"/>
    </row>
    <row r="3" spans="2:16" ht="16.2" thickBot="1" x14ac:dyDescent="0.35">
      <c r="G3" s="31"/>
      <c r="J3" s="196" t="s">
        <v>2</v>
      </c>
      <c r="K3" s="143"/>
      <c r="L3" s="188"/>
      <c r="M3" s="197"/>
      <c r="N3" s="198"/>
    </row>
    <row r="4" spans="2:16" x14ac:dyDescent="0.25">
      <c r="E4" s="125" t="str">
        <f>'BCN-VLC-ALG to W-E Africa'!F4</f>
        <v>VALIDEZ: 1 Abril 2026 hasta 30 Abril 2026</v>
      </c>
      <c r="F4" s="130"/>
      <c r="G4" s="130"/>
      <c r="J4" s="31"/>
      <c r="K4" s="31"/>
      <c r="L4" s="31"/>
      <c r="M4" s="31"/>
      <c r="N4" s="31"/>
    </row>
    <row r="5" spans="2:16" ht="13.8" thickBot="1" x14ac:dyDescent="0.3">
      <c r="F5" s="73"/>
      <c r="G5" s="73"/>
      <c r="I5" s="31"/>
      <c r="J5" s="31"/>
      <c r="K5" s="31"/>
      <c r="L5" s="31"/>
      <c r="M5" s="31"/>
      <c r="N5" s="31"/>
    </row>
    <row r="6" spans="2:16" ht="21.6" thickBot="1" x14ac:dyDescent="0.45">
      <c r="D6" s="418" t="s">
        <v>601</v>
      </c>
      <c r="E6" s="423"/>
      <c r="F6" s="420"/>
      <c r="G6" s="419"/>
      <c r="H6" s="419"/>
      <c r="I6" s="419"/>
      <c r="J6" s="424"/>
      <c r="K6" s="422"/>
      <c r="L6" s="37"/>
      <c r="M6" s="31"/>
      <c r="N6" s="31"/>
      <c r="P6" s="37"/>
    </row>
    <row r="7" spans="2:16" x14ac:dyDescent="0.25">
      <c r="E7" s="125"/>
      <c r="F7" s="125"/>
      <c r="G7" s="124"/>
      <c r="H7" s="125"/>
      <c r="J7" s="31"/>
      <c r="K7" s="49"/>
      <c r="L7" s="49"/>
      <c r="M7" s="49"/>
      <c r="N7" s="49"/>
    </row>
    <row r="8" spans="2:16" ht="20.399999999999999" x14ac:dyDescent="0.25">
      <c r="B8" s="216" t="s">
        <v>3</v>
      </c>
      <c r="C8" s="217" t="s">
        <v>5</v>
      </c>
      <c r="D8" s="217" t="s">
        <v>6</v>
      </c>
      <c r="E8" s="217" t="s">
        <v>8</v>
      </c>
      <c r="F8" s="217" t="s">
        <v>9</v>
      </c>
      <c r="G8" s="218" t="s">
        <v>10</v>
      </c>
      <c r="H8" s="218" t="s">
        <v>11</v>
      </c>
      <c r="I8" s="218" t="s">
        <v>12</v>
      </c>
      <c r="J8" s="218" t="s">
        <v>62</v>
      </c>
      <c r="K8" s="218" t="s">
        <v>63</v>
      </c>
      <c r="L8" s="218" t="s">
        <v>603</v>
      </c>
      <c r="M8" s="218" t="s">
        <v>14</v>
      </c>
      <c r="N8" s="218" t="s">
        <v>15</v>
      </c>
      <c r="O8" s="219" t="s">
        <v>16</v>
      </c>
    </row>
    <row r="9" spans="2:16" ht="20.399999999999999" hidden="1" x14ac:dyDescent="0.25">
      <c r="B9" s="177" t="s">
        <v>164</v>
      </c>
      <c r="C9" s="65" t="s">
        <v>65</v>
      </c>
      <c r="D9" s="65" t="s">
        <v>66</v>
      </c>
      <c r="E9" s="106" t="s">
        <v>67</v>
      </c>
      <c r="F9" s="65" t="s">
        <v>68</v>
      </c>
      <c r="G9" s="333">
        <v>375</v>
      </c>
      <c r="H9" s="333">
        <v>475</v>
      </c>
      <c r="I9" s="333">
        <v>475</v>
      </c>
      <c r="J9" s="205" t="s">
        <v>69</v>
      </c>
      <c r="K9" s="205" t="s">
        <v>70</v>
      </c>
      <c r="L9" s="205">
        <v>60</v>
      </c>
      <c r="M9" s="205" t="s">
        <v>605</v>
      </c>
      <c r="N9" s="206"/>
      <c r="O9" s="207"/>
    </row>
    <row r="10" spans="2:16" ht="20.399999999999999" hidden="1" x14ac:dyDescent="0.25">
      <c r="B10" s="177" t="s">
        <v>164</v>
      </c>
      <c r="C10" s="65" t="s">
        <v>71</v>
      </c>
      <c r="D10" s="65" t="s">
        <v>66</v>
      </c>
      <c r="E10" s="106" t="s">
        <v>67</v>
      </c>
      <c r="F10" s="65" t="s">
        <v>68</v>
      </c>
      <c r="G10" s="333">
        <v>450</v>
      </c>
      <c r="H10" s="333">
        <v>600</v>
      </c>
      <c r="I10" s="333">
        <v>600</v>
      </c>
      <c r="J10" s="205" t="s">
        <v>69</v>
      </c>
      <c r="K10" s="205" t="str">
        <f>K9</f>
        <v>INCL</v>
      </c>
      <c r="L10" s="205">
        <f ca="1">$L$10</f>
        <v>60</v>
      </c>
      <c r="M10" s="205" t="str">
        <f ca="1">$M$10</f>
        <v>EBS/ETS</v>
      </c>
      <c r="N10" s="206"/>
      <c r="O10" s="207"/>
    </row>
    <row r="11" spans="2:16" ht="30.6" hidden="1" x14ac:dyDescent="0.25">
      <c r="B11" s="177" t="s">
        <v>164</v>
      </c>
      <c r="C11" s="65" t="s">
        <v>72</v>
      </c>
      <c r="D11" s="65" t="s">
        <v>20</v>
      </c>
      <c r="E11" s="106" t="s">
        <v>550</v>
      </c>
      <c r="F11" s="65" t="s">
        <v>68</v>
      </c>
      <c r="G11" s="333">
        <v>195</v>
      </c>
      <c r="H11" s="333">
        <v>190</v>
      </c>
      <c r="I11" s="333">
        <v>190</v>
      </c>
      <c r="J11" s="205" t="s">
        <v>69</v>
      </c>
      <c r="K11" s="205" t="str">
        <f t="shared" ref="K11:K74" si="0">K10</f>
        <v>INCL</v>
      </c>
      <c r="L11" s="205">
        <f t="shared" ref="L11:L74" ca="1" si="1">$L$10</f>
        <v>60</v>
      </c>
      <c r="M11" s="205" t="str">
        <f t="shared" ref="M11:M74" ca="1" si="2">$M$10</f>
        <v>EBS/ETS</v>
      </c>
      <c r="N11" s="206"/>
      <c r="O11" s="106" t="s">
        <v>551</v>
      </c>
    </row>
    <row r="12" spans="2:16" hidden="1" x14ac:dyDescent="0.25">
      <c r="B12" s="177" t="s">
        <v>164</v>
      </c>
      <c r="C12" s="65" t="s">
        <v>73</v>
      </c>
      <c r="D12" s="65" t="s">
        <v>66</v>
      </c>
      <c r="E12" s="106" t="s">
        <v>74</v>
      </c>
      <c r="F12" s="65" t="s">
        <v>68</v>
      </c>
      <c r="G12" s="333">
        <v>475</v>
      </c>
      <c r="H12" s="333">
        <v>675</v>
      </c>
      <c r="I12" s="333">
        <v>675</v>
      </c>
      <c r="J12" s="205" t="s">
        <v>69</v>
      </c>
      <c r="K12" s="205" t="str">
        <f t="shared" si="0"/>
        <v>INCL</v>
      </c>
      <c r="L12" s="205">
        <f t="shared" ca="1" si="1"/>
        <v>60</v>
      </c>
      <c r="M12" s="205" t="str">
        <f t="shared" ca="1" si="2"/>
        <v>EBS/ETS</v>
      </c>
      <c r="N12" s="206"/>
      <c r="O12" s="207"/>
    </row>
    <row r="13" spans="2:16" hidden="1" x14ac:dyDescent="0.25">
      <c r="B13" s="177" t="s">
        <v>164</v>
      </c>
      <c r="C13" s="65" t="s">
        <v>75</v>
      </c>
      <c r="D13" s="65" t="s">
        <v>66</v>
      </c>
      <c r="E13" s="106" t="s">
        <v>74</v>
      </c>
      <c r="F13" s="65" t="s">
        <v>68</v>
      </c>
      <c r="G13" s="333">
        <v>550</v>
      </c>
      <c r="H13" s="333">
        <v>850</v>
      </c>
      <c r="I13" s="333">
        <v>850</v>
      </c>
      <c r="J13" s="205" t="s">
        <v>69</v>
      </c>
      <c r="K13" s="205" t="str">
        <f t="shared" si="0"/>
        <v>INCL</v>
      </c>
      <c r="L13" s="205">
        <f t="shared" ca="1" si="1"/>
        <v>60</v>
      </c>
      <c r="M13" s="205" t="str">
        <f t="shared" ca="1" si="2"/>
        <v>EBS/ETS</v>
      </c>
      <c r="N13" s="206"/>
      <c r="O13" s="207"/>
    </row>
    <row r="14" spans="2:16" hidden="1" x14ac:dyDescent="0.25">
      <c r="B14" s="177" t="s">
        <v>164</v>
      </c>
      <c r="C14" s="65" t="s">
        <v>76</v>
      </c>
      <c r="D14" s="65" t="s">
        <v>66</v>
      </c>
      <c r="E14" s="106" t="s">
        <v>77</v>
      </c>
      <c r="F14" s="65" t="s">
        <v>68</v>
      </c>
      <c r="G14" s="333">
        <v>1025</v>
      </c>
      <c r="H14" s="333">
        <v>1675</v>
      </c>
      <c r="I14" s="333">
        <v>1675</v>
      </c>
      <c r="J14" s="205" t="s">
        <v>69</v>
      </c>
      <c r="K14" s="205" t="str">
        <f t="shared" si="0"/>
        <v>INCL</v>
      </c>
      <c r="L14" s="205">
        <f t="shared" ca="1" si="1"/>
        <v>60</v>
      </c>
      <c r="M14" s="205" t="str">
        <f t="shared" ca="1" si="2"/>
        <v>EBS/ETS</v>
      </c>
      <c r="N14" s="206"/>
      <c r="O14" s="207"/>
    </row>
    <row r="15" spans="2:16" ht="18" hidden="1" customHeight="1" x14ac:dyDescent="0.25">
      <c r="B15" s="379" t="s">
        <v>165</v>
      </c>
      <c r="C15" s="380" t="s">
        <v>78</v>
      </c>
      <c r="D15" s="380" t="s">
        <v>20</v>
      </c>
      <c r="E15" s="380" t="s">
        <v>80</v>
      </c>
      <c r="F15" s="380" t="s">
        <v>68</v>
      </c>
      <c r="G15" s="381">
        <v>150</v>
      </c>
      <c r="H15" s="381">
        <v>125</v>
      </c>
      <c r="I15" s="381">
        <v>125</v>
      </c>
      <c r="J15" s="382" t="s">
        <v>69</v>
      </c>
      <c r="K15" s="205" t="str">
        <f t="shared" si="0"/>
        <v>INCL</v>
      </c>
      <c r="L15" s="205">
        <f t="shared" ca="1" si="1"/>
        <v>60</v>
      </c>
      <c r="M15" s="382" t="str">
        <f t="shared" ca="1" si="2"/>
        <v>EBS/ETS</v>
      </c>
      <c r="N15" s="383"/>
      <c r="O15" s="384"/>
    </row>
    <row r="16" spans="2:16" ht="18" hidden="1" customHeight="1" x14ac:dyDescent="0.25">
      <c r="B16" s="379" t="s">
        <v>166</v>
      </c>
      <c r="C16" s="380" t="s">
        <v>78</v>
      </c>
      <c r="D16" s="380" t="s">
        <v>20</v>
      </c>
      <c r="E16" s="380" t="s">
        <v>530</v>
      </c>
      <c r="F16" s="380" t="s">
        <v>68</v>
      </c>
      <c r="G16" s="381">
        <v>150</v>
      </c>
      <c r="H16" s="381">
        <v>125</v>
      </c>
      <c r="I16" s="381">
        <v>125</v>
      </c>
      <c r="J16" s="382" t="s">
        <v>69</v>
      </c>
      <c r="K16" s="205" t="str">
        <f t="shared" si="0"/>
        <v>INCL</v>
      </c>
      <c r="L16" s="205">
        <f t="shared" ca="1" si="1"/>
        <v>60</v>
      </c>
      <c r="M16" s="382" t="str">
        <f t="shared" ca="1" si="2"/>
        <v>EBS/ETS</v>
      </c>
      <c r="N16" s="383"/>
      <c r="O16" s="384"/>
    </row>
    <row r="17" spans="2:15" hidden="1" x14ac:dyDescent="0.25">
      <c r="B17" s="177" t="s">
        <v>166</v>
      </c>
      <c r="C17" s="65" t="s">
        <v>79</v>
      </c>
      <c r="D17" s="65" t="s">
        <v>66</v>
      </c>
      <c r="E17" s="106" t="s">
        <v>87</v>
      </c>
      <c r="F17" s="65" t="s">
        <v>68</v>
      </c>
      <c r="G17" s="333">
        <v>1100</v>
      </c>
      <c r="H17" s="333">
        <v>1875</v>
      </c>
      <c r="I17" s="333">
        <v>1875</v>
      </c>
      <c r="J17" s="205" t="s">
        <v>69</v>
      </c>
      <c r="K17" s="205" t="str">
        <f t="shared" si="0"/>
        <v>INCL</v>
      </c>
      <c r="L17" s="205">
        <f t="shared" ca="1" si="1"/>
        <v>60</v>
      </c>
      <c r="M17" s="205" t="str">
        <f t="shared" ca="1" si="2"/>
        <v>EBS/ETS</v>
      </c>
      <c r="N17" s="206"/>
      <c r="O17" s="207"/>
    </row>
    <row r="18" spans="2:15" hidden="1" x14ac:dyDescent="0.25">
      <c r="B18" s="177" t="s">
        <v>164</v>
      </c>
      <c r="C18" s="65" t="s">
        <v>81</v>
      </c>
      <c r="D18" s="65" t="s">
        <v>66</v>
      </c>
      <c r="E18" s="106" t="s">
        <v>82</v>
      </c>
      <c r="F18" s="65" t="s">
        <v>68</v>
      </c>
      <c r="G18" s="333">
        <v>375</v>
      </c>
      <c r="H18" s="333">
        <v>525</v>
      </c>
      <c r="I18" s="333">
        <v>525</v>
      </c>
      <c r="J18" s="205" t="s">
        <v>69</v>
      </c>
      <c r="K18" s="205" t="str">
        <f t="shared" si="0"/>
        <v>INCL</v>
      </c>
      <c r="L18" s="205">
        <f t="shared" ca="1" si="1"/>
        <v>60</v>
      </c>
      <c r="M18" s="205" t="str">
        <f t="shared" ca="1" si="2"/>
        <v>EBS/ETS</v>
      </c>
      <c r="N18" s="206"/>
      <c r="O18" s="207"/>
    </row>
    <row r="19" spans="2:15" hidden="1" x14ac:dyDescent="0.25">
      <c r="B19" s="177" t="s">
        <v>164</v>
      </c>
      <c r="C19" s="65" t="s">
        <v>83</v>
      </c>
      <c r="D19" s="65" t="s">
        <v>66</v>
      </c>
      <c r="E19" s="106" t="s">
        <v>513</v>
      </c>
      <c r="F19" s="65" t="s">
        <v>68</v>
      </c>
      <c r="G19" s="333">
        <v>350</v>
      </c>
      <c r="H19" s="333">
        <v>475</v>
      </c>
      <c r="I19" s="333">
        <v>475</v>
      </c>
      <c r="J19" s="205" t="s">
        <v>69</v>
      </c>
      <c r="K19" s="205" t="str">
        <f t="shared" si="0"/>
        <v>INCL</v>
      </c>
      <c r="L19" s="205">
        <f t="shared" ca="1" si="1"/>
        <v>60</v>
      </c>
      <c r="M19" s="205" t="str">
        <f t="shared" ca="1" si="2"/>
        <v>EBS/ETS</v>
      </c>
      <c r="N19" s="206"/>
      <c r="O19" s="207"/>
    </row>
    <row r="20" spans="2:15" hidden="1" x14ac:dyDescent="0.25">
      <c r="B20" s="177" t="s">
        <v>164</v>
      </c>
      <c r="C20" s="65" t="s">
        <v>84</v>
      </c>
      <c r="D20" s="65" t="s">
        <v>66</v>
      </c>
      <c r="E20" s="106" t="s">
        <v>531</v>
      </c>
      <c r="F20" s="65" t="s">
        <v>68</v>
      </c>
      <c r="G20" s="333">
        <v>300</v>
      </c>
      <c r="H20" s="333">
        <v>425</v>
      </c>
      <c r="I20" s="333">
        <v>425</v>
      </c>
      <c r="J20" s="205" t="s">
        <v>69</v>
      </c>
      <c r="K20" s="205" t="str">
        <f t="shared" si="0"/>
        <v>INCL</v>
      </c>
      <c r="L20" s="205">
        <f t="shared" ca="1" si="1"/>
        <v>60</v>
      </c>
      <c r="M20" s="205" t="str">
        <f t="shared" ca="1" si="2"/>
        <v>EBS/ETS</v>
      </c>
      <c r="N20" s="206"/>
      <c r="O20" s="207"/>
    </row>
    <row r="21" spans="2:15" hidden="1" x14ac:dyDescent="0.25">
      <c r="B21" s="177" t="s">
        <v>165</v>
      </c>
      <c r="C21" s="65" t="s">
        <v>86</v>
      </c>
      <c r="D21" s="65" t="s">
        <v>66</v>
      </c>
      <c r="E21" s="106" t="s">
        <v>80</v>
      </c>
      <c r="F21" s="65" t="s">
        <v>68</v>
      </c>
      <c r="G21" s="333">
        <v>300</v>
      </c>
      <c r="H21" s="333">
        <v>400</v>
      </c>
      <c r="I21" s="333">
        <v>400</v>
      </c>
      <c r="J21" s="205" t="s">
        <v>69</v>
      </c>
      <c r="K21" s="205" t="str">
        <f t="shared" si="0"/>
        <v>INCL</v>
      </c>
      <c r="L21" s="205">
        <f t="shared" ca="1" si="1"/>
        <v>60</v>
      </c>
      <c r="M21" s="205" t="str">
        <f t="shared" ca="1" si="2"/>
        <v>EBS/ETS</v>
      </c>
      <c r="N21" s="206"/>
      <c r="O21" s="207"/>
    </row>
    <row r="22" spans="2:15" hidden="1" x14ac:dyDescent="0.25">
      <c r="B22" s="177" t="s">
        <v>166</v>
      </c>
      <c r="C22" s="65" t="s">
        <v>86</v>
      </c>
      <c r="D22" s="65" t="s">
        <v>66</v>
      </c>
      <c r="E22" s="106" t="s">
        <v>87</v>
      </c>
      <c r="F22" s="65" t="s">
        <v>68</v>
      </c>
      <c r="G22" s="333">
        <v>350</v>
      </c>
      <c r="H22" s="333">
        <v>425</v>
      </c>
      <c r="I22" s="333">
        <v>425</v>
      </c>
      <c r="J22" s="205" t="s">
        <v>69</v>
      </c>
      <c r="K22" s="205" t="str">
        <f t="shared" si="0"/>
        <v>INCL</v>
      </c>
      <c r="L22" s="205">
        <f t="shared" ca="1" si="1"/>
        <v>60</v>
      </c>
      <c r="M22" s="205" t="str">
        <f t="shared" ca="1" si="2"/>
        <v>EBS/ETS</v>
      </c>
      <c r="N22" s="206"/>
      <c r="O22" s="207"/>
    </row>
    <row r="23" spans="2:15" hidden="1" x14ac:dyDescent="0.25">
      <c r="B23" s="177" t="s">
        <v>164</v>
      </c>
      <c r="C23" s="65" t="s">
        <v>88</v>
      </c>
      <c r="D23" s="65" t="s">
        <v>66</v>
      </c>
      <c r="E23" s="106" t="s">
        <v>89</v>
      </c>
      <c r="F23" s="65" t="s">
        <v>68</v>
      </c>
      <c r="G23" s="333">
        <f>G33+250</f>
        <v>650</v>
      </c>
      <c r="H23" s="333">
        <f>H33+350</f>
        <v>800</v>
      </c>
      <c r="I23" s="333">
        <f>H23</f>
        <v>800</v>
      </c>
      <c r="J23" s="205" t="s">
        <v>69</v>
      </c>
      <c r="K23" s="205" t="str">
        <f t="shared" si="0"/>
        <v>INCL</v>
      </c>
      <c r="L23" s="205">
        <f t="shared" ca="1" si="1"/>
        <v>60</v>
      </c>
      <c r="M23" s="205" t="str">
        <f t="shared" ca="1" si="2"/>
        <v>EBS/ETS</v>
      </c>
      <c r="N23" s="206"/>
      <c r="O23" s="207"/>
    </row>
    <row r="24" spans="2:15" hidden="1" x14ac:dyDescent="0.25">
      <c r="B24" s="177" t="s">
        <v>164</v>
      </c>
      <c r="C24" s="65" t="s">
        <v>90</v>
      </c>
      <c r="D24" s="65" t="s">
        <v>66</v>
      </c>
      <c r="E24" s="106" t="s">
        <v>87</v>
      </c>
      <c r="F24" s="65" t="s">
        <v>68</v>
      </c>
      <c r="G24" s="333">
        <v>300</v>
      </c>
      <c r="H24" s="333">
        <v>400</v>
      </c>
      <c r="I24" s="333">
        <v>400</v>
      </c>
      <c r="J24" s="205" t="s">
        <v>69</v>
      </c>
      <c r="K24" s="205" t="str">
        <f t="shared" si="0"/>
        <v>INCL</v>
      </c>
      <c r="L24" s="205">
        <f t="shared" ca="1" si="1"/>
        <v>60</v>
      </c>
      <c r="M24" s="205" t="str">
        <f t="shared" ca="1" si="2"/>
        <v>EBS/ETS</v>
      </c>
      <c r="N24" s="206"/>
      <c r="O24" s="207"/>
    </row>
    <row r="25" spans="2:15" hidden="1" x14ac:dyDescent="0.25">
      <c r="B25" s="177" t="s">
        <v>165</v>
      </c>
      <c r="C25" s="65" t="s">
        <v>91</v>
      </c>
      <c r="D25" s="65" t="s">
        <v>20</v>
      </c>
      <c r="E25" s="106" t="s">
        <v>92</v>
      </c>
      <c r="F25" s="65" t="s">
        <v>68</v>
      </c>
      <c r="G25" s="333">
        <v>225</v>
      </c>
      <c r="H25" s="333">
        <v>200</v>
      </c>
      <c r="I25" s="333">
        <v>200</v>
      </c>
      <c r="J25" s="205" t="s">
        <v>69</v>
      </c>
      <c r="K25" s="205" t="str">
        <f t="shared" si="0"/>
        <v>INCL</v>
      </c>
      <c r="L25" s="205">
        <f t="shared" ca="1" si="1"/>
        <v>60</v>
      </c>
      <c r="M25" s="205" t="str">
        <f t="shared" ca="1" si="2"/>
        <v>EBS/ETS</v>
      </c>
      <c r="N25" s="206"/>
      <c r="O25" s="207"/>
    </row>
    <row r="26" spans="2:15" ht="18" hidden="1" customHeight="1" x14ac:dyDescent="0.25">
      <c r="B26" s="379" t="s">
        <v>166</v>
      </c>
      <c r="C26" s="380" t="s">
        <v>91</v>
      </c>
      <c r="D26" s="380" t="s">
        <v>20</v>
      </c>
      <c r="E26" s="380" t="s">
        <v>167</v>
      </c>
      <c r="F26" s="380" t="s">
        <v>68</v>
      </c>
      <c r="G26" s="381">
        <v>150</v>
      </c>
      <c r="H26" s="381">
        <v>125</v>
      </c>
      <c r="I26" s="381">
        <v>125</v>
      </c>
      <c r="J26" s="382" t="s">
        <v>69</v>
      </c>
      <c r="K26" s="205" t="str">
        <f t="shared" si="0"/>
        <v>INCL</v>
      </c>
      <c r="L26" s="205">
        <f t="shared" ca="1" si="1"/>
        <v>60</v>
      </c>
      <c r="M26" s="382" t="str">
        <f t="shared" ca="1" si="2"/>
        <v>EBS/ETS</v>
      </c>
      <c r="N26" s="383"/>
      <c r="O26" s="384"/>
    </row>
    <row r="27" spans="2:15" hidden="1" x14ac:dyDescent="0.25">
      <c r="B27" s="177" t="s">
        <v>164</v>
      </c>
      <c r="C27" s="65" t="s">
        <v>93</v>
      </c>
      <c r="D27" s="65" t="s">
        <v>66</v>
      </c>
      <c r="E27" s="106" t="s">
        <v>94</v>
      </c>
      <c r="F27" s="65" t="s">
        <v>68</v>
      </c>
      <c r="G27" s="333">
        <v>350</v>
      </c>
      <c r="H27" s="333">
        <v>400</v>
      </c>
      <c r="I27" s="333">
        <v>400</v>
      </c>
      <c r="J27" s="205" t="s">
        <v>69</v>
      </c>
      <c r="K27" s="205" t="str">
        <f t="shared" si="0"/>
        <v>INCL</v>
      </c>
      <c r="L27" s="205">
        <f t="shared" ca="1" si="1"/>
        <v>60</v>
      </c>
      <c r="M27" s="205" t="str">
        <f t="shared" ca="1" si="2"/>
        <v>EBS/ETS</v>
      </c>
      <c r="N27" s="206"/>
      <c r="O27" s="207"/>
    </row>
    <row r="28" spans="2:15" hidden="1" x14ac:dyDescent="0.25">
      <c r="B28" s="177" t="s">
        <v>166</v>
      </c>
      <c r="C28" s="65" t="s">
        <v>95</v>
      </c>
      <c r="D28" s="65" t="s">
        <v>66</v>
      </c>
      <c r="E28" s="106" t="s">
        <v>80</v>
      </c>
      <c r="F28" s="65" t="s">
        <v>68</v>
      </c>
      <c r="G28" s="333">
        <v>425</v>
      </c>
      <c r="H28" s="333">
        <v>525</v>
      </c>
      <c r="I28" s="333">
        <v>525</v>
      </c>
      <c r="J28" s="205" t="s">
        <v>69</v>
      </c>
      <c r="K28" s="205" t="str">
        <f t="shared" si="0"/>
        <v>INCL</v>
      </c>
      <c r="L28" s="205">
        <f t="shared" ca="1" si="1"/>
        <v>60</v>
      </c>
      <c r="M28" s="205" t="str">
        <f t="shared" ca="1" si="2"/>
        <v>EBS/ETS</v>
      </c>
      <c r="N28" s="206"/>
      <c r="O28" s="207"/>
    </row>
    <row r="29" spans="2:15" hidden="1" x14ac:dyDescent="0.25">
      <c r="B29" s="177" t="s">
        <v>165</v>
      </c>
      <c r="C29" s="65" t="s">
        <v>95</v>
      </c>
      <c r="D29" s="65" t="s">
        <v>66</v>
      </c>
      <c r="E29" s="106" t="s">
        <v>80</v>
      </c>
      <c r="F29" s="65" t="s">
        <v>68</v>
      </c>
      <c r="G29" s="333">
        <v>425</v>
      </c>
      <c r="H29" s="333">
        <v>525</v>
      </c>
      <c r="I29" s="333">
        <v>525</v>
      </c>
      <c r="J29" s="205" t="s">
        <v>69</v>
      </c>
      <c r="K29" s="205" t="str">
        <f t="shared" si="0"/>
        <v>INCL</v>
      </c>
      <c r="L29" s="205">
        <f t="shared" ca="1" si="1"/>
        <v>60</v>
      </c>
      <c r="M29" s="205" t="str">
        <f t="shared" ca="1" si="2"/>
        <v>EBS/ETS</v>
      </c>
      <c r="N29" s="206"/>
      <c r="O29" s="207"/>
    </row>
    <row r="30" spans="2:15" ht="18" customHeight="1" x14ac:dyDescent="0.25">
      <c r="B30" s="379" t="s">
        <v>165</v>
      </c>
      <c r="C30" s="380" t="s">
        <v>97</v>
      </c>
      <c r="D30" s="380" t="s">
        <v>20</v>
      </c>
      <c r="E30" s="380" t="s">
        <v>168</v>
      </c>
      <c r="F30" s="380" t="s">
        <v>68</v>
      </c>
      <c r="G30" s="381">
        <v>150</v>
      </c>
      <c r="H30" s="381">
        <v>125</v>
      </c>
      <c r="I30" s="381">
        <v>125</v>
      </c>
      <c r="J30" s="382" t="s">
        <v>69</v>
      </c>
      <c r="K30" s="205" t="str">
        <f t="shared" si="0"/>
        <v>INCL</v>
      </c>
      <c r="L30" s="205">
        <f t="shared" ca="1" si="1"/>
        <v>60</v>
      </c>
      <c r="M30" s="382" t="str">
        <f t="shared" ca="1" si="2"/>
        <v>EBS/ETS</v>
      </c>
      <c r="N30" s="383"/>
      <c r="O30" s="384"/>
    </row>
    <row r="31" spans="2:15" ht="18" customHeight="1" x14ac:dyDescent="0.25">
      <c r="B31" s="379" t="s">
        <v>166</v>
      </c>
      <c r="C31" s="380" t="s">
        <v>97</v>
      </c>
      <c r="D31" s="380" t="s">
        <v>20</v>
      </c>
      <c r="E31" s="380" t="s">
        <v>168</v>
      </c>
      <c r="F31" s="380" t="s">
        <v>68</v>
      </c>
      <c r="G31" s="381">
        <v>150</v>
      </c>
      <c r="H31" s="381">
        <v>125</v>
      </c>
      <c r="I31" s="381">
        <v>125</v>
      </c>
      <c r="J31" s="382" t="s">
        <v>69</v>
      </c>
      <c r="K31" s="205" t="str">
        <f t="shared" si="0"/>
        <v>INCL</v>
      </c>
      <c r="L31" s="205">
        <f t="shared" ca="1" si="1"/>
        <v>60</v>
      </c>
      <c r="M31" s="382" t="str">
        <f t="shared" ca="1" si="2"/>
        <v>EBS/ETS</v>
      </c>
      <c r="N31" s="383"/>
      <c r="O31" s="384"/>
    </row>
    <row r="32" spans="2:15" x14ac:dyDescent="0.25">
      <c r="B32" s="177" t="s">
        <v>164</v>
      </c>
      <c r="C32" s="65" t="s">
        <v>99</v>
      </c>
      <c r="D32" s="65" t="s">
        <v>66</v>
      </c>
      <c r="E32" s="106" t="s">
        <v>97</v>
      </c>
      <c r="F32" s="65" t="s">
        <v>68</v>
      </c>
      <c r="G32" s="333">
        <v>500</v>
      </c>
      <c r="H32" s="333">
        <v>475</v>
      </c>
      <c r="I32" s="333">
        <v>475</v>
      </c>
      <c r="J32" s="205" t="s">
        <v>69</v>
      </c>
      <c r="K32" s="205" t="str">
        <f t="shared" si="0"/>
        <v>INCL</v>
      </c>
      <c r="L32" s="205">
        <f t="shared" ca="1" si="1"/>
        <v>60</v>
      </c>
      <c r="M32" s="205" t="str">
        <f t="shared" ca="1" si="2"/>
        <v>EBS/ETS</v>
      </c>
      <c r="N32" s="206"/>
      <c r="O32" s="207"/>
    </row>
    <row r="33" spans="2:15" ht="18" hidden="1" customHeight="1" x14ac:dyDescent="0.25">
      <c r="B33" s="385" t="s">
        <v>166</v>
      </c>
      <c r="C33" s="386" t="s">
        <v>89</v>
      </c>
      <c r="D33" s="386" t="s">
        <v>20</v>
      </c>
      <c r="E33" s="386" t="s">
        <v>100</v>
      </c>
      <c r="F33" s="386" t="s">
        <v>68</v>
      </c>
      <c r="G33" s="387">
        <v>400</v>
      </c>
      <c r="H33" s="387">
        <v>450</v>
      </c>
      <c r="I33" s="387">
        <v>450</v>
      </c>
      <c r="J33" s="388" t="s">
        <v>69</v>
      </c>
      <c r="K33" s="388" t="str">
        <f t="shared" si="0"/>
        <v>INCL</v>
      </c>
      <c r="L33" s="388">
        <f t="shared" ca="1" si="1"/>
        <v>60</v>
      </c>
      <c r="M33" s="388" t="str">
        <f t="shared" ca="1" si="2"/>
        <v>EBS/ETS</v>
      </c>
      <c r="N33" s="389"/>
      <c r="O33" s="390"/>
    </row>
    <row r="34" spans="2:15" ht="18" hidden="1" customHeight="1" x14ac:dyDescent="0.25">
      <c r="B34" s="385" t="s">
        <v>165</v>
      </c>
      <c r="C34" s="386" t="s">
        <v>89</v>
      </c>
      <c r="D34" s="386" t="s">
        <v>20</v>
      </c>
      <c r="E34" s="386" t="s">
        <v>129</v>
      </c>
      <c r="F34" s="386" t="s">
        <v>68</v>
      </c>
      <c r="G34" s="387">
        <v>400</v>
      </c>
      <c r="H34" s="387">
        <v>450</v>
      </c>
      <c r="I34" s="387">
        <v>450</v>
      </c>
      <c r="J34" s="388" t="s">
        <v>69</v>
      </c>
      <c r="K34" s="388" t="str">
        <f t="shared" si="0"/>
        <v>INCL</v>
      </c>
      <c r="L34" s="388">
        <f t="shared" ca="1" si="1"/>
        <v>60</v>
      </c>
      <c r="M34" s="388" t="str">
        <f t="shared" ca="1" si="2"/>
        <v>EBS/ETS</v>
      </c>
      <c r="N34" s="389"/>
      <c r="O34" s="390"/>
    </row>
    <row r="35" spans="2:15" ht="20.399999999999999" hidden="1" x14ac:dyDescent="0.25">
      <c r="B35" s="177" t="s">
        <v>164</v>
      </c>
      <c r="C35" s="65" t="s">
        <v>102</v>
      </c>
      <c r="D35" s="65" t="s">
        <v>66</v>
      </c>
      <c r="E35" s="106" t="s">
        <v>67</v>
      </c>
      <c r="F35" s="65" t="s">
        <v>68</v>
      </c>
      <c r="G35" s="333">
        <v>350</v>
      </c>
      <c r="H35" s="333">
        <v>450</v>
      </c>
      <c r="I35" s="333">
        <v>450</v>
      </c>
      <c r="J35" s="205" t="s">
        <v>69</v>
      </c>
      <c r="K35" s="205" t="str">
        <f t="shared" si="0"/>
        <v>INCL</v>
      </c>
      <c r="L35" s="205">
        <f t="shared" ca="1" si="1"/>
        <v>60</v>
      </c>
      <c r="M35" s="205" t="str">
        <f t="shared" ca="1" si="2"/>
        <v>EBS/ETS</v>
      </c>
      <c r="N35" s="206"/>
      <c r="O35" s="207"/>
    </row>
    <row r="36" spans="2:15" hidden="1" x14ac:dyDescent="0.25">
      <c r="B36" s="177" t="s">
        <v>164</v>
      </c>
      <c r="C36" s="65" t="s">
        <v>103</v>
      </c>
      <c r="D36" s="65" t="s">
        <v>66</v>
      </c>
      <c r="E36" s="106" t="s">
        <v>74</v>
      </c>
      <c r="F36" s="65" t="s">
        <v>68</v>
      </c>
      <c r="G36" s="333">
        <v>425</v>
      </c>
      <c r="H36" s="333">
        <v>625</v>
      </c>
      <c r="I36" s="333">
        <v>625</v>
      </c>
      <c r="J36" s="205" t="s">
        <v>69</v>
      </c>
      <c r="K36" s="205" t="str">
        <f t="shared" si="0"/>
        <v>INCL</v>
      </c>
      <c r="L36" s="205">
        <f t="shared" ca="1" si="1"/>
        <v>60</v>
      </c>
      <c r="M36" s="205" t="str">
        <f t="shared" ca="1" si="2"/>
        <v>EBS/ETS</v>
      </c>
      <c r="N36" s="206"/>
      <c r="O36" s="207"/>
    </row>
    <row r="37" spans="2:15" hidden="1" x14ac:dyDescent="0.25">
      <c r="B37" s="177" t="s">
        <v>166</v>
      </c>
      <c r="C37" s="65" t="s">
        <v>104</v>
      </c>
      <c r="D37" s="65" t="s">
        <v>66</v>
      </c>
      <c r="E37" s="106" t="s">
        <v>91</v>
      </c>
      <c r="F37" s="65" t="s">
        <v>68</v>
      </c>
      <c r="G37" s="333">
        <v>500</v>
      </c>
      <c r="H37" s="333">
        <v>700</v>
      </c>
      <c r="I37" s="333">
        <v>700</v>
      </c>
      <c r="J37" s="205" t="s">
        <v>69</v>
      </c>
      <c r="K37" s="205" t="str">
        <f t="shared" si="0"/>
        <v>INCL</v>
      </c>
      <c r="L37" s="205">
        <f t="shared" ca="1" si="1"/>
        <v>60</v>
      </c>
      <c r="M37" s="205" t="str">
        <f t="shared" ca="1" si="2"/>
        <v>EBS/ETS</v>
      </c>
      <c r="N37" s="206"/>
      <c r="O37" s="207"/>
    </row>
    <row r="38" spans="2:15" hidden="1" x14ac:dyDescent="0.25">
      <c r="B38" s="177" t="s">
        <v>165</v>
      </c>
      <c r="C38" s="65" t="s">
        <v>104</v>
      </c>
      <c r="D38" s="65" t="s">
        <v>66</v>
      </c>
      <c r="E38" s="106" t="s">
        <v>535</v>
      </c>
      <c r="F38" s="65" t="s">
        <v>68</v>
      </c>
      <c r="G38" s="333">
        <v>500</v>
      </c>
      <c r="H38" s="333">
        <v>700</v>
      </c>
      <c r="I38" s="333">
        <v>700</v>
      </c>
      <c r="J38" s="205" t="s">
        <v>69</v>
      </c>
      <c r="K38" s="205" t="str">
        <f t="shared" si="0"/>
        <v>INCL</v>
      </c>
      <c r="L38" s="205">
        <f t="shared" ca="1" si="1"/>
        <v>60</v>
      </c>
      <c r="M38" s="205" t="str">
        <f t="shared" ca="1" si="2"/>
        <v>EBS/ETS</v>
      </c>
      <c r="N38" s="206"/>
      <c r="O38" s="207"/>
    </row>
    <row r="39" spans="2:15" hidden="1" x14ac:dyDescent="0.25">
      <c r="B39" s="177" t="s">
        <v>166</v>
      </c>
      <c r="C39" s="65" t="s">
        <v>105</v>
      </c>
      <c r="D39" s="65" t="s">
        <v>66</v>
      </c>
      <c r="E39" s="106" t="s">
        <v>106</v>
      </c>
      <c r="F39" s="65" t="s">
        <v>68</v>
      </c>
      <c r="G39" s="334">
        <v>575</v>
      </c>
      <c r="H39" s="335">
        <v>800</v>
      </c>
      <c r="I39" s="337">
        <v>800</v>
      </c>
      <c r="J39" s="205" t="s">
        <v>69</v>
      </c>
      <c r="K39" s="205" t="str">
        <f t="shared" si="0"/>
        <v>INCL</v>
      </c>
      <c r="L39" s="205">
        <f t="shared" ca="1" si="1"/>
        <v>60</v>
      </c>
      <c r="M39" s="205" t="str">
        <f t="shared" ca="1" si="2"/>
        <v>EBS/ETS</v>
      </c>
      <c r="N39" s="206"/>
      <c r="O39" s="207"/>
    </row>
    <row r="40" spans="2:15" ht="18" hidden="1" customHeight="1" x14ac:dyDescent="0.25">
      <c r="B40" s="385" t="s">
        <v>166</v>
      </c>
      <c r="C40" s="386" t="s">
        <v>107</v>
      </c>
      <c r="D40" s="386" t="s">
        <v>20</v>
      </c>
      <c r="E40" s="386" t="s">
        <v>100</v>
      </c>
      <c r="F40" s="386" t="s">
        <v>68</v>
      </c>
      <c r="G40" s="387">
        <v>400</v>
      </c>
      <c r="H40" s="387">
        <v>450</v>
      </c>
      <c r="I40" s="387">
        <v>450</v>
      </c>
      <c r="J40" s="388" t="s">
        <v>69</v>
      </c>
      <c r="K40" s="388" t="str">
        <f t="shared" si="0"/>
        <v>INCL</v>
      </c>
      <c r="L40" s="388">
        <f t="shared" ca="1" si="1"/>
        <v>60</v>
      </c>
      <c r="M40" s="388" t="str">
        <f t="shared" ca="1" si="2"/>
        <v>EBS/ETS</v>
      </c>
      <c r="N40" s="389"/>
      <c r="O40" s="390"/>
    </row>
    <row r="41" spans="2:15" ht="18" hidden="1" customHeight="1" x14ac:dyDescent="0.25">
      <c r="B41" s="385" t="s">
        <v>165</v>
      </c>
      <c r="C41" s="386" t="s">
        <v>107</v>
      </c>
      <c r="D41" s="386" t="s">
        <v>20</v>
      </c>
      <c r="E41" s="386" t="s">
        <v>80</v>
      </c>
      <c r="F41" s="386" t="s">
        <v>68</v>
      </c>
      <c r="G41" s="387">
        <v>400</v>
      </c>
      <c r="H41" s="387">
        <v>450</v>
      </c>
      <c r="I41" s="387">
        <v>450</v>
      </c>
      <c r="J41" s="388" t="s">
        <v>69</v>
      </c>
      <c r="K41" s="388" t="str">
        <f t="shared" si="0"/>
        <v>INCL</v>
      </c>
      <c r="L41" s="388">
        <f t="shared" ca="1" si="1"/>
        <v>60</v>
      </c>
      <c r="M41" s="388" t="str">
        <f t="shared" ca="1" si="2"/>
        <v>EBS/ETS</v>
      </c>
      <c r="N41" s="389"/>
      <c r="O41" s="390"/>
    </row>
    <row r="42" spans="2:15" hidden="1" x14ac:dyDescent="0.25">
      <c r="B42" s="177" t="s">
        <v>164</v>
      </c>
      <c r="C42" s="65" t="s">
        <v>534</v>
      </c>
      <c r="D42" s="65" t="s">
        <v>20</v>
      </c>
      <c r="E42" s="106" t="s">
        <v>74</v>
      </c>
      <c r="F42" s="65" t="s">
        <v>68</v>
      </c>
      <c r="G42" s="333">
        <v>325</v>
      </c>
      <c r="H42" s="333">
        <v>400</v>
      </c>
      <c r="I42" s="333">
        <v>400</v>
      </c>
      <c r="J42" s="205" t="s">
        <v>69</v>
      </c>
      <c r="K42" s="205" t="str">
        <f t="shared" si="0"/>
        <v>INCL</v>
      </c>
      <c r="L42" s="205">
        <f t="shared" ca="1" si="1"/>
        <v>60</v>
      </c>
      <c r="M42" s="205" t="str">
        <f t="shared" ca="1" si="2"/>
        <v>EBS/ETS</v>
      </c>
      <c r="N42" s="206"/>
      <c r="O42" s="207"/>
    </row>
    <row r="43" spans="2:15" ht="18" hidden="1" customHeight="1" x14ac:dyDescent="0.25">
      <c r="B43" s="379" t="s">
        <v>164</v>
      </c>
      <c r="C43" s="380" t="s">
        <v>96</v>
      </c>
      <c r="D43" s="380" t="s">
        <v>20</v>
      </c>
      <c r="E43" s="380" t="s">
        <v>108</v>
      </c>
      <c r="F43" s="380" t="s">
        <v>68</v>
      </c>
      <c r="G43" s="381">
        <v>150</v>
      </c>
      <c r="H43" s="381">
        <v>125</v>
      </c>
      <c r="I43" s="381">
        <v>125</v>
      </c>
      <c r="J43" s="382" t="s">
        <v>69</v>
      </c>
      <c r="K43" s="205" t="str">
        <f t="shared" si="0"/>
        <v>INCL</v>
      </c>
      <c r="L43" s="205">
        <f t="shared" ca="1" si="1"/>
        <v>60</v>
      </c>
      <c r="M43" s="382" t="str">
        <f t="shared" ca="1" si="2"/>
        <v>EBS/ETS</v>
      </c>
      <c r="N43" s="383"/>
      <c r="O43" s="384"/>
    </row>
    <row r="44" spans="2:15" ht="18" hidden="1" customHeight="1" x14ac:dyDescent="0.25">
      <c r="B44" s="379" t="s">
        <v>164</v>
      </c>
      <c r="C44" s="380" t="s">
        <v>82</v>
      </c>
      <c r="D44" s="380" t="s">
        <v>20</v>
      </c>
      <c r="E44" s="380" t="s">
        <v>33</v>
      </c>
      <c r="F44" s="380" t="s">
        <v>68</v>
      </c>
      <c r="G44" s="381">
        <v>150</v>
      </c>
      <c r="H44" s="381">
        <v>125</v>
      </c>
      <c r="I44" s="381">
        <v>125</v>
      </c>
      <c r="J44" s="382" t="s">
        <v>69</v>
      </c>
      <c r="K44" s="205" t="str">
        <f t="shared" si="0"/>
        <v>INCL</v>
      </c>
      <c r="L44" s="205">
        <f t="shared" ca="1" si="1"/>
        <v>60</v>
      </c>
      <c r="M44" s="382" t="str">
        <f t="shared" ca="1" si="2"/>
        <v>EBS/ETS</v>
      </c>
      <c r="N44" s="383"/>
      <c r="O44" s="384"/>
    </row>
    <row r="45" spans="2:15" ht="18" hidden="1" customHeight="1" x14ac:dyDescent="0.25">
      <c r="B45" s="385" t="s">
        <v>164</v>
      </c>
      <c r="C45" s="386" t="s">
        <v>110</v>
      </c>
      <c r="D45" s="386" t="s">
        <v>20</v>
      </c>
      <c r="E45" s="386" t="s">
        <v>111</v>
      </c>
      <c r="F45" s="386" t="s">
        <v>68</v>
      </c>
      <c r="G45" s="387">
        <v>400</v>
      </c>
      <c r="H45" s="387">
        <v>450</v>
      </c>
      <c r="I45" s="387">
        <v>450</v>
      </c>
      <c r="J45" s="388" t="s">
        <v>69</v>
      </c>
      <c r="K45" s="388" t="str">
        <f t="shared" si="0"/>
        <v>INCL</v>
      </c>
      <c r="L45" s="388">
        <f t="shared" ca="1" si="1"/>
        <v>60</v>
      </c>
      <c r="M45" s="388" t="str">
        <f t="shared" ca="1" si="2"/>
        <v>EBS/ETS</v>
      </c>
      <c r="N45" s="389"/>
      <c r="O45" s="390"/>
    </row>
    <row r="46" spans="2:15" ht="20.399999999999999" hidden="1" x14ac:dyDescent="0.25">
      <c r="B46" s="177" t="s">
        <v>164</v>
      </c>
      <c r="C46" s="65" t="s">
        <v>112</v>
      </c>
      <c r="D46" s="65" t="s">
        <v>66</v>
      </c>
      <c r="E46" s="106" t="s">
        <v>67</v>
      </c>
      <c r="F46" s="65" t="s">
        <v>68</v>
      </c>
      <c r="G46" s="333">
        <v>350</v>
      </c>
      <c r="H46" s="333">
        <v>425</v>
      </c>
      <c r="I46" s="333">
        <v>425</v>
      </c>
      <c r="J46" s="205" t="s">
        <v>69</v>
      </c>
      <c r="K46" s="205" t="str">
        <f t="shared" si="0"/>
        <v>INCL</v>
      </c>
      <c r="L46" s="205">
        <f t="shared" ca="1" si="1"/>
        <v>60</v>
      </c>
      <c r="M46" s="205" t="str">
        <f t="shared" ca="1" si="2"/>
        <v>EBS/ETS</v>
      </c>
      <c r="N46" s="206"/>
      <c r="O46" s="207"/>
    </row>
    <row r="47" spans="2:15" ht="18" hidden="1" customHeight="1" x14ac:dyDescent="0.25">
      <c r="B47" s="379" t="s">
        <v>164</v>
      </c>
      <c r="C47" s="380" t="s">
        <v>113</v>
      </c>
      <c r="D47" s="380" t="s">
        <v>20</v>
      </c>
      <c r="E47" s="380" t="s">
        <v>108</v>
      </c>
      <c r="F47" s="380" t="s">
        <v>68</v>
      </c>
      <c r="G47" s="381">
        <v>150</v>
      </c>
      <c r="H47" s="381">
        <v>125</v>
      </c>
      <c r="I47" s="381">
        <v>125</v>
      </c>
      <c r="J47" s="382" t="s">
        <v>69</v>
      </c>
      <c r="K47" s="205" t="str">
        <f t="shared" si="0"/>
        <v>INCL</v>
      </c>
      <c r="L47" s="205">
        <f t="shared" ca="1" si="1"/>
        <v>60</v>
      </c>
      <c r="M47" s="382" t="str">
        <f t="shared" ca="1" si="2"/>
        <v>EBS/ETS</v>
      </c>
      <c r="N47" s="383"/>
      <c r="O47" s="384"/>
    </row>
    <row r="48" spans="2:15" ht="18" hidden="1" customHeight="1" x14ac:dyDescent="0.25">
      <c r="B48" s="379" t="s">
        <v>164</v>
      </c>
      <c r="C48" s="380" t="s">
        <v>114</v>
      </c>
      <c r="D48" s="380" t="s">
        <v>20</v>
      </c>
      <c r="E48" s="380" t="s">
        <v>33</v>
      </c>
      <c r="F48" s="380" t="s">
        <v>68</v>
      </c>
      <c r="G48" s="381">
        <v>150</v>
      </c>
      <c r="H48" s="381">
        <v>125</v>
      </c>
      <c r="I48" s="381">
        <v>125</v>
      </c>
      <c r="J48" s="382" t="s">
        <v>69</v>
      </c>
      <c r="K48" s="205" t="str">
        <f t="shared" si="0"/>
        <v>INCL</v>
      </c>
      <c r="L48" s="205">
        <f t="shared" ca="1" si="1"/>
        <v>60</v>
      </c>
      <c r="M48" s="382" t="str">
        <f t="shared" ca="1" si="2"/>
        <v>EBS/ETS</v>
      </c>
      <c r="N48" s="383"/>
      <c r="O48" s="384"/>
    </row>
    <row r="49" spans="2:15" hidden="1" x14ac:dyDescent="0.25">
      <c r="B49" s="177" t="s">
        <v>164</v>
      </c>
      <c r="C49" s="65" t="s">
        <v>115</v>
      </c>
      <c r="D49" s="65" t="s">
        <v>66</v>
      </c>
      <c r="E49" s="106" t="s">
        <v>91</v>
      </c>
      <c r="F49" s="65" t="s">
        <v>68</v>
      </c>
      <c r="G49" s="333">
        <v>400</v>
      </c>
      <c r="H49" s="333">
        <v>475</v>
      </c>
      <c r="I49" s="333">
        <v>475</v>
      </c>
      <c r="J49" s="205" t="s">
        <v>69</v>
      </c>
      <c r="K49" s="205" t="str">
        <f t="shared" si="0"/>
        <v>INCL</v>
      </c>
      <c r="L49" s="205">
        <f t="shared" ca="1" si="1"/>
        <v>60</v>
      </c>
      <c r="M49" s="205" t="str">
        <f t="shared" ca="1" si="2"/>
        <v>EBS/ETS</v>
      </c>
      <c r="N49" s="206"/>
      <c r="O49" s="207"/>
    </row>
    <row r="50" spans="2:15" hidden="1" x14ac:dyDescent="0.25">
      <c r="B50" s="177" t="s">
        <v>164</v>
      </c>
      <c r="C50" s="65" t="s">
        <v>116</v>
      </c>
      <c r="D50" s="65" t="s">
        <v>66</v>
      </c>
      <c r="E50" s="106" t="s">
        <v>117</v>
      </c>
      <c r="F50" s="65" t="s">
        <v>68</v>
      </c>
      <c r="G50" s="333">
        <v>375</v>
      </c>
      <c r="H50" s="333">
        <v>475</v>
      </c>
      <c r="I50" s="333">
        <v>475</v>
      </c>
      <c r="J50" s="205" t="s">
        <v>69</v>
      </c>
      <c r="K50" s="205" t="str">
        <f t="shared" si="0"/>
        <v>INCL</v>
      </c>
      <c r="L50" s="205">
        <f t="shared" ca="1" si="1"/>
        <v>60</v>
      </c>
      <c r="M50" s="205" t="str">
        <f t="shared" ca="1" si="2"/>
        <v>EBS/ETS</v>
      </c>
      <c r="N50" s="206"/>
      <c r="O50" s="207"/>
    </row>
    <row r="51" spans="2:15" ht="20.399999999999999" hidden="1" x14ac:dyDescent="0.25">
      <c r="B51" s="177" t="s">
        <v>164</v>
      </c>
      <c r="C51" s="65" t="s">
        <v>118</v>
      </c>
      <c r="D51" s="65" t="s">
        <v>66</v>
      </c>
      <c r="E51" s="106" t="s">
        <v>67</v>
      </c>
      <c r="F51" s="65" t="s">
        <v>68</v>
      </c>
      <c r="G51" s="333">
        <v>500</v>
      </c>
      <c r="H51" s="333">
        <v>525</v>
      </c>
      <c r="I51" s="333">
        <v>525</v>
      </c>
      <c r="J51" s="205" t="s">
        <v>69</v>
      </c>
      <c r="K51" s="205" t="str">
        <f t="shared" si="0"/>
        <v>INCL</v>
      </c>
      <c r="L51" s="205">
        <f t="shared" ca="1" si="1"/>
        <v>60</v>
      </c>
      <c r="M51" s="205" t="str">
        <f t="shared" ca="1" si="2"/>
        <v>EBS/ETS</v>
      </c>
      <c r="N51" s="206"/>
      <c r="O51" s="207"/>
    </row>
    <row r="52" spans="2:15" ht="18" hidden="1" customHeight="1" x14ac:dyDescent="0.25">
      <c r="B52" s="379" t="s">
        <v>164</v>
      </c>
      <c r="C52" s="380" t="s">
        <v>74</v>
      </c>
      <c r="D52" s="380" t="s">
        <v>20</v>
      </c>
      <c r="E52" s="380" t="s">
        <v>33</v>
      </c>
      <c r="F52" s="380" t="s">
        <v>68</v>
      </c>
      <c r="G52" s="381">
        <v>150</v>
      </c>
      <c r="H52" s="381">
        <v>125</v>
      </c>
      <c r="I52" s="381">
        <v>125</v>
      </c>
      <c r="J52" s="382" t="s">
        <v>69</v>
      </c>
      <c r="K52" s="205" t="str">
        <f t="shared" si="0"/>
        <v>INCL</v>
      </c>
      <c r="L52" s="205">
        <f t="shared" ca="1" si="1"/>
        <v>60</v>
      </c>
      <c r="M52" s="382" t="str">
        <f t="shared" ca="1" si="2"/>
        <v>EBS/ETS</v>
      </c>
      <c r="N52" s="383"/>
      <c r="O52" s="384"/>
    </row>
    <row r="53" spans="2:15" ht="18" hidden="1" customHeight="1" x14ac:dyDescent="0.25">
      <c r="B53" s="379" t="s">
        <v>164</v>
      </c>
      <c r="C53" s="380" t="s">
        <v>119</v>
      </c>
      <c r="D53" s="380" t="s">
        <v>20</v>
      </c>
      <c r="E53" s="380" t="s">
        <v>120</v>
      </c>
      <c r="F53" s="380" t="s">
        <v>68</v>
      </c>
      <c r="G53" s="381">
        <v>150</v>
      </c>
      <c r="H53" s="381">
        <v>125</v>
      </c>
      <c r="I53" s="381">
        <v>125</v>
      </c>
      <c r="J53" s="382" t="s">
        <v>69</v>
      </c>
      <c r="K53" s="205" t="str">
        <f t="shared" si="0"/>
        <v>INCL</v>
      </c>
      <c r="L53" s="205">
        <f t="shared" ca="1" si="1"/>
        <v>60</v>
      </c>
      <c r="M53" s="382" t="str">
        <f t="shared" ca="1" si="2"/>
        <v>EBS/ETS</v>
      </c>
      <c r="N53" s="383"/>
      <c r="O53" s="384"/>
    </row>
    <row r="54" spans="2:15" hidden="1" x14ac:dyDescent="0.25">
      <c r="B54" s="177" t="s">
        <v>166</v>
      </c>
      <c r="C54" s="65" t="s">
        <v>121</v>
      </c>
      <c r="D54" s="65" t="s">
        <v>20</v>
      </c>
      <c r="E54" s="106" t="s">
        <v>85</v>
      </c>
      <c r="F54" s="65" t="s">
        <v>68</v>
      </c>
      <c r="G54" s="333">
        <v>550</v>
      </c>
      <c r="H54" s="333">
        <v>700</v>
      </c>
      <c r="I54" s="333">
        <v>700</v>
      </c>
      <c r="J54" s="205" t="s">
        <v>69</v>
      </c>
      <c r="K54" s="205" t="str">
        <f t="shared" si="0"/>
        <v>INCL</v>
      </c>
      <c r="L54" s="205">
        <f t="shared" ca="1" si="1"/>
        <v>60</v>
      </c>
      <c r="M54" s="205" t="str">
        <f t="shared" ca="1" si="2"/>
        <v>EBS/ETS</v>
      </c>
      <c r="N54" s="206"/>
      <c r="O54" s="207"/>
    </row>
    <row r="55" spans="2:15" hidden="1" x14ac:dyDescent="0.25">
      <c r="B55" s="177" t="s">
        <v>165</v>
      </c>
      <c r="C55" s="65" t="s">
        <v>121</v>
      </c>
      <c r="D55" s="65" t="s">
        <v>20</v>
      </c>
      <c r="E55" s="106" t="s">
        <v>85</v>
      </c>
      <c r="F55" s="65" t="s">
        <v>68</v>
      </c>
      <c r="G55" s="333">
        <v>550</v>
      </c>
      <c r="H55" s="333">
        <v>700</v>
      </c>
      <c r="I55" s="333">
        <v>700</v>
      </c>
      <c r="J55" s="205" t="s">
        <v>69</v>
      </c>
      <c r="K55" s="205" t="str">
        <f t="shared" si="0"/>
        <v>INCL</v>
      </c>
      <c r="L55" s="205">
        <f t="shared" ca="1" si="1"/>
        <v>60</v>
      </c>
      <c r="M55" s="205" t="str">
        <f t="shared" ca="1" si="2"/>
        <v>EBS/ETS</v>
      </c>
      <c r="N55" s="206"/>
      <c r="O55" s="207"/>
    </row>
    <row r="56" spans="2:15" hidden="1" x14ac:dyDescent="0.25">
      <c r="B56" s="177" t="s">
        <v>164</v>
      </c>
      <c r="C56" s="65" t="s">
        <v>122</v>
      </c>
      <c r="D56" s="65" t="s">
        <v>66</v>
      </c>
      <c r="E56" s="106" t="s">
        <v>123</v>
      </c>
      <c r="F56" s="65" t="s">
        <v>68</v>
      </c>
      <c r="G56" s="333">
        <v>575</v>
      </c>
      <c r="H56" s="333">
        <v>875</v>
      </c>
      <c r="I56" s="333">
        <v>875</v>
      </c>
      <c r="J56" s="205" t="s">
        <v>69</v>
      </c>
      <c r="K56" s="205" t="str">
        <f t="shared" si="0"/>
        <v>INCL</v>
      </c>
      <c r="L56" s="205">
        <f t="shared" ca="1" si="1"/>
        <v>60</v>
      </c>
      <c r="M56" s="205" t="str">
        <f t="shared" ca="1" si="2"/>
        <v>EBS/ETS</v>
      </c>
      <c r="N56" s="206"/>
      <c r="O56" s="207"/>
    </row>
    <row r="57" spans="2:15" hidden="1" x14ac:dyDescent="0.25">
      <c r="B57" s="177" t="s">
        <v>165</v>
      </c>
      <c r="C57" s="65" t="s">
        <v>77</v>
      </c>
      <c r="D57" s="65" t="s">
        <v>20</v>
      </c>
      <c r="E57" s="106" t="s">
        <v>92</v>
      </c>
      <c r="F57" s="65" t="s">
        <v>68</v>
      </c>
      <c r="G57" s="333">
        <v>225</v>
      </c>
      <c r="H57" s="333">
        <v>200</v>
      </c>
      <c r="I57" s="333">
        <v>200</v>
      </c>
      <c r="J57" s="205" t="s">
        <v>69</v>
      </c>
      <c r="K57" s="205" t="str">
        <f t="shared" si="0"/>
        <v>INCL</v>
      </c>
      <c r="L57" s="205">
        <f t="shared" ca="1" si="1"/>
        <v>60</v>
      </c>
      <c r="M57" s="205" t="str">
        <f t="shared" ca="1" si="2"/>
        <v>EBS/ETS</v>
      </c>
      <c r="N57" s="206"/>
      <c r="O57" s="207"/>
    </row>
    <row r="58" spans="2:15" ht="18" hidden="1" customHeight="1" x14ac:dyDescent="0.25">
      <c r="B58" s="379" t="s">
        <v>166</v>
      </c>
      <c r="C58" s="380" t="s">
        <v>77</v>
      </c>
      <c r="D58" s="380" t="s">
        <v>20</v>
      </c>
      <c r="E58" s="380" t="s">
        <v>169</v>
      </c>
      <c r="F58" s="380" t="s">
        <v>68</v>
      </c>
      <c r="G58" s="381">
        <v>150</v>
      </c>
      <c r="H58" s="381">
        <v>125</v>
      </c>
      <c r="I58" s="381">
        <v>125</v>
      </c>
      <c r="J58" s="382" t="s">
        <v>69</v>
      </c>
      <c r="K58" s="205" t="str">
        <f t="shared" si="0"/>
        <v>INCL</v>
      </c>
      <c r="L58" s="205">
        <f t="shared" ca="1" si="1"/>
        <v>60</v>
      </c>
      <c r="M58" s="382" t="str">
        <f t="shared" ca="1" si="2"/>
        <v>EBS/ETS</v>
      </c>
      <c r="N58" s="383"/>
      <c r="O58" s="384"/>
    </row>
    <row r="59" spans="2:15" hidden="1" x14ac:dyDescent="0.25">
      <c r="B59" s="177" t="s">
        <v>166</v>
      </c>
      <c r="C59" s="65" t="s">
        <v>124</v>
      </c>
      <c r="D59" s="65" t="s">
        <v>66</v>
      </c>
      <c r="E59" s="106" t="s">
        <v>123</v>
      </c>
      <c r="F59" s="65" t="s">
        <v>68</v>
      </c>
      <c r="G59" s="333">
        <v>375</v>
      </c>
      <c r="H59" s="333">
        <v>600</v>
      </c>
      <c r="I59" s="333">
        <v>600</v>
      </c>
      <c r="J59" s="205" t="s">
        <v>69</v>
      </c>
      <c r="K59" s="205" t="str">
        <f t="shared" si="0"/>
        <v>INCL</v>
      </c>
      <c r="L59" s="205">
        <f t="shared" ca="1" si="1"/>
        <v>60</v>
      </c>
      <c r="M59" s="205" t="str">
        <f t="shared" ca="1" si="2"/>
        <v>EBS/ETS</v>
      </c>
      <c r="N59" s="206"/>
      <c r="O59" s="207"/>
    </row>
    <row r="60" spans="2:15" hidden="1" x14ac:dyDescent="0.25">
      <c r="B60" s="177" t="s">
        <v>165</v>
      </c>
      <c r="C60" s="65" t="s">
        <v>124</v>
      </c>
      <c r="D60" s="65" t="s">
        <v>66</v>
      </c>
      <c r="E60" s="106" t="s">
        <v>80</v>
      </c>
      <c r="F60" s="65" t="s">
        <v>68</v>
      </c>
      <c r="G60" s="333">
        <v>375</v>
      </c>
      <c r="H60" s="333">
        <v>600</v>
      </c>
      <c r="I60" s="333">
        <v>600</v>
      </c>
      <c r="J60" s="205" t="s">
        <v>69</v>
      </c>
      <c r="K60" s="205" t="str">
        <f t="shared" si="0"/>
        <v>INCL</v>
      </c>
      <c r="L60" s="205">
        <f t="shared" ca="1" si="1"/>
        <v>60</v>
      </c>
      <c r="M60" s="205" t="str">
        <f t="shared" ca="1" si="2"/>
        <v>EBS/ETS</v>
      </c>
      <c r="N60" s="206"/>
      <c r="O60" s="207"/>
    </row>
    <row r="61" spans="2:15" ht="20.399999999999999" hidden="1" x14ac:dyDescent="0.25">
      <c r="B61" s="177" t="s">
        <v>164</v>
      </c>
      <c r="C61" s="65" t="s">
        <v>125</v>
      </c>
      <c r="D61" s="65" t="s">
        <v>66</v>
      </c>
      <c r="E61" s="106" t="s">
        <v>67</v>
      </c>
      <c r="F61" s="65" t="s">
        <v>68</v>
      </c>
      <c r="G61" s="333">
        <v>500</v>
      </c>
      <c r="H61" s="333">
        <v>525</v>
      </c>
      <c r="I61" s="333">
        <v>525</v>
      </c>
      <c r="J61" s="205" t="s">
        <v>69</v>
      </c>
      <c r="K61" s="205" t="str">
        <f t="shared" si="0"/>
        <v>INCL</v>
      </c>
      <c r="L61" s="205">
        <f t="shared" ca="1" si="1"/>
        <v>60</v>
      </c>
      <c r="M61" s="205" t="str">
        <f t="shared" ca="1" si="2"/>
        <v>EBS/ETS</v>
      </c>
      <c r="N61" s="206"/>
      <c r="O61" s="207"/>
    </row>
    <row r="62" spans="2:15" x14ac:dyDescent="0.25">
      <c r="B62" s="177" t="s">
        <v>164</v>
      </c>
      <c r="C62" s="65" t="s">
        <v>126</v>
      </c>
      <c r="D62" s="65" t="s">
        <v>66</v>
      </c>
      <c r="E62" s="106" t="s">
        <v>97</v>
      </c>
      <c r="F62" s="65" t="s">
        <v>68</v>
      </c>
      <c r="G62" s="333">
        <v>300</v>
      </c>
      <c r="H62" s="333">
        <v>375</v>
      </c>
      <c r="I62" s="333">
        <v>375</v>
      </c>
      <c r="J62" s="205" t="s">
        <v>69</v>
      </c>
      <c r="K62" s="205" t="str">
        <f t="shared" si="0"/>
        <v>INCL</v>
      </c>
      <c r="L62" s="205">
        <f t="shared" ca="1" si="1"/>
        <v>60</v>
      </c>
      <c r="M62" s="205" t="str">
        <f t="shared" ca="1" si="2"/>
        <v>EBS/ETS</v>
      </c>
      <c r="N62" s="206"/>
      <c r="O62" s="207"/>
    </row>
    <row r="63" spans="2:15" hidden="1" x14ac:dyDescent="0.25">
      <c r="B63" s="177" t="s">
        <v>165</v>
      </c>
      <c r="C63" s="65" t="s">
        <v>127</v>
      </c>
      <c r="D63" s="65" t="s">
        <v>66</v>
      </c>
      <c r="E63" s="106" t="s">
        <v>97</v>
      </c>
      <c r="F63" s="65" t="s">
        <v>68</v>
      </c>
      <c r="G63" s="333">
        <v>475</v>
      </c>
      <c r="H63" s="333">
        <v>450</v>
      </c>
      <c r="I63" s="333">
        <v>450</v>
      </c>
      <c r="J63" s="205" t="s">
        <v>69</v>
      </c>
      <c r="K63" s="205" t="str">
        <f t="shared" si="0"/>
        <v>INCL</v>
      </c>
      <c r="L63" s="205">
        <f t="shared" ca="1" si="1"/>
        <v>60</v>
      </c>
      <c r="M63" s="205" t="str">
        <f t="shared" ca="1" si="2"/>
        <v>EBS/ETS</v>
      </c>
      <c r="N63" s="206"/>
      <c r="O63" s="207"/>
    </row>
    <row r="64" spans="2:15" hidden="1" x14ac:dyDescent="0.25">
      <c r="B64" s="177" t="s">
        <v>166</v>
      </c>
      <c r="C64" s="65" t="s">
        <v>127</v>
      </c>
      <c r="D64" s="65" t="s">
        <v>66</v>
      </c>
      <c r="E64" s="106" t="s">
        <v>97</v>
      </c>
      <c r="F64" s="65" t="s">
        <v>68</v>
      </c>
      <c r="G64" s="333">
        <v>475</v>
      </c>
      <c r="H64" s="333">
        <v>450</v>
      </c>
      <c r="I64" s="333">
        <v>450</v>
      </c>
      <c r="J64" s="205" t="s">
        <v>69</v>
      </c>
      <c r="K64" s="205" t="str">
        <f t="shared" si="0"/>
        <v>INCL</v>
      </c>
      <c r="L64" s="205">
        <f t="shared" ca="1" si="1"/>
        <v>60</v>
      </c>
      <c r="M64" s="205" t="str">
        <f t="shared" ca="1" si="2"/>
        <v>EBS/ETS</v>
      </c>
      <c r="N64" s="206"/>
      <c r="O64" s="207"/>
    </row>
    <row r="65" spans="1:15" hidden="1" x14ac:dyDescent="0.25">
      <c r="B65" s="177" t="s">
        <v>164</v>
      </c>
      <c r="C65" s="65" t="s">
        <v>128</v>
      </c>
      <c r="D65" s="65" t="s">
        <v>66</v>
      </c>
      <c r="E65" s="106" t="s">
        <v>97</v>
      </c>
      <c r="F65" s="65" t="s">
        <v>68</v>
      </c>
      <c r="G65" s="333">
        <v>425</v>
      </c>
      <c r="H65" s="333">
        <v>400</v>
      </c>
      <c r="I65" s="333">
        <v>400</v>
      </c>
      <c r="J65" s="205" t="s">
        <v>69</v>
      </c>
      <c r="K65" s="205" t="str">
        <f t="shared" si="0"/>
        <v>INCL</v>
      </c>
      <c r="L65" s="205">
        <f t="shared" ca="1" si="1"/>
        <v>60</v>
      </c>
      <c r="M65" s="205" t="str">
        <f t="shared" ca="1" si="2"/>
        <v>EBS/ETS</v>
      </c>
      <c r="N65" s="206"/>
      <c r="O65" s="207"/>
    </row>
    <row r="66" spans="1:15" ht="18" hidden="1" customHeight="1" x14ac:dyDescent="0.25">
      <c r="B66" s="385" t="s">
        <v>166</v>
      </c>
      <c r="C66" s="386" t="s">
        <v>85</v>
      </c>
      <c r="D66" s="386" t="s">
        <v>20</v>
      </c>
      <c r="E66" s="386" t="s">
        <v>100</v>
      </c>
      <c r="F66" s="386" t="s">
        <v>68</v>
      </c>
      <c r="G66" s="387">
        <v>400</v>
      </c>
      <c r="H66" s="387">
        <v>450</v>
      </c>
      <c r="I66" s="387">
        <v>450</v>
      </c>
      <c r="J66" s="388" t="s">
        <v>69</v>
      </c>
      <c r="K66" s="388" t="str">
        <f t="shared" si="0"/>
        <v>INCL</v>
      </c>
      <c r="L66" s="388">
        <f t="shared" ca="1" si="1"/>
        <v>60</v>
      </c>
      <c r="M66" s="388" t="str">
        <f t="shared" ca="1" si="2"/>
        <v>EBS/ETS</v>
      </c>
      <c r="N66" s="389"/>
      <c r="O66" s="390"/>
    </row>
    <row r="67" spans="1:15" ht="18" hidden="1" customHeight="1" x14ac:dyDescent="0.25">
      <c r="B67" s="385" t="s">
        <v>165</v>
      </c>
      <c r="C67" s="386" t="s">
        <v>85</v>
      </c>
      <c r="D67" s="386" t="s">
        <v>20</v>
      </c>
      <c r="E67" s="386" t="s">
        <v>129</v>
      </c>
      <c r="F67" s="386" t="s">
        <v>68</v>
      </c>
      <c r="G67" s="387">
        <v>400</v>
      </c>
      <c r="H67" s="387">
        <v>450</v>
      </c>
      <c r="I67" s="387">
        <v>450</v>
      </c>
      <c r="J67" s="388" t="s">
        <v>69</v>
      </c>
      <c r="K67" s="388" t="str">
        <f t="shared" si="0"/>
        <v>INCL</v>
      </c>
      <c r="L67" s="388">
        <f t="shared" ca="1" si="1"/>
        <v>60</v>
      </c>
      <c r="M67" s="388" t="str">
        <f t="shared" ca="1" si="2"/>
        <v>EBS/ETS</v>
      </c>
      <c r="N67" s="389"/>
      <c r="O67" s="390"/>
    </row>
    <row r="68" spans="1:15" hidden="1" x14ac:dyDescent="0.25">
      <c r="B68" s="177" t="s">
        <v>164</v>
      </c>
      <c r="C68" s="65" t="s">
        <v>130</v>
      </c>
      <c r="D68" s="65" t="s">
        <v>66</v>
      </c>
      <c r="E68" s="106" t="s">
        <v>82</v>
      </c>
      <c r="F68" s="65" t="s">
        <v>68</v>
      </c>
      <c r="G68" s="333">
        <v>350</v>
      </c>
      <c r="H68" s="333">
        <v>475</v>
      </c>
      <c r="I68" s="333">
        <v>475</v>
      </c>
      <c r="J68" s="205" t="s">
        <v>69</v>
      </c>
      <c r="K68" s="205" t="str">
        <f t="shared" si="0"/>
        <v>INCL</v>
      </c>
      <c r="L68" s="205">
        <f t="shared" ca="1" si="1"/>
        <v>60</v>
      </c>
      <c r="M68" s="205" t="str">
        <f t="shared" ca="1" si="2"/>
        <v>EBS/ETS</v>
      </c>
      <c r="N68" s="206"/>
      <c r="O68" s="207"/>
    </row>
    <row r="69" spans="1:15" ht="18" hidden="1" customHeight="1" x14ac:dyDescent="0.25">
      <c r="B69" s="379" t="s">
        <v>164</v>
      </c>
      <c r="C69" s="380" t="s">
        <v>131</v>
      </c>
      <c r="D69" s="380" t="s">
        <v>20</v>
      </c>
      <c r="E69" s="380" t="s">
        <v>108</v>
      </c>
      <c r="F69" s="380" t="s">
        <v>68</v>
      </c>
      <c r="G69" s="381">
        <v>150</v>
      </c>
      <c r="H69" s="381">
        <v>125</v>
      </c>
      <c r="I69" s="381">
        <v>125</v>
      </c>
      <c r="J69" s="382" t="s">
        <v>69</v>
      </c>
      <c r="K69" s="205" t="str">
        <f t="shared" si="0"/>
        <v>INCL</v>
      </c>
      <c r="L69" s="205">
        <f t="shared" ca="1" si="1"/>
        <v>60</v>
      </c>
      <c r="M69" s="382" t="str">
        <f t="shared" ca="1" si="2"/>
        <v>EBS/ETS</v>
      </c>
      <c r="N69" s="383"/>
      <c r="O69" s="384"/>
    </row>
    <row r="70" spans="1:15" ht="18" hidden="1" customHeight="1" x14ac:dyDescent="0.25">
      <c r="B70" s="379" t="s">
        <v>164</v>
      </c>
      <c r="C70" s="380" t="s">
        <v>132</v>
      </c>
      <c r="D70" s="380" t="s">
        <v>20</v>
      </c>
      <c r="E70" s="380" t="s">
        <v>133</v>
      </c>
      <c r="F70" s="380" t="s">
        <v>68</v>
      </c>
      <c r="G70" s="381">
        <v>150</v>
      </c>
      <c r="H70" s="381">
        <v>125</v>
      </c>
      <c r="I70" s="381">
        <v>125</v>
      </c>
      <c r="J70" s="382" t="s">
        <v>69</v>
      </c>
      <c r="K70" s="205" t="str">
        <f t="shared" si="0"/>
        <v>INCL</v>
      </c>
      <c r="L70" s="205">
        <f t="shared" ca="1" si="1"/>
        <v>60</v>
      </c>
      <c r="M70" s="382" t="str">
        <f t="shared" ca="1" si="2"/>
        <v>EBS/ETS</v>
      </c>
      <c r="N70" s="383"/>
      <c r="O70" s="384"/>
    </row>
    <row r="71" spans="1:15" ht="20.399999999999999" hidden="1" x14ac:dyDescent="0.25">
      <c r="B71" s="177" t="s">
        <v>164</v>
      </c>
      <c r="C71" s="65" t="s">
        <v>134</v>
      </c>
      <c r="D71" s="65" t="s">
        <v>66</v>
      </c>
      <c r="E71" s="106" t="s">
        <v>67</v>
      </c>
      <c r="F71" s="65" t="s">
        <v>68</v>
      </c>
      <c r="G71" s="333">
        <v>600</v>
      </c>
      <c r="H71" s="333">
        <v>1025</v>
      </c>
      <c r="I71" s="333">
        <v>1025</v>
      </c>
      <c r="J71" s="205" t="s">
        <v>69</v>
      </c>
      <c r="K71" s="205" t="str">
        <f t="shared" si="0"/>
        <v>INCL</v>
      </c>
      <c r="L71" s="205">
        <f t="shared" ca="1" si="1"/>
        <v>60</v>
      </c>
      <c r="M71" s="205" t="str">
        <f t="shared" ca="1" si="2"/>
        <v>EBS/ETS</v>
      </c>
      <c r="N71" s="206"/>
      <c r="O71" s="207"/>
    </row>
    <row r="72" spans="1:15" hidden="1" x14ac:dyDescent="0.25">
      <c r="B72" s="177" t="s">
        <v>164</v>
      </c>
      <c r="C72" s="65" t="s">
        <v>135</v>
      </c>
      <c r="D72" s="65" t="s">
        <v>66</v>
      </c>
      <c r="E72" s="106" t="s">
        <v>101</v>
      </c>
      <c r="F72" s="65" t="s">
        <v>68</v>
      </c>
      <c r="G72" s="333">
        <v>325</v>
      </c>
      <c r="H72" s="333">
        <v>400</v>
      </c>
      <c r="I72" s="333">
        <v>400</v>
      </c>
      <c r="J72" s="205" t="s">
        <v>69</v>
      </c>
      <c r="K72" s="205" t="str">
        <f t="shared" si="0"/>
        <v>INCL</v>
      </c>
      <c r="L72" s="205">
        <f t="shared" ca="1" si="1"/>
        <v>60</v>
      </c>
      <c r="M72" s="205" t="str">
        <f t="shared" ca="1" si="2"/>
        <v>EBS/ETS</v>
      </c>
      <c r="N72" s="206"/>
      <c r="O72" s="207"/>
    </row>
    <row r="73" spans="1:15" hidden="1" x14ac:dyDescent="0.25">
      <c r="B73" s="177" t="s">
        <v>164</v>
      </c>
      <c r="C73" s="65" t="s">
        <v>136</v>
      </c>
      <c r="D73" s="65" t="s">
        <v>20</v>
      </c>
      <c r="E73" s="106" t="s">
        <v>98</v>
      </c>
      <c r="F73" s="65" t="s">
        <v>68</v>
      </c>
      <c r="G73" s="333">
        <v>150</v>
      </c>
      <c r="H73" s="333">
        <v>125</v>
      </c>
      <c r="I73" s="333">
        <v>125</v>
      </c>
      <c r="J73" s="205" t="s">
        <v>69</v>
      </c>
      <c r="K73" s="205" t="str">
        <f t="shared" si="0"/>
        <v>INCL</v>
      </c>
      <c r="L73" s="205">
        <f t="shared" ca="1" si="1"/>
        <v>60</v>
      </c>
      <c r="M73" s="205" t="str">
        <f t="shared" ca="1" si="2"/>
        <v>EBS/ETS</v>
      </c>
      <c r="N73" s="206"/>
      <c r="O73" s="207"/>
    </row>
    <row r="74" spans="1:15" ht="18" hidden="1" customHeight="1" x14ac:dyDescent="0.25">
      <c r="B74" s="385" t="s">
        <v>164</v>
      </c>
      <c r="C74" s="386" t="s">
        <v>137</v>
      </c>
      <c r="D74" s="386" t="s">
        <v>20</v>
      </c>
      <c r="E74" s="386" t="s">
        <v>85</v>
      </c>
      <c r="F74" s="386" t="s">
        <v>68</v>
      </c>
      <c r="G74" s="387">
        <v>400</v>
      </c>
      <c r="H74" s="387">
        <v>450</v>
      </c>
      <c r="I74" s="387">
        <v>450</v>
      </c>
      <c r="J74" s="388" t="s">
        <v>69</v>
      </c>
      <c r="K74" s="388" t="str">
        <f t="shared" si="0"/>
        <v>INCL</v>
      </c>
      <c r="L74" s="388">
        <f t="shared" ca="1" si="1"/>
        <v>60</v>
      </c>
      <c r="M74" s="388" t="str">
        <f t="shared" ca="1" si="2"/>
        <v>EBS/ETS</v>
      </c>
      <c r="N74" s="389"/>
      <c r="O74" s="390"/>
    </row>
    <row r="75" spans="1:15" hidden="1" x14ac:dyDescent="0.25">
      <c r="B75" s="177" t="s">
        <v>164</v>
      </c>
      <c r="C75" s="65" t="s">
        <v>138</v>
      </c>
      <c r="D75" s="65" t="s">
        <v>66</v>
      </c>
      <c r="E75" s="106" t="s">
        <v>74</v>
      </c>
      <c r="F75" s="65" t="s">
        <v>68</v>
      </c>
      <c r="G75" s="333">
        <v>375</v>
      </c>
      <c r="H75" s="333">
        <v>500</v>
      </c>
      <c r="I75" s="333">
        <v>500</v>
      </c>
      <c r="J75" s="205" t="s">
        <v>69</v>
      </c>
      <c r="K75" s="205" t="str">
        <f t="shared" ref="K75:K76" si="3">K74</f>
        <v>INCL</v>
      </c>
      <c r="L75" s="205">
        <f t="shared" ref="L75:L76" ca="1" si="4">$L$10</f>
        <v>60</v>
      </c>
      <c r="M75" s="205" t="str">
        <f t="shared" ref="M75:M76" ca="1" si="5">$M$10</f>
        <v>EBS/ETS</v>
      </c>
      <c r="N75" s="206"/>
      <c r="O75" s="207"/>
    </row>
    <row r="76" spans="1:15" ht="20.399999999999999" hidden="1" x14ac:dyDescent="0.25">
      <c r="B76" s="178" t="s">
        <v>164</v>
      </c>
      <c r="C76" s="176" t="s">
        <v>139</v>
      </c>
      <c r="D76" s="176" t="s">
        <v>66</v>
      </c>
      <c r="E76" s="320" t="s">
        <v>140</v>
      </c>
      <c r="F76" s="176" t="s">
        <v>68</v>
      </c>
      <c r="G76" s="336">
        <v>375</v>
      </c>
      <c r="H76" s="336">
        <v>475</v>
      </c>
      <c r="I76" s="336">
        <v>475</v>
      </c>
      <c r="J76" s="213" t="s">
        <v>69</v>
      </c>
      <c r="K76" s="213" t="str">
        <f t="shared" si="3"/>
        <v>INCL</v>
      </c>
      <c r="L76" s="213">
        <f t="shared" ca="1" si="4"/>
        <v>60</v>
      </c>
      <c r="M76" s="213" t="str">
        <f t="shared" ca="1" si="5"/>
        <v>EBS/ETS</v>
      </c>
      <c r="N76" s="213"/>
      <c r="O76" s="215"/>
    </row>
    <row r="77" spans="1:15" ht="27.75" customHeight="1" thickBot="1" x14ac:dyDescent="0.3">
      <c r="B77" s="46"/>
      <c r="C77" s="46"/>
      <c r="D77" s="46"/>
      <c r="E77" s="46"/>
      <c r="F77" s="46"/>
      <c r="H77" s="46"/>
      <c r="I77" s="50"/>
      <c r="J77" s="50"/>
      <c r="K77" s="51"/>
      <c r="L77" s="51"/>
      <c r="M77" s="51"/>
      <c r="N77" s="51"/>
    </row>
    <row r="78" spans="1:15" s="35" customFormat="1" ht="13.8" thickBot="1" x14ac:dyDescent="0.3">
      <c r="A78"/>
      <c r="B78" s="448" t="s">
        <v>41</v>
      </c>
      <c r="C78" s="449"/>
      <c r="D78" s="449"/>
      <c r="E78" s="449"/>
      <c r="F78" s="449"/>
      <c r="G78" s="449"/>
      <c r="H78" s="449"/>
      <c r="I78" s="449"/>
      <c r="J78" s="450"/>
      <c r="N78" s="59"/>
    </row>
    <row r="79" spans="1:15" customFormat="1" x14ac:dyDescent="0.25">
      <c r="B79" s="131" t="s">
        <v>141</v>
      </c>
      <c r="C79" s="132"/>
      <c r="D79" s="133"/>
      <c r="E79" s="133"/>
      <c r="F79" s="134"/>
      <c r="G79" s="135"/>
      <c r="H79" s="135"/>
      <c r="I79" s="135"/>
      <c r="J79" s="136"/>
      <c r="K79" s="35"/>
      <c r="N79" s="72"/>
    </row>
    <row r="80" spans="1:15" customFormat="1" x14ac:dyDescent="0.25">
      <c r="B80" s="25" t="s">
        <v>170</v>
      </c>
      <c r="C80" s="78"/>
      <c r="D80" s="79"/>
      <c r="E80" s="79"/>
      <c r="F80" s="80"/>
      <c r="G80" s="21"/>
      <c r="H80" s="21"/>
      <c r="I80" s="21"/>
      <c r="J80" s="23"/>
      <c r="K80" s="35"/>
    </row>
    <row r="81" spans="2:13" customFormat="1" x14ac:dyDescent="0.25">
      <c r="B81" s="26" t="s">
        <v>143</v>
      </c>
      <c r="C81" s="78"/>
      <c r="D81" s="79"/>
      <c r="E81" s="79"/>
      <c r="F81" s="80"/>
      <c r="G81" s="21"/>
      <c r="H81" s="21"/>
      <c r="I81" s="21"/>
      <c r="J81" s="23"/>
      <c r="K81" s="35"/>
    </row>
    <row r="82" spans="2:13" customFormat="1" x14ac:dyDescent="0.25">
      <c r="B82" s="4" t="s">
        <v>144</v>
      </c>
      <c r="C82" s="81"/>
      <c r="D82" s="82"/>
      <c r="E82" s="82"/>
      <c r="F82" s="83"/>
      <c r="G82" s="21"/>
      <c r="H82" s="21"/>
      <c r="I82" s="21"/>
      <c r="J82" s="23"/>
      <c r="K82" s="35"/>
    </row>
    <row r="83" spans="2:13" customFormat="1" x14ac:dyDescent="0.25">
      <c r="B83" s="24" t="s">
        <v>145</v>
      </c>
      <c r="C83" s="84"/>
      <c r="D83" s="85"/>
      <c r="E83" s="85"/>
      <c r="F83" s="86"/>
      <c r="G83" s="21"/>
      <c r="H83" s="21"/>
      <c r="I83" s="21"/>
      <c r="J83" s="23"/>
      <c r="K83" s="35"/>
    </row>
    <row r="84" spans="2:13" customFormat="1" x14ac:dyDescent="0.25">
      <c r="B84" s="13" t="s">
        <v>146</v>
      </c>
      <c r="C84" s="137"/>
      <c r="D84" s="138"/>
      <c r="E84" s="138"/>
      <c r="F84" s="87"/>
      <c r="G84" s="21"/>
      <c r="H84" s="21"/>
      <c r="I84" s="21"/>
      <c r="J84" s="23"/>
      <c r="K84" s="35"/>
    </row>
    <row r="85" spans="2:13" customFormat="1" x14ac:dyDescent="0.25">
      <c r="B85" s="144" t="s">
        <v>147</v>
      </c>
      <c r="C85" s="139"/>
      <c r="D85" s="140"/>
      <c r="E85" s="140"/>
      <c r="F85" s="12"/>
      <c r="G85" s="21"/>
      <c r="H85" s="21"/>
      <c r="I85" s="21"/>
      <c r="J85" s="23"/>
      <c r="K85" s="35"/>
    </row>
    <row r="86" spans="2:13" customFormat="1" x14ac:dyDescent="0.25">
      <c r="B86" s="144" t="s">
        <v>596</v>
      </c>
      <c r="C86" s="139"/>
      <c r="D86" s="140"/>
      <c r="E86" s="140"/>
      <c r="F86" s="12"/>
      <c r="G86" s="21"/>
      <c r="H86" s="21"/>
      <c r="I86" s="21"/>
      <c r="J86" s="23"/>
      <c r="K86" s="35"/>
    </row>
    <row r="87" spans="2:13" customFormat="1" x14ac:dyDescent="0.25">
      <c r="B87" s="13" t="s">
        <v>148</v>
      </c>
      <c r="C87" s="10"/>
      <c r="D87" s="11"/>
      <c r="E87" s="11"/>
      <c r="F87" s="12"/>
      <c r="G87" s="42"/>
      <c r="H87" s="22"/>
      <c r="I87" s="22"/>
      <c r="J87" s="98"/>
      <c r="K87" s="35"/>
    </row>
    <row r="88" spans="2:13" customFormat="1" x14ac:dyDescent="0.25">
      <c r="B88" s="4" t="s">
        <v>171</v>
      </c>
      <c r="C88" s="10"/>
      <c r="D88" s="11"/>
      <c r="E88" s="11"/>
      <c r="F88" s="11"/>
      <c r="G88" s="42"/>
      <c r="H88" s="5"/>
      <c r="I88" s="88"/>
      <c r="J88" s="44"/>
      <c r="K88" s="1"/>
      <c r="L88" s="33"/>
      <c r="M88" s="3"/>
    </row>
    <row r="89" spans="2:13" customFormat="1" x14ac:dyDescent="0.25">
      <c r="B89" s="202" t="s">
        <v>172</v>
      </c>
      <c r="C89" s="84"/>
      <c r="D89" s="85"/>
      <c r="E89" s="87"/>
      <c r="F89" s="87"/>
      <c r="G89" s="21"/>
      <c r="H89" s="21"/>
      <c r="I89" s="21"/>
      <c r="J89" s="23"/>
      <c r="K89" s="35"/>
    </row>
    <row r="90" spans="2:13" customFormat="1" x14ac:dyDescent="0.25">
      <c r="B90" s="127" t="s">
        <v>580</v>
      </c>
      <c r="C90" s="311"/>
      <c r="D90" s="312"/>
      <c r="E90" s="87"/>
      <c r="F90" s="87"/>
      <c r="G90" s="21"/>
      <c r="H90" s="21"/>
      <c r="I90" s="21"/>
      <c r="J90" s="23"/>
      <c r="K90" s="35"/>
    </row>
    <row r="91" spans="2:13" customFormat="1" x14ac:dyDescent="0.25">
      <c r="B91" s="99" t="s">
        <v>173</v>
      </c>
      <c r="D91" s="56"/>
      <c r="E91" s="56"/>
      <c r="F91" s="56"/>
      <c r="G91" s="21"/>
      <c r="H91" s="21"/>
      <c r="I91" s="21"/>
      <c r="J91" s="23"/>
      <c r="K91" s="35"/>
      <c r="L91" s="1"/>
    </row>
    <row r="92" spans="2:13" customFormat="1" x14ac:dyDescent="0.25">
      <c r="B92" s="99" t="s">
        <v>543</v>
      </c>
      <c r="D92" s="56"/>
      <c r="E92" s="56"/>
      <c r="F92" s="56"/>
      <c r="G92" s="21"/>
      <c r="H92" s="31"/>
      <c r="I92" s="21"/>
      <c r="J92" s="23"/>
      <c r="K92" s="35"/>
      <c r="L92" s="1"/>
    </row>
    <row r="93" spans="2:13" customFormat="1" x14ac:dyDescent="0.25">
      <c r="B93" s="127" t="s">
        <v>602</v>
      </c>
      <c r="C93" s="127"/>
      <c r="D93" s="127"/>
      <c r="E93" s="127"/>
      <c r="F93" s="297" t="s">
        <v>557</v>
      </c>
      <c r="G93" s="21"/>
      <c r="H93" s="148"/>
      <c r="I93" s="148"/>
      <c r="J93" s="23"/>
      <c r="K93" s="1"/>
      <c r="M93" s="3"/>
    </row>
    <row r="94" spans="2:13" customFormat="1" x14ac:dyDescent="0.25">
      <c r="B94" s="99"/>
      <c r="D94" s="56"/>
      <c r="E94" s="56"/>
      <c r="F94" s="56"/>
      <c r="G94" s="21"/>
      <c r="H94" s="21"/>
      <c r="I94" s="21"/>
      <c r="J94" s="23"/>
      <c r="K94" s="35"/>
      <c r="L94" s="1"/>
    </row>
    <row r="95" spans="2:13" customFormat="1" x14ac:dyDescent="0.25">
      <c r="B95" s="27" t="s">
        <v>152</v>
      </c>
      <c r="C95" s="91"/>
      <c r="D95" s="92"/>
      <c r="E95" s="92"/>
      <c r="F95" s="93"/>
      <c r="G95" s="21"/>
      <c r="H95" s="21"/>
      <c r="I95" s="21"/>
      <c r="J95" s="23"/>
      <c r="K95" s="35"/>
      <c r="L95" s="1"/>
    </row>
    <row r="96" spans="2:13" customFormat="1" x14ac:dyDescent="0.25">
      <c r="B96" s="28" t="s">
        <v>153</v>
      </c>
      <c r="C96" s="91"/>
      <c r="D96" s="92"/>
      <c r="E96" s="92"/>
      <c r="F96" s="93"/>
      <c r="G96" s="21"/>
      <c r="H96" s="21"/>
      <c r="I96" s="21"/>
      <c r="J96" s="23"/>
      <c r="K96" s="35"/>
      <c r="L96" s="1"/>
    </row>
    <row r="97" spans="1:14" customFormat="1" ht="14.4" x14ac:dyDescent="0.25">
      <c r="B97" s="117" t="s">
        <v>154</v>
      </c>
      <c r="C97" s="91"/>
      <c r="D97" s="92"/>
      <c r="E97" s="92"/>
      <c r="F97" s="93"/>
      <c r="G97" s="21"/>
      <c r="H97" s="21"/>
      <c r="I97" s="21"/>
      <c r="J97" s="23"/>
      <c r="K97" s="35"/>
      <c r="L97" s="1"/>
    </row>
    <row r="98" spans="1:14" customFormat="1" ht="14.4" x14ac:dyDescent="0.25">
      <c r="B98" s="117" t="s">
        <v>155</v>
      </c>
      <c r="C98" s="91"/>
      <c r="D98" s="92"/>
      <c r="E98" s="92"/>
      <c r="F98" s="93"/>
      <c r="G98" s="21"/>
      <c r="H98" s="21"/>
      <c r="I98" s="21"/>
      <c r="J98" s="23"/>
      <c r="K98" s="35"/>
      <c r="L98" s="1"/>
    </row>
    <row r="99" spans="1:14" customFormat="1" ht="14.4" x14ac:dyDescent="0.25">
      <c r="B99" s="117" t="s">
        <v>156</v>
      </c>
      <c r="C99" s="91"/>
      <c r="D99" s="92"/>
      <c r="E99" s="92"/>
      <c r="F99" s="93"/>
      <c r="G99" s="21"/>
      <c r="H99" s="21"/>
      <c r="I99" s="21"/>
      <c r="J99" s="23"/>
      <c r="K99" s="35"/>
      <c r="L99" s="1"/>
    </row>
    <row r="100" spans="1:14" customFormat="1" ht="14.4" x14ac:dyDescent="0.25">
      <c r="B100" s="117" t="s">
        <v>157</v>
      </c>
      <c r="C100" s="91"/>
      <c r="D100" s="92"/>
      <c r="E100" s="92"/>
      <c r="F100" s="93"/>
      <c r="G100" s="21"/>
      <c r="H100" s="21"/>
      <c r="I100" s="21"/>
      <c r="J100" s="23"/>
      <c r="K100" s="35"/>
      <c r="L100" s="1"/>
    </row>
    <row r="101" spans="1:14" customFormat="1" ht="14.4" x14ac:dyDescent="0.25">
      <c r="B101" s="117" t="s">
        <v>158</v>
      </c>
      <c r="C101" s="91"/>
      <c r="D101" s="92"/>
      <c r="E101" s="92"/>
      <c r="F101" s="93"/>
      <c r="G101" s="21"/>
      <c r="H101" s="21"/>
      <c r="I101" s="21"/>
      <c r="J101" s="23"/>
      <c r="K101" s="35"/>
      <c r="L101" s="1"/>
    </row>
    <row r="102" spans="1:14" customFormat="1" ht="14.4" x14ac:dyDescent="0.25">
      <c r="B102" s="117" t="s">
        <v>159</v>
      </c>
      <c r="C102" s="91"/>
      <c r="D102" s="92"/>
      <c r="E102" s="92"/>
      <c r="F102" s="93"/>
      <c r="G102" s="21"/>
      <c r="H102" s="21"/>
      <c r="I102" s="21"/>
      <c r="J102" s="23"/>
      <c r="K102" s="35"/>
      <c r="L102" s="1"/>
    </row>
    <row r="103" spans="1:14" customFormat="1" ht="14.4" x14ac:dyDescent="0.25">
      <c r="B103" s="117" t="s">
        <v>160</v>
      </c>
      <c r="C103" s="91"/>
      <c r="D103" s="92"/>
      <c r="E103" s="92"/>
      <c r="F103" s="93"/>
      <c r="G103" s="21"/>
      <c r="H103" s="21"/>
      <c r="I103" s="21"/>
      <c r="J103" s="23"/>
      <c r="K103" s="35"/>
      <c r="L103" s="1"/>
    </row>
    <row r="104" spans="1:14" customFormat="1" ht="14.4" x14ac:dyDescent="0.25">
      <c r="B104" s="117" t="s">
        <v>161</v>
      </c>
      <c r="C104" s="91"/>
      <c r="D104" s="92"/>
      <c r="E104" s="92"/>
      <c r="F104" s="93"/>
      <c r="G104" s="21"/>
      <c r="H104" s="21"/>
      <c r="I104" s="21"/>
      <c r="J104" s="23"/>
      <c r="K104" s="35"/>
      <c r="L104" s="1"/>
    </row>
    <row r="105" spans="1:14" customFormat="1" x14ac:dyDescent="0.25">
      <c r="B105" s="28" t="s">
        <v>162</v>
      </c>
      <c r="C105" s="81"/>
      <c r="D105" s="82"/>
      <c r="E105" s="82"/>
      <c r="F105" s="83"/>
      <c r="G105" s="21"/>
      <c r="H105" s="21"/>
      <c r="I105" s="21"/>
      <c r="J105" s="23"/>
      <c r="K105" s="35"/>
      <c r="L105" s="1"/>
    </row>
    <row r="106" spans="1:14" customFormat="1" ht="14.4" x14ac:dyDescent="0.3">
      <c r="B106" s="101" t="s">
        <v>525</v>
      </c>
      <c r="C106" s="94"/>
      <c r="D106" s="95"/>
      <c r="E106" s="95"/>
      <c r="F106" s="96"/>
      <c r="G106" s="21"/>
      <c r="H106" s="21"/>
      <c r="J106" s="19"/>
      <c r="K106" s="35"/>
      <c r="L106" s="1"/>
    </row>
    <row r="107" spans="1:14" customFormat="1" x14ac:dyDescent="0.25">
      <c r="A107" s="35"/>
      <c r="B107" s="319"/>
      <c r="C107" s="1"/>
      <c r="D107" s="1"/>
      <c r="E107" s="1"/>
      <c r="F107" s="1"/>
      <c r="G107" s="21"/>
      <c r="H107" s="21"/>
      <c r="I107" s="21"/>
      <c r="J107" s="23"/>
      <c r="K107" s="35"/>
      <c r="L107" s="1"/>
    </row>
    <row r="108" spans="1:14" customFormat="1" x14ac:dyDescent="0.25">
      <c r="A108" s="35"/>
      <c r="B108" s="28" t="s">
        <v>50</v>
      </c>
      <c r="C108" s="91"/>
      <c r="D108" s="92"/>
      <c r="E108" s="92"/>
      <c r="F108" s="93"/>
      <c r="G108" s="21"/>
      <c r="H108" s="21"/>
      <c r="I108" s="21"/>
      <c r="J108" s="23"/>
      <c r="K108" s="35"/>
      <c r="L108" s="1"/>
    </row>
    <row r="109" spans="1:14" customFormat="1" x14ac:dyDescent="0.25">
      <c r="A109" s="35"/>
      <c r="B109" s="313" t="s">
        <v>51</v>
      </c>
      <c r="C109" s="81"/>
      <c r="D109" s="81"/>
      <c r="E109" s="81"/>
      <c r="F109" s="81"/>
      <c r="G109" s="1"/>
      <c r="H109" s="1"/>
      <c r="J109" s="100"/>
      <c r="K109" s="35"/>
      <c r="L109" s="1"/>
    </row>
    <row r="110" spans="1:14" customFormat="1" ht="14.4" x14ac:dyDescent="0.25">
      <c r="B110" s="29" t="s">
        <v>52</v>
      </c>
      <c r="J110" s="100"/>
      <c r="K110" s="35"/>
    </row>
    <row r="111" spans="1:14" ht="13.8" thickBot="1" x14ac:dyDescent="0.3">
      <c r="B111" s="142"/>
      <c r="C111" s="143"/>
      <c r="D111" s="143"/>
      <c r="E111" s="143"/>
      <c r="F111" s="143"/>
      <c r="G111" s="143"/>
      <c r="H111" s="53"/>
      <c r="I111" s="143"/>
      <c r="J111" s="64"/>
      <c r="K111" s="31"/>
      <c r="L111" s="31"/>
      <c r="M111" s="31"/>
      <c r="N111" s="31"/>
    </row>
  </sheetData>
  <autoFilter ref="B8:N76" xr:uid="{00000000-0001-0000-0200-000000000000}">
    <filterColumn colId="1">
      <filters>
        <filter val="Kaohsiung, Taiwan"/>
        <filter val="Keelung, Taiwan"/>
        <filter val="Taichung, Taiwan"/>
      </filters>
    </filterColumn>
  </autoFilter>
  <sortState xmlns:xlrd2="http://schemas.microsoft.com/office/spreadsheetml/2017/richdata2" ref="B9:N76">
    <sortCondition ref="C9:C76"/>
  </sortState>
  <mergeCells count="1">
    <mergeCell ref="B78:J78"/>
  </mergeCells>
  <phoneticPr fontId="51" type="noConversion"/>
  <conditionalFormatting sqref="B82">
    <cfRule type="duplicateValues" dxfId="39" priority="17" stopIfTrue="1"/>
  </conditionalFormatting>
  <conditionalFormatting sqref="B84">
    <cfRule type="duplicateValues" dxfId="38" priority="10" stopIfTrue="1"/>
  </conditionalFormatting>
  <conditionalFormatting sqref="B87">
    <cfRule type="duplicateValues" dxfId="37" priority="13" stopIfTrue="1"/>
  </conditionalFormatting>
  <conditionalFormatting sqref="B88">
    <cfRule type="duplicateValues" dxfId="36" priority="11" stopIfTrue="1"/>
  </conditionalFormatting>
  <conditionalFormatting sqref="B90">
    <cfRule type="duplicateValues" dxfId="35" priority="2" stopIfTrue="1"/>
  </conditionalFormatting>
  <conditionalFormatting sqref="B93:E93">
    <cfRule type="duplicateValues" dxfId="34" priority="1" stopIfTrue="1"/>
  </conditionalFormatting>
  <conditionalFormatting sqref="C85">
    <cfRule type="duplicateValues" dxfId="33" priority="15"/>
  </conditionalFormatting>
  <conditionalFormatting sqref="C86 C79:C84">
    <cfRule type="duplicateValues" dxfId="32" priority="16"/>
  </conditionalFormatting>
  <conditionalFormatting sqref="C89:C90">
    <cfRule type="duplicateValues" dxfId="31" priority="14"/>
  </conditionalFormatting>
  <conditionalFormatting sqref="C108:C110 C95:C106">
    <cfRule type="duplicateValues" dxfId="30" priority="8"/>
  </conditionalFormatting>
  <conditionalFormatting sqref="C111">
    <cfRule type="duplicateValues" dxfId="29" priority="79" stopIfTrue="1"/>
  </conditionalFormatting>
  <conditionalFormatting sqref="D77:E77">
    <cfRule type="duplicateValues" dxfId="28" priority="25" stopIfTrue="1"/>
  </conditionalFormatting>
  <hyperlinks>
    <hyperlink ref="B109" r:id="rId1" xr:uid="{14D90056-07F7-4CF9-8312-86F256FB982A}"/>
    <hyperlink ref="B110" r:id="rId2" xr:uid="{1F9A85EA-40ED-4E1D-B2DA-B001AD95826C}"/>
    <hyperlink ref="F93" r:id="rId3" display="https://moc.oocl.com/wls_prs_rp/public/ruleTariff/OOLL-100/T-53/display/20260323" xr:uid="{B9822B94-6ACD-4BAD-85E3-922ECA2259AA}"/>
  </hyperlinks>
  <pageMargins left="0.75" right="0.75" top="1" bottom="1" header="0.5" footer="0.5"/>
  <pageSetup paperSize="9" orientation="portrait" r:id="rId4"/>
  <customProperties>
    <customPr name="EpmWorksheetKeyString_GUID" r:id="rId5"/>
  </customProperties>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FD738-6DA5-4BF1-977A-0974AF4426A2}">
  <sheetPr filterMode="1">
    <pageSetUpPr fitToPage="1"/>
  </sheetPr>
  <dimension ref="A1:Q92"/>
  <sheetViews>
    <sheetView zoomScale="90" zoomScaleNormal="90" workbookViewId="0">
      <selection activeCell="B70" sqref="B70"/>
    </sheetView>
  </sheetViews>
  <sheetFormatPr baseColWidth="10" defaultColWidth="8.88671875" defaultRowHeight="13.2" x14ac:dyDescent="0.25"/>
  <cols>
    <col min="1" max="1" width="2.33203125" style="31" customWidth="1"/>
    <col min="2" max="2" width="45.88671875" style="31" customWidth="1"/>
    <col min="3" max="3" width="34.33203125" style="31" customWidth="1"/>
    <col min="4" max="4" width="13.44140625" style="31" customWidth="1"/>
    <col min="5" max="5" width="36.109375" style="31" customWidth="1"/>
    <col min="6" max="6" width="11" style="31" customWidth="1"/>
    <col min="7" max="7" width="11.44140625" style="21" customWidth="1"/>
    <col min="8" max="8" width="14.44140625" style="21" customWidth="1"/>
    <col min="9" max="9" width="10.6640625" style="31" customWidth="1"/>
    <col min="10" max="10" width="10.33203125" style="21" customWidth="1"/>
    <col min="11" max="11" width="23" style="21" customWidth="1"/>
    <col min="12" max="12" width="9.88671875" style="54" customWidth="1"/>
    <col min="13" max="13" width="9.5546875" style="54" customWidth="1"/>
    <col min="14" max="14" width="12" style="54" customWidth="1"/>
    <col min="15" max="15" width="28.6640625" style="54" customWidth="1"/>
    <col min="16" max="16" width="8.33203125" style="21" customWidth="1"/>
    <col min="17" max="17" width="25.5546875" style="31" customWidth="1"/>
    <col min="18" max="18" width="9.33203125" style="31" customWidth="1"/>
    <col min="19" max="19" width="14.33203125" style="31" customWidth="1"/>
    <col min="20" max="20" width="12.44140625" style="31" customWidth="1"/>
    <col min="21" max="254" width="9.109375" style="31"/>
    <col min="255" max="255" width="2.44140625" style="31" customWidth="1"/>
    <col min="256" max="256" width="15.33203125" style="31" customWidth="1"/>
    <col min="257" max="257" width="17.33203125" style="31" customWidth="1"/>
    <col min="258" max="258" width="3.5546875" style="31" customWidth="1"/>
    <col min="259" max="259" width="17.33203125" style="31" customWidth="1"/>
    <col min="260" max="260" width="0.33203125" style="31" customWidth="1"/>
    <col min="261" max="261" width="4.6640625" style="31" customWidth="1"/>
    <col min="262" max="263" width="7.6640625" style="31" customWidth="1"/>
    <col min="264" max="269" width="8.6640625" style="31" customWidth="1"/>
    <col min="270" max="272" width="10.6640625" style="31" customWidth="1"/>
    <col min="273" max="273" width="25.5546875" style="31" customWidth="1"/>
    <col min="274" max="274" width="9.33203125" style="31" customWidth="1"/>
    <col min="275" max="275" width="14.33203125" style="31" customWidth="1"/>
    <col min="276" max="276" width="12.44140625" style="31" customWidth="1"/>
    <col min="277" max="510" width="9.109375" style="31"/>
    <col min="511" max="511" width="2.44140625" style="31" customWidth="1"/>
    <col min="512" max="512" width="15.33203125" style="31" customWidth="1"/>
    <col min="513" max="513" width="17.33203125" style="31" customWidth="1"/>
    <col min="514" max="514" width="3.5546875" style="31" customWidth="1"/>
    <col min="515" max="515" width="17.33203125" style="31" customWidth="1"/>
    <col min="516" max="516" width="0.33203125" style="31" customWidth="1"/>
    <col min="517" max="517" width="4.6640625" style="31" customWidth="1"/>
    <col min="518" max="519" width="7.6640625" style="31" customWidth="1"/>
    <col min="520" max="525" width="8.6640625" style="31" customWidth="1"/>
    <col min="526" max="528" width="10.6640625" style="31" customWidth="1"/>
    <col min="529" max="529" width="25.5546875" style="31" customWidth="1"/>
    <col min="530" max="530" width="9.33203125" style="31" customWidth="1"/>
    <col min="531" max="531" width="14.33203125" style="31" customWidth="1"/>
    <col min="532" max="532" width="12.44140625" style="31" customWidth="1"/>
    <col min="533" max="766" width="9.109375" style="31"/>
    <col min="767" max="767" width="2.44140625" style="31" customWidth="1"/>
    <col min="768" max="768" width="15.33203125" style="31" customWidth="1"/>
    <col min="769" max="769" width="17.33203125" style="31" customWidth="1"/>
    <col min="770" max="770" width="3.5546875" style="31" customWidth="1"/>
    <col min="771" max="771" width="17.33203125" style="31" customWidth="1"/>
    <col min="772" max="772" width="0.33203125" style="31" customWidth="1"/>
    <col min="773" max="773" width="4.6640625" style="31" customWidth="1"/>
    <col min="774" max="775" width="7.6640625" style="31" customWidth="1"/>
    <col min="776" max="781" width="8.6640625" style="31" customWidth="1"/>
    <col min="782" max="784" width="10.6640625" style="31" customWidth="1"/>
    <col min="785" max="785" width="25.5546875" style="31" customWidth="1"/>
    <col min="786" max="786" width="9.33203125" style="31" customWidth="1"/>
    <col min="787" max="787" width="14.33203125" style="31" customWidth="1"/>
    <col min="788" max="788" width="12.44140625" style="31" customWidth="1"/>
    <col min="789" max="1022" width="9.109375" style="31"/>
    <col min="1023" max="1023" width="2.44140625" style="31" customWidth="1"/>
    <col min="1024" max="1024" width="15.33203125" style="31" customWidth="1"/>
    <col min="1025" max="1025" width="17.33203125" style="31" customWidth="1"/>
    <col min="1026" max="1026" width="3.5546875" style="31" customWidth="1"/>
    <col min="1027" max="1027" width="17.33203125" style="31" customWidth="1"/>
    <col min="1028" max="1028" width="0.33203125" style="31" customWidth="1"/>
    <col min="1029" max="1029" width="4.6640625" style="31" customWidth="1"/>
    <col min="1030" max="1031" width="7.6640625" style="31" customWidth="1"/>
    <col min="1032" max="1037" width="8.6640625" style="31" customWidth="1"/>
    <col min="1038" max="1040" width="10.6640625" style="31" customWidth="1"/>
    <col min="1041" max="1041" width="25.5546875" style="31" customWidth="1"/>
    <col min="1042" max="1042" width="9.33203125" style="31" customWidth="1"/>
    <col min="1043" max="1043" width="14.33203125" style="31" customWidth="1"/>
    <col min="1044" max="1044" width="12.44140625" style="31" customWidth="1"/>
    <col min="1045" max="1278" width="9.109375" style="31"/>
    <col min="1279" max="1279" width="2.44140625" style="31" customWidth="1"/>
    <col min="1280" max="1280" width="15.33203125" style="31" customWidth="1"/>
    <col min="1281" max="1281" width="17.33203125" style="31" customWidth="1"/>
    <col min="1282" max="1282" width="3.5546875" style="31" customWidth="1"/>
    <col min="1283" max="1283" width="17.33203125" style="31" customWidth="1"/>
    <col min="1284" max="1284" width="0.33203125" style="31" customWidth="1"/>
    <col min="1285" max="1285" width="4.6640625" style="31" customWidth="1"/>
    <col min="1286" max="1287" width="7.6640625" style="31" customWidth="1"/>
    <col min="1288" max="1293" width="8.6640625" style="31" customWidth="1"/>
    <col min="1294" max="1296" width="10.6640625" style="31" customWidth="1"/>
    <col min="1297" max="1297" width="25.5546875" style="31" customWidth="1"/>
    <col min="1298" max="1298" width="9.33203125" style="31" customWidth="1"/>
    <col min="1299" max="1299" width="14.33203125" style="31" customWidth="1"/>
    <col min="1300" max="1300" width="12.44140625" style="31" customWidth="1"/>
    <col min="1301" max="1534" width="9.109375" style="31"/>
    <col min="1535" max="1535" width="2.44140625" style="31" customWidth="1"/>
    <col min="1536" max="1536" width="15.33203125" style="31" customWidth="1"/>
    <col min="1537" max="1537" width="17.33203125" style="31" customWidth="1"/>
    <col min="1538" max="1538" width="3.5546875" style="31" customWidth="1"/>
    <col min="1539" max="1539" width="17.33203125" style="31" customWidth="1"/>
    <col min="1540" max="1540" width="0.33203125" style="31" customWidth="1"/>
    <col min="1541" max="1541" width="4.6640625" style="31" customWidth="1"/>
    <col min="1542" max="1543" width="7.6640625" style="31" customWidth="1"/>
    <col min="1544" max="1549" width="8.6640625" style="31" customWidth="1"/>
    <col min="1550" max="1552" width="10.6640625" style="31" customWidth="1"/>
    <col min="1553" max="1553" width="25.5546875" style="31" customWidth="1"/>
    <col min="1554" max="1554" width="9.33203125" style="31" customWidth="1"/>
    <col min="1555" max="1555" width="14.33203125" style="31" customWidth="1"/>
    <col min="1556" max="1556" width="12.44140625" style="31" customWidth="1"/>
    <col min="1557" max="1790" width="9.109375" style="31"/>
    <col min="1791" max="1791" width="2.44140625" style="31" customWidth="1"/>
    <col min="1792" max="1792" width="15.33203125" style="31" customWidth="1"/>
    <col min="1793" max="1793" width="17.33203125" style="31" customWidth="1"/>
    <col min="1794" max="1794" width="3.5546875" style="31" customWidth="1"/>
    <col min="1795" max="1795" width="17.33203125" style="31" customWidth="1"/>
    <col min="1796" max="1796" width="0.33203125" style="31" customWidth="1"/>
    <col min="1797" max="1797" width="4.6640625" style="31" customWidth="1"/>
    <col min="1798" max="1799" width="7.6640625" style="31" customWidth="1"/>
    <col min="1800" max="1805" width="8.6640625" style="31" customWidth="1"/>
    <col min="1806" max="1808" width="10.6640625" style="31" customWidth="1"/>
    <col min="1809" max="1809" width="25.5546875" style="31" customWidth="1"/>
    <col min="1810" max="1810" width="9.33203125" style="31" customWidth="1"/>
    <col min="1811" max="1811" width="14.33203125" style="31" customWidth="1"/>
    <col min="1812" max="1812" width="12.44140625" style="31" customWidth="1"/>
    <col min="1813" max="2046" width="9.109375" style="31"/>
    <col min="2047" max="2047" width="2.44140625" style="31" customWidth="1"/>
    <col min="2048" max="2048" width="15.33203125" style="31" customWidth="1"/>
    <col min="2049" max="2049" width="17.33203125" style="31" customWidth="1"/>
    <col min="2050" max="2050" width="3.5546875" style="31" customWidth="1"/>
    <col min="2051" max="2051" width="17.33203125" style="31" customWidth="1"/>
    <col min="2052" max="2052" width="0.33203125" style="31" customWidth="1"/>
    <col min="2053" max="2053" width="4.6640625" style="31" customWidth="1"/>
    <col min="2054" max="2055" width="7.6640625" style="31" customWidth="1"/>
    <col min="2056" max="2061" width="8.6640625" style="31" customWidth="1"/>
    <col min="2062" max="2064" width="10.6640625" style="31" customWidth="1"/>
    <col min="2065" max="2065" width="25.5546875" style="31" customWidth="1"/>
    <col min="2066" max="2066" width="9.33203125" style="31" customWidth="1"/>
    <col min="2067" max="2067" width="14.33203125" style="31" customWidth="1"/>
    <col min="2068" max="2068" width="12.44140625" style="31" customWidth="1"/>
    <col min="2069" max="2302" width="9.109375" style="31"/>
    <col min="2303" max="2303" width="2.44140625" style="31" customWidth="1"/>
    <col min="2304" max="2304" width="15.33203125" style="31" customWidth="1"/>
    <col min="2305" max="2305" width="17.33203125" style="31" customWidth="1"/>
    <col min="2306" max="2306" width="3.5546875" style="31" customWidth="1"/>
    <col min="2307" max="2307" width="17.33203125" style="31" customWidth="1"/>
    <col min="2308" max="2308" width="0.33203125" style="31" customWidth="1"/>
    <col min="2309" max="2309" width="4.6640625" style="31" customWidth="1"/>
    <col min="2310" max="2311" width="7.6640625" style="31" customWidth="1"/>
    <col min="2312" max="2317" width="8.6640625" style="31" customWidth="1"/>
    <col min="2318" max="2320" width="10.6640625" style="31" customWidth="1"/>
    <col min="2321" max="2321" width="25.5546875" style="31" customWidth="1"/>
    <col min="2322" max="2322" width="9.33203125" style="31" customWidth="1"/>
    <col min="2323" max="2323" width="14.33203125" style="31" customWidth="1"/>
    <col min="2324" max="2324" width="12.44140625" style="31" customWidth="1"/>
    <col min="2325" max="2558" width="9.109375" style="31"/>
    <col min="2559" max="2559" width="2.44140625" style="31" customWidth="1"/>
    <col min="2560" max="2560" width="15.33203125" style="31" customWidth="1"/>
    <col min="2561" max="2561" width="17.33203125" style="31" customWidth="1"/>
    <col min="2562" max="2562" width="3.5546875" style="31" customWidth="1"/>
    <col min="2563" max="2563" width="17.33203125" style="31" customWidth="1"/>
    <col min="2564" max="2564" width="0.33203125" style="31" customWidth="1"/>
    <col min="2565" max="2565" width="4.6640625" style="31" customWidth="1"/>
    <col min="2566" max="2567" width="7.6640625" style="31" customWidth="1"/>
    <col min="2568" max="2573" width="8.6640625" style="31" customWidth="1"/>
    <col min="2574" max="2576" width="10.6640625" style="31" customWidth="1"/>
    <col min="2577" max="2577" width="25.5546875" style="31" customWidth="1"/>
    <col min="2578" max="2578" width="9.33203125" style="31" customWidth="1"/>
    <col min="2579" max="2579" width="14.33203125" style="31" customWidth="1"/>
    <col min="2580" max="2580" width="12.44140625" style="31" customWidth="1"/>
    <col min="2581" max="2814" width="9.109375" style="31"/>
    <col min="2815" max="2815" width="2.44140625" style="31" customWidth="1"/>
    <col min="2816" max="2816" width="15.33203125" style="31" customWidth="1"/>
    <col min="2817" max="2817" width="17.33203125" style="31" customWidth="1"/>
    <col min="2818" max="2818" width="3.5546875" style="31" customWidth="1"/>
    <col min="2819" max="2819" width="17.33203125" style="31" customWidth="1"/>
    <col min="2820" max="2820" width="0.33203125" style="31" customWidth="1"/>
    <col min="2821" max="2821" width="4.6640625" style="31" customWidth="1"/>
    <col min="2822" max="2823" width="7.6640625" style="31" customWidth="1"/>
    <col min="2824" max="2829" width="8.6640625" style="31" customWidth="1"/>
    <col min="2830" max="2832" width="10.6640625" style="31" customWidth="1"/>
    <col min="2833" max="2833" width="25.5546875" style="31" customWidth="1"/>
    <col min="2834" max="2834" width="9.33203125" style="31" customWidth="1"/>
    <col min="2835" max="2835" width="14.33203125" style="31" customWidth="1"/>
    <col min="2836" max="2836" width="12.44140625" style="31" customWidth="1"/>
    <col min="2837" max="3070" width="9.109375" style="31"/>
    <col min="3071" max="3071" width="2.44140625" style="31" customWidth="1"/>
    <col min="3072" max="3072" width="15.33203125" style="31" customWidth="1"/>
    <col min="3073" max="3073" width="17.33203125" style="31" customWidth="1"/>
    <col min="3074" max="3074" width="3.5546875" style="31" customWidth="1"/>
    <col min="3075" max="3075" width="17.33203125" style="31" customWidth="1"/>
    <col min="3076" max="3076" width="0.33203125" style="31" customWidth="1"/>
    <col min="3077" max="3077" width="4.6640625" style="31" customWidth="1"/>
    <col min="3078" max="3079" width="7.6640625" style="31" customWidth="1"/>
    <col min="3080" max="3085" width="8.6640625" style="31" customWidth="1"/>
    <col min="3086" max="3088" width="10.6640625" style="31" customWidth="1"/>
    <col min="3089" max="3089" width="25.5546875" style="31" customWidth="1"/>
    <col min="3090" max="3090" width="9.33203125" style="31" customWidth="1"/>
    <col min="3091" max="3091" width="14.33203125" style="31" customWidth="1"/>
    <col min="3092" max="3092" width="12.44140625" style="31" customWidth="1"/>
    <col min="3093" max="3326" width="9.109375" style="31"/>
    <col min="3327" max="3327" width="2.44140625" style="31" customWidth="1"/>
    <col min="3328" max="3328" width="15.33203125" style="31" customWidth="1"/>
    <col min="3329" max="3329" width="17.33203125" style="31" customWidth="1"/>
    <col min="3330" max="3330" width="3.5546875" style="31" customWidth="1"/>
    <col min="3331" max="3331" width="17.33203125" style="31" customWidth="1"/>
    <col min="3332" max="3332" width="0.33203125" style="31" customWidth="1"/>
    <col min="3333" max="3333" width="4.6640625" style="31" customWidth="1"/>
    <col min="3334" max="3335" width="7.6640625" style="31" customWidth="1"/>
    <col min="3336" max="3341" width="8.6640625" style="31" customWidth="1"/>
    <col min="3342" max="3344" width="10.6640625" style="31" customWidth="1"/>
    <col min="3345" max="3345" width="25.5546875" style="31" customWidth="1"/>
    <col min="3346" max="3346" width="9.33203125" style="31" customWidth="1"/>
    <col min="3347" max="3347" width="14.33203125" style="31" customWidth="1"/>
    <col min="3348" max="3348" width="12.44140625" style="31" customWidth="1"/>
    <col min="3349" max="3582" width="9.109375" style="31"/>
    <col min="3583" max="3583" width="2.44140625" style="31" customWidth="1"/>
    <col min="3584" max="3584" width="15.33203125" style="31" customWidth="1"/>
    <col min="3585" max="3585" width="17.33203125" style="31" customWidth="1"/>
    <col min="3586" max="3586" width="3.5546875" style="31" customWidth="1"/>
    <col min="3587" max="3587" width="17.33203125" style="31" customWidth="1"/>
    <col min="3588" max="3588" width="0.33203125" style="31" customWidth="1"/>
    <col min="3589" max="3589" width="4.6640625" style="31" customWidth="1"/>
    <col min="3590" max="3591" width="7.6640625" style="31" customWidth="1"/>
    <col min="3592" max="3597" width="8.6640625" style="31" customWidth="1"/>
    <col min="3598" max="3600" width="10.6640625" style="31" customWidth="1"/>
    <col min="3601" max="3601" width="25.5546875" style="31" customWidth="1"/>
    <col min="3602" max="3602" width="9.33203125" style="31" customWidth="1"/>
    <col min="3603" max="3603" width="14.33203125" style="31" customWidth="1"/>
    <col min="3604" max="3604" width="12.44140625" style="31" customWidth="1"/>
    <col min="3605" max="3838" width="9.109375" style="31"/>
    <col min="3839" max="3839" width="2.44140625" style="31" customWidth="1"/>
    <col min="3840" max="3840" width="15.33203125" style="31" customWidth="1"/>
    <col min="3841" max="3841" width="17.33203125" style="31" customWidth="1"/>
    <col min="3842" max="3842" width="3.5546875" style="31" customWidth="1"/>
    <col min="3843" max="3843" width="17.33203125" style="31" customWidth="1"/>
    <col min="3844" max="3844" width="0.33203125" style="31" customWidth="1"/>
    <col min="3845" max="3845" width="4.6640625" style="31" customWidth="1"/>
    <col min="3846" max="3847" width="7.6640625" style="31" customWidth="1"/>
    <col min="3848" max="3853" width="8.6640625" style="31" customWidth="1"/>
    <col min="3854" max="3856" width="10.6640625" style="31" customWidth="1"/>
    <col min="3857" max="3857" width="25.5546875" style="31" customWidth="1"/>
    <col min="3858" max="3858" width="9.33203125" style="31" customWidth="1"/>
    <col min="3859" max="3859" width="14.33203125" style="31" customWidth="1"/>
    <col min="3860" max="3860" width="12.44140625" style="31" customWidth="1"/>
    <col min="3861" max="4094" width="9.109375" style="31"/>
    <col min="4095" max="4095" width="2.44140625" style="31" customWidth="1"/>
    <col min="4096" max="4096" width="15.33203125" style="31" customWidth="1"/>
    <col min="4097" max="4097" width="17.33203125" style="31" customWidth="1"/>
    <col min="4098" max="4098" width="3.5546875" style="31" customWidth="1"/>
    <col min="4099" max="4099" width="17.33203125" style="31" customWidth="1"/>
    <col min="4100" max="4100" width="0.33203125" style="31" customWidth="1"/>
    <col min="4101" max="4101" width="4.6640625" style="31" customWidth="1"/>
    <col min="4102" max="4103" width="7.6640625" style="31" customWidth="1"/>
    <col min="4104" max="4109" width="8.6640625" style="31" customWidth="1"/>
    <col min="4110" max="4112" width="10.6640625" style="31" customWidth="1"/>
    <col min="4113" max="4113" width="25.5546875" style="31" customWidth="1"/>
    <col min="4114" max="4114" width="9.33203125" style="31" customWidth="1"/>
    <col min="4115" max="4115" width="14.33203125" style="31" customWidth="1"/>
    <col min="4116" max="4116" width="12.44140625" style="31" customWidth="1"/>
    <col min="4117" max="4350" width="9.109375" style="31"/>
    <col min="4351" max="4351" width="2.44140625" style="31" customWidth="1"/>
    <col min="4352" max="4352" width="15.33203125" style="31" customWidth="1"/>
    <col min="4353" max="4353" width="17.33203125" style="31" customWidth="1"/>
    <col min="4354" max="4354" width="3.5546875" style="31" customWidth="1"/>
    <col min="4355" max="4355" width="17.33203125" style="31" customWidth="1"/>
    <col min="4356" max="4356" width="0.33203125" style="31" customWidth="1"/>
    <col min="4357" max="4357" width="4.6640625" style="31" customWidth="1"/>
    <col min="4358" max="4359" width="7.6640625" style="31" customWidth="1"/>
    <col min="4360" max="4365" width="8.6640625" style="31" customWidth="1"/>
    <col min="4366" max="4368" width="10.6640625" style="31" customWidth="1"/>
    <col min="4369" max="4369" width="25.5546875" style="31" customWidth="1"/>
    <col min="4370" max="4370" width="9.33203125" style="31" customWidth="1"/>
    <col min="4371" max="4371" width="14.33203125" style="31" customWidth="1"/>
    <col min="4372" max="4372" width="12.44140625" style="31" customWidth="1"/>
    <col min="4373" max="4606" width="9.109375" style="31"/>
    <col min="4607" max="4607" width="2.44140625" style="31" customWidth="1"/>
    <col min="4608" max="4608" width="15.33203125" style="31" customWidth="1"/>
    <col min="4609" max="4609" width="17.33203125" style="31" customWidth="1"/>
    <col min="4610" max="4610" width="3.5546875" style="31" customWidth="1"/>
    <col min="4611" max="4611" width="17.33203125" style="31" customWidth="1"/>
    <col min="4612" max="4612" width="0.33203125" style="31" customWidth="1"/>
    <col min="4613" max="4613" width="4.6640625" style="31" customWidth="1"/>
    <col min="4614" max="4615" width="7.6640625" style="31" customWidth="1"/>
    <col min="4616" max="4621" width="8.6640625" style="31" customWidth="1"/>
    <col min="4622" max="4624" width="10.6640625" style="31" customWidth="1"/>
    <col min="4625" max="4625" width="25.5546875" style="31" customWidth="1"/>
    <col min="4626" max="4626" width="9.33203125" style="31" customWidth="1"/>
    <col min="4627" max="4627" width="14.33203125" style="31" customWidth="1"/>
    <col min="4628" max="4628" width="12.44140625" style="31" customWidth="1"/>
    <col min="4629" max="4862" width="9.109375" style="31"/>
    <col min="4863" max="4863" width="2.44140625" style="31" customWidth="1"/>
    <col min="4864" max="4864" width="15.33203125" style="31" customWidth="1"/>
    <col min="4865" max="4865" width="17.33203125" style="31" customWidth="1"/>
    <col min="4866" max="4866" width="3.5546875" style="31" customWidth="1"/>
    <col min="4867" max="4867" width="17.33203125" style="31" customWidth="1"/>
    <col min="4868" max="4868" width="0.33203125" style="31" customWidth="1"/>
    <col min="4869" max="4869" width="4.6640625" style="31" customWidth="1"/>
    <col min="4870" max="4871" width="7.6640625" style="31" customWidth="1"/>
    <col min="4872" max="4877" width="8.6640625" style="31" customWidth="1"/>
    <col min="4878" max="4880" width="10.6640625" style="31" customWidth="1"/>
    <col min="4881" max="4881" width="25.5546875" style="31" customWidth="1"/>
    <col min="4882" max="4882" width="9.33203125" style="31" customWidth="1"/>
    <col min="4883" max="4883" width="14.33203125" style="31" customWidth="1"/>
    <col min="4884" max="4884" width="12.44140625" style="31" customWidth="1"/>
    <col min="4885" max="5118" width="9.109375" style="31"/>
    <col min="5119" max="5119" width="2.44140625" style="31" customWidth="1"/>
    <col min="5120" max="5120" width="15.33203125" style="31" customWidth="1"/>
    <col min="5121" max="5121" width="17.33203125" style="31" customWidth="1"/>
    <col min="5122" max="5122" width="3.5546875" style="31" customWidth="1"/>
    <col min="5123" max="5123" width="17.33203125" style="31" customWidth="1"/>
    <col min="5124" max="5124" width="0.33203125" style="31" customWidth="1"/>
    <col min="5125" max="5125" width="4.6640625" style="31" customWidth="1"/>
    <col min="5126" max="5127" width="7.6640625" style="31" customWidth="1"/>
    <col min="5128" max="5133" width="8.6640625" style="31" customWidth="1"/>
    <col min="5134" max="5136" width="10.6640625" style="31" customWidth="1"/>
    <col min="5137" max="5137" width="25.5546875" style="31" customWidth="1"/>
    <col min="5138" max="5138" width="9.33203125" style="31" customWidth="1"/>
    <col min="5139" max="5139" width="14.33203125" style="31" customWidth="1"/>
    <col min="5140" max="5140" width="12.44140625" style="31" customWidth="1"/>
    <col min="5141" max="5374" width="9.109375" style="31"/>
    <col min="5375" max="5375" width="2.44140625" style="31" customWidth="1"/>
    <col min="5376" max="5376" width="15.33203125" style="31" customWidth="1"/>
    <col min="5377" max="5377" width="17.33203125" style="31" customWidth="1"/>
    <col min="5378" max="5378" width="3.5546875" style="31" customWidth="1"/>
    <col min="5379" max="5379" width="17.33203125" style="31" customWidth="1"/>
    <col min="5380" max="5380" width="0.33203125" style="31" customWidth="1"/>
    <col min="5381" max="5381" width="4.6640625" style="31" customWidth="1"/>
    <col min="5382" max="5383" width="7.6640625" style="31" customWidth="1"/>
    <col min="5384" max="5389" width="8.6640625" style="31" customWidth="1"/>
    <col min="5390" max="5392" width="10.6640625" style="31" customWidth="1"/>
    <col min="5393" max="5393" width="25.5546875" style="31" customWidth="1"/>
    <col min="5394" max="5394" width="9.33203125" style="31" customWidth="1"/>
    <col min="5395" max="5395" width="14.33203125" style="31" customWidth="1"/>
    <col min="5396" max="5396" width="12.44140625" style="31" customWidth="1"/>
    <col min="5397" max="5630" width="9.109375" style="31"/>
    <col min="5631" max="5631" width="2.44140625" style="31" customWidth="1"/>
    <col min="5632" max="5632" width="15.33203125" style="31" customWidth="1"/>
    <col min="5633" max="5633" width="17.33203125" style="31" customWidth="1"/>
    <col min="5634" max="5634" width="3.5546875" style="31" customWidth="1"/>
    <col min="5635" max="5635" width="17.33203125" style="31" customWidth="1"/>
    <col min="5636" max="5636" width="0.33203125" style="31" customWidth="1"/>
    <col min="5637" max="5637" width="4.6640625" style="31" customWidth="1"/>
    <col min="5638" max="5639" width="7.6640625" style="31" customWidth="1"/>
    <col min="5640" max="5645" width="8.6640625" style="31" customWidth="1"/>
    <col min="5646" max="5648" width="10.6640625" style="31" customWidth="1"/>
    <col min="5649" max="5649" width="25.5546875" style="31" customWidth="1"/>
    <col min="5650" max="5650" width="9.33203125" style="31" customWidth="1"/>
    <col min="5651" max="5651" width="14.33203125" style="31" customWidth="1"/>
    <col min="5652" max="5652" width="12.44140625" style="31" customWidth="1"/>
    <col min="5653" max="5886" width="9.109375" style="31"/>
    <col min="5887" max="5887" width="2.44140625" style="31" customWidth="1"/>
    <col min="5888" max="5888" width="15.33203125" style="31" customWidth="1"/>
    <col min="5889" max="5889" width="17.33203125" style="31" customWidth="1"/>
    <col min="5890" max="5890" width="3.5546875" style="31" customWidth="1"/>
    <col min="5891" max="5891" width="17.33203125" style="31" customWidth="1"/>
    <col min="5892" max="5892" width="0.33203125" style="31" customWidth="1"/>
    <col min="5893" max="5893" width="4.6640625" style="31" customWidth="1"/>
    <col min="5894" max="5895" width="7.6640625" style="31" customWidth="1"/>
    <col min="5896" max="5901" width="8.6640625" style="31" customWidth="1"/>
    <col min="5902" max="5904" width="10.6640625" style="31" customWidth="1"/>
    <col min="5905" max="5905" width="25.5546875" style="31" customWidth="1"/>
    <col min="5906" max="5906" width="9.33203125" style="31" customWidth="1"/>
    <col min="5907" max="5907" width="14.33203125" style="31" customWidth="1"/>
    <col min="5908" max="5908" width="12.44140625" style="31" customWidth="1"/>
    <col min="5909" max="6142" width="9.109375" style="31"/>
    <col min="6143" max="6143" width="2.44140625" style="31" customWidth="1"/>
    <col min="6144" max="6144" width="15.33203125" style="31" customWidth="1"/>
    <col min="6145" max="6145" width="17.33203125" style="31" customWidth="1"/>
    <col min="6146" max="6146" width="3.5546875" style="31" customWidth="1"/>
    <col min="6147" max="6147" width="17.33203125" style="31" customWidth="1"/>
    <col min="6148" max="6148" width="0.33203125" style="31" customWidth="1"/>
    <col min="6149" max="6149" width="4.6640625" style="31" customWidth="1"/>
    <col min="6150" max="6151" width="7.6640625" style="31" customWidth="1"/>
    <col min="6152" max="6157" width="8.6640625" style="31" customWidth="1"/>
    <col min="6158" max="6160" width="10.6640625" style="31" customWidth="1"/>
    <col min="6161" max="6161" width="25.5546875" style="31" customWidth="1"/>
    <col min="6162" max="6162" width="9.33203125" style="31" customWidth="1"/>
    <col min="6163" max="6163" width="14.33203125" style="31" customWidth="1"/>
    <col min="6164" max="6164" width="12.44140625" style="31" customWidth="1"/>
    <col min="6165" max="6398" width="9.109375" style="31"/>
    <col min="6399" max="6399" width="2.44140625" style="31" customWidth="1"/>
    <col min="6400" max="6400" width="15.33203125" style="31" customWidth="1"/>
    <col min="6401" max="6401" width="17.33203125" style="31" customWidth="1"/>
    <col min="6402" max="6402" width="3.5546875" style="31" customWidth="1"/>
    <col min="6403" max="6403" width="17.33203125" style="31" customWidth="1"/>
    <col min="6404" max="6404" width="0.33203125" style="31" customWidth="1"/>
    <col min="6405" max="6405" width="4.6640625" style="31" customWidth="1"/>
    <col min="6406" max="6407" width="7.6640625" style="31" customWidth="1"/>
    <col min="6408" max="6413" width="8.6640625" style="31" customWidth="1"/>
    <col min="6414" max="6416" width="10.6640625" style="31" customWidth="1"/>
    <col min="6417" max="6417" width="25.5546875" style="31" customWidth="1"/>
    <col min="6418" max="6418" width="9.33203125" style="31" customWidth="1"/>
    <col min="6419" max="6419" width="14.33203125" style="31" customWidth="1"/>
    <col min="6420" max="6420" width="12.44140625" style="31" customWidth="1"/>
    <col min="6421" max="6654" width="9.109375" style="31"/>
    <col min="6655" max="6655" width="2.44140625" style="31" customWidth="1"/>
    <col min="6656" max="6656" width="15.33203125" style="31" customWidth="1"/>
    <col min="6657" max="6657" width="17.33203125" style="31" customWidth="1"/>
    <col min="6658" max="6658" width="3.5546875" style="31" customWidth="1"/>
    <col min="6659" max="6659" width="17.33203125" style="31" customWidth="1"/>
    <col min="6660" max="6660" width="0.33203125" style="31" customWidth="1"/>
    <col min="6661" max="6661" width="4.6640625" style="31" customWidth="1"/>
    <col min="6662" max="6663" width="7.6640625" style="31" customWidth="1"/>
    <col min="6664" max="6669" width="8.6640625" style="31" customWidth="1"/>
    <col min="6670" max="6672" width="10.6640625" style="31" customWidth="1"/>
    <col min="6673" max="6673" width="25.5546875" style="31" customWidth="1"/>
    <col min="6674" max="6674" width="9.33203125" style="31" customWidth="1"/>
    <col min="6675" max="6675" width="14.33203125" style="31" customWidth="1"/>
    <col min="6676" max="6676" width="12.44140625" style="31" customWidth="1"/>
    <col min="6677" max="6910" width="9.109375" style="31"/>
    <col min="6911" max="6911" width="2.44140625" style="31" customWidth="1"/>
    <col min="6912" max="6912" width="15.33203125" style="31" customWidth="1"/>
    <col min="6913" max="6913" width="17.33203125" style="31" customWidth="1"/>
    <col min="6914" max="6914" width="3.5546875" style="31" customWidth="1"/>
    <col min="6915" max="6915" width="17.33203125" style="31" customWidth="1"/>
    <col min="6916" max="6916" width="0.33203125" style="31" customWidth="1"/>
    <col min="6917" max="6917" width="4.6640625" style="31" customWidth="1"/>
    <col min="6918" max="6919" width="7.6640625" style="31" customWidth="1"/>
    <col min="6920" max="6925" width="8.6640625" style="31" customWidth="1"/>
    <col min="6926" max="6928" width="10.6640625" style="31" customWidth="1"/>
    <col min="6929" max="6929" width="25.5546875" style="31" customWidth="1"/>
    <col min="6930" max="6930" width="9.33203125" style="31" customWidth="1"/>
    <col min="6931" max="6931" width="14.33203125" style="31" customWidth="1"/>
    <col min="6932" max="6932" width="12.44140625" style="31" customWidth="1"/>
    <col min="6933" max="7166" width="9.109375" style="31"/>
    <col min="7167" max="7167" width="2.44140625" style="31" customWidth="1"/>
    <col min="7168" max="7168" width="15.33203125" style="31" customWidth="1"/>
    <col min="7169" max="7169" width="17.33203125" style="31" customWidth="1"/>
    <col min="7170" max="7170" width="3.5546875" style="31" customWidth="1"/>
    <col min="7171" max="7171" width="17.33203125" style="31" customWidth="1"/>
    <col min="7172" max="7172" width="0.33203125" style="31" customWidth="1"/>
    <col min="7173" max="7173" width="4.6640625" style="31" customWidth="1"/>
    <col min="7174" max="7175" width="7.6640625" style="31" customWidth="1"/>
    <col min="7176" max="7181" width="8.6640625" style="31" customWidth="1"/>
    <col min="7182" max="7184" width="10.6640625" style="31" customWidth="1"/>
    <col min="7185" max="7185" width="25.5546875" style="31" customWidth="1"/>
    <col min="7186" max="7186" width="9.33203125" style="31" customWidth="1"/>
    <col min="7187" max="7187" width="14.33203125" style="31" customWidth="1"/>
    <col min="7188" max="7188" width="12.44140625" style="31" customWidth="1"/>
    <col min="7189" max="7422" width="9.109375" style="31"/>
    <col min="7423" max="7423" width="2.44140625" style="31" customWidth="1"/>
    <col min="7424" max="7424" width="15.33203125" style="31" customWidth="1"/>
    <col min="7425" max="7425" width="17.33203125" style="31" customWidth="1"/>
    <col min="7426" max="7426" width="3.5546875" style="31" customWidth="1"/>
    <col min="7427" max="7427" width="17.33203125" style="31" customWidth="1"/>
    <col min="7428" max="7428" width="0.33203125" style="31" customWidth="1"/>
    <col min="7429" max="7429" width="4.6640625" style="31" customWidth="1"/>
    <col min="7430" max="7431" width="7.6640625" style="31" customWidth="1"/>
    <col min="7432" max="7437" width="8.6640625" style="31" customWidth="1"/>
    <col min="7438" max="7440" width="10.6640625" style="31" customWidth="1"/>
    <col min="7441" max="7441" width="25.5546875" style="31" customWidth="1"/>
    <col min="7442" max="7442" width="9.33203125" style="31" customWidth="1"/>
    <col min="7443" max="7443" width="14.33203125" style="31" customWidth="1"/>
    <col min="7444" max="7444" width="12.44140625" style="31" customWidth="1"/>
    <col min="7445" max="7678" width="9.109375" style="31"/>
    <col min="7679" max="7679" width="2.44140625" style="31" customWidth="1"/>
    <col min="7680" max="7680" width="15.33203125" style="31" customWidth="1"/>
    <col min="7681" max="7681" width="17.33203125" style="31" customWidth="1"/>
    <col min="7682" max="7682" width="3.5546875" style="31" customWidth="1"/>
    <col min="7683" max="7683" width="17.33203125" style="31" customWidth="1"/>
    <col min="7684" max="7684" width="0.33203125" style="31" customWidth="1"/>
    <col min="7685" max="7685" width="4.6640625" style="31" customWidth="1"/>
    <col min="7686" max="7687" width="7.6640625" style="31" customWidth="1"/>
    <col min="7688" max="7693" width="8.6640625" style="31" customWidth="1"/>
    <col min="7694" max="7696" width="10.6640625" style="31" customWidth="1"/>
    <col min="7697" max="7697" width="25.5546875" style="31" customWidth="1"/>
    <col min="7698" max="7698" width="9.33203125" style="31" customWidth="1"/>
    <col min="7699" max="7699" width="14.33203125" style="31" customWidth="1"/>
    <col min="7700" max="7700" width="12.44140625" style="31" customWidth="1"/>
    <col min="7701" max="7934" width="9.109375" style="31"/>
    <col min="7935" max="7935" width="2.44140625" style="31" customWidth="1"/>
    <col min="7936" max="7936" width="15.33203125" style="31" customWidth="1"/>
    <col min="7937" max="7937" width="17.33203125" style="31" customWidth="1"/>
    <col min="7938" max="7938" width="3.5546875" style="31" customWidth="1"/>
    <col min="7939" max="7939" width="17.33203125" style="31" customWidth="1"/>
    <col min="7940" max="7940" width="0.33203125" style="31" customWidth="1"/>
    <col min="7941" max="7941" width="4.6640625" style="31" customWidth="1"/>
    <col min="7942" max="7943" width="7.6640625" style="31" customWidth="1"/>
    <col min="7944" max="7949" width="8.6640625" style="31" customWidth="1"/>
    <col min="7950" max="7952" width="10.6640625" style="31" customWidth="1"/>
    <col min="7953" max="7953" width="25.5546875" style="31" customWidth="1"/>
    <col min="7954" max="7954" width="9.33203125" style="31" customWidth="1"/>
    <col min="7955" max="7955" width="14.33203125" style="31" customWidth="1"/>
    <col min="7956" max="7956" width="12.44140625" style="31" customWidth="1"/>
    <col min="7957" max="8190" width="9.109375" style="31"/>
    <col min="8191" max="8191" width="2.44140625" style="31" customWidth="1"/>
    <col min="8192" max="8192" width="15.33203125" style="31" customWidth="1"/>
    <col min="8193" max="8193" width="17.33203125" style="31" customWidth="1"/>
    <col min="8194" max="8194" width="3.5546875" style="31" customWidth="1"/>
    <col min="8195" max="8195" width="17.33203125" style="31" customWidth="1"/>
    <col min="8196" max="8196" width="0.33203125" style="31" customWidth="1"/>
    <col min="8197" max="8197" width="4.6640625" style="31" customWidth="1"/>
    <col min="8198" max="8199" width="7.6640625" style="31" customWidth="1"/>
    <col min="8200" max="8205" width="8.6640625" style="31" customWidth="1"/>
    <col min="8206" max="8208" width="10.6640625" style="31" customWidth="1"/>
    <col min="8209" max="8209" width="25.5546875" style="31" customWidth="1"/>
    <col min="8210" max="8210" width="9.33203125" style="31" customWidth="1"/>
    <col min="8211" max="8211" width="14.33203125" style="31" customWidth="1"/>
    <col min="8212" max="8212" width="12.44140625" style="31" customWidth="1"/>
    <col min="8213" max="8446" width="9.109375" style="31"/>
    <col min="8447" max="8447" width="2.44140625" style="31" customWidth="1"/>
    <col min="8448" max="8448" width="15.33203125" style="31" customWidth="1"/>
    <col min="8449" max="8449" width="17.33203125" style="31" customWidth="1"/>
    <col min="8450" max="8450" width="3.5546875" style="31" customWidth="1"/>
    <col min="8451" max="8451" width="17.33203125" style="31" customWidth="1"/>
    <col min="8452" max="8452" width="0.33203125" style="31" customWidth="1"/>
    <col min="8453" max="8453" width="4.6640625" style="31" customWidth="1"/>
    <col min="8454" max="8455" width="7.6640625" style="31" customWidth="1"/>
    <col min="8456" max="8461" width="8.6640625" style="31" customWidth="1"/>
    <col min="8462" max="8464" width="10.6640625" style="31" customWidth="1"/>
    <col min="8465" max="8465" width="25.5546875" style="31" customWidth="1"/>
    <col min="8466" max="8466" width="9.33203125" style="31" customWidth="1"/>
    <col min="8467" max="8467" width="14.33203125" style="31" customWidth="1"/>
    <col min="8468" max="8468" width="12.44140625" style="31" customWidth="1"/>
    <col min="8469" max="8702" width="9.109375" style="31"/>
    <col min="8703" max="8703" width="2.44140625" style="31" customWidth="1"/>
    <col min="8704" max="8704" width="15.33203125" style="31" customWidth="1"/>
    <col min="8705" max="8705" width="17.33203125" style="31" customWidth="1"/>
    <col min="8706" max="8706" width="3.5546875" style="31" customWidth="1"/>
    <col min="8707" max="8707" width="17.33203125" style="31" customWidth="1"/>
    <col min="8708" max="8708" width="0.33203125" style="31" customWidth="1"/>
    <col min="8709" max="8709" width="4.6640625" style="31" customWidth="1"/>
    <col min="8710" max="8711" width="7.6640625" style="31" customWidth="1"/>
    <col min="8712" max="8717" width="8.6640625" style="31" customWidth="1"/>
    <col min="8718" max="8720" width="10.6640625" style="31" customWidth="1"/>
    <col min="8721" max="8721" width="25.5546875" style="31" customWidth="1"/>
    <col min="8722" max="8722" width="9.33203125" style="31" customWidth="1"/>
    <col min="8723" max="8723" width="14.33203125" style="31" customWidth="1"/>
    <col min="8724" max="8724" width="12.44140625" style="31" customWidth="1"/>
    <col min="8725" max="8958" width="9.109375" style="31"/>
    <col min="8959" max="8959" width="2.44140625" style="31" customWidth="1"/>
    <col min="8960" max="8960" width="15.33203125" style="31" customWidth="1"/>
    <col min="8961" max="8961" width="17.33203125" style="31" customWidth="1"/>
    <col min="8962" max="8962" width="3.5546875" style="31" customWidth="1"/>
    <col min="8963" max="8963" width="17.33203125" style="31" customWidth="1"/>
    <col min="8964" max="8964" width="0.33203125" style="31" customWidth="1"/>
    <col min="8965" max="8965" width="4.6640625" style="31" customWidth="1"/>
    <col min="8966" max="8967" width="7.6640625" style="31" customWidth="1"/>
    <col min="8968" max="8973" width="8.6640625" style="31" customWidth="1"/>
    <col min="8974" max="8976" width="10.6640625" style="31" customWidth="1"/>
    <col min="8977" max="8977" width="25.5546875" style="31" customWidth="1"/>
    <col min="8978" max="8978" width="9.33203125" style="31" customWidth="1"/>
    <col min="8979" max="8979" width="14.33203125" style="31" customWidth="1"/>
    <col min="8980" max="8980" width="12.44140625" style="31" customWidth="1"/>
    <col min="8981" max="9214" width="9.109375" style="31"/>
    <col min="9215" max="9215" width="2.44140625" style="31" customWidth="1"/>
    <col min="9216" max="9216" width="15.33203125" style="31" customWidth="1"/>
    <col min="9217" max="9217" width="17.33203125" style="31" customWidth="1"/>
    <col min="9218" max="9218" width="3.5546875" style="31" customWidth="1"/>
    <col min="9219" max="9219" width="17.33203125" style="31" customWidth="1"/>
    <col min="9220" max="9220" width="0.33203125" style="31" customWidth="1"/>
    <col min="9221" max="9221" width="4.6640625" style="31" customWidth="1"/>
    <col min="9222" max="9223" width="7.6640625" style="31" customWidth="1"/>
    <col min="9224" max="9229" width="8.6640625" style="31" customWidth="1"/>
    <col min="9230" max="9232" width="10.6640625" style="31" customWidth="1"/>
    <col min="9233" max="9233" width="25.5546875" style="31" customWidth="1"/>
    <col min="9234" max="9234" width="9.33203125" style="31" customWidth="1"/>
    <col min="9235" max="9235" width="14.33203125" style="31" customWidth="1"/>
    <col min="9236" max="9236" width="12.44140625" style="31" customWidth="1"/>
    <col min="9237" max="9470" width="9.109375" style="31"/>
    <col min="9471" max="9471" width="2.44140625" style="31" customWidth="1"/>
    <col min="9472" max="9472" width="15.33203125" style="31" customWidth="1"/>
    <col min="9473" max="9473" width="17.33203125" style="31" customWidth="1"/>
    <col min="9474" max="9474" width="3.5546875" style="31" customWidth="1"/>
    <col min="9475" max="9475" width="17.33203125" style="31" customWidth="1"/>
    <col min="9476" max="9476" width="0.33203125" style="31" customWidth="1"/>
    <col min="9477" max="9477" width="4.6640625" style="31" customWidth="1"/>
    <col min="9478" max="9479" width="7.6640625" style="31" customWidth="1"/>
    <col min="9480" max="9485" width="8.6640625" style="31" customWidth="1"/>
    <col min="9486" max="9488" width="10.6640625" style="31" customWidth="1"/>
    <col min="9489" max="9489" width="25.5546875" style="31" customWidth="1"/>
    <col min="9490" max="9490" width="9.33203125" style="31" customWidth="1"/>
    <col min="9491" max="9491" width="14.33203125" style="31" customWidth="1"/>
    <col min="9492" max="9492" width="12.44140625" style="31" customWidth="1"/>
    <col min="9493" max="9726" width="9.109375" style="31"/>
    <col min="9727" max="9727" width="2.44140625" style="31" customWidth="1"/>
    <col min="9728" max="9728" width="15.33203125" style="31" customWidth="1"/>
    <col min="9729" max="9729" width="17.33203125" style="31" customWidth="1"/>
    <col min="9730" max="9730" width="3.5546875" style="31" customWidth="1"/>
    <col min="9731" max="9731" width="17.33203125" style="31" customWidth="1"/>
    <col min="9732" max="9732" width="0.33203125" style="31" customWidth="1"/>
    <col min="9733" max="9733" width="4.6640625" style="31" customWidth="1"/>
    <col min="9734" max="9735" width="7.6640625" style="31" customWidth="1"/>
    <col min="9736" max="9741" width="8.6640625" style="31" customWidth="1"/>
    <col min="9742" max="9744" width="10.6640625" style="31" customWidth="1"/>
    <col min="9745" max="9745" width="25.5546875" style="31" customWidth="1"/>
    <col min="9746" max="9746" width="9.33203125" style="31" customWidth="1"/>
    <col min="9747" max="9747" width="14.33203125" style="31" customWidth="1"/>
    <col min="9748" max="9748" width="12.44140625" style="31" customWidth="1"/>
    <col min="9749" max="9982" width="9.109375" style="31"/>
    <col min="9983" max="9983" width="2.44140625" style="31" customWidth="1"/>
    <col min="9984" max="9984" width="15.33203125" style="31" customWidth="1"/>
    <col min="9985" max="9985" width="17.33203125" style="31" customWidth="1"/>
    <col min="9986" max="9986" width="3.5546875" style="31" customWidth="1"/>
    <col min="9987" max="9987" width="17.33203125" style="31" customWidth="1"/>
    <col min="9988" max="9988" width="0.33203125" style="31" customWidth="1"/>
    <col min="9989" max="9989" width="4.6640625" style="31" customWidth="1"/>
    <col min="9990" max="9991" width="7.6640625" style="31" customWidth="1"/>
    <col min="9992" max="9997" width="8.6640625" style="31" customWidth="1"/>
    <col min="9998" max="10000" width="10.6640625" style="31" customWidth="1"/>
    <col min="10001" max="10001" width="25.5546875" style="31" customWidth="1"/>
    <col min="10002" max="10002" width="9.33203125" style="31" customWidth="1"/>
    <col min="10003" max="10003" width="14.33203125" style="31" customWidth="1"/>
    <col min="10004" max="10004" width="12.44140625" style="31" customWidth="1"/>
    <col min="10005" max="10238" width="9.109375" style="31"/>
    <col min="10239" max="10239" width="2.44140625" style="31" customWidth="1"/>
    <col min="10240" max="10240" width="15.33203125" style="31" customWidth="1"/>
    <col min="10241" max="10241" width="17.33203125" style="31" customWidth="1"/>
    <col min="10242" max="10242" width="3.5546875" style="31" customWidth="1"/>
    <col min="10243" max="10243" width="17.33203125" style="31" customWidth="1"/>
    <col min="10244" max="10244" width="0.33203125" style="31" customWidth="1"/>
    <col min="10245" max="10245" width="4.6640625" style="31" customWidth="1"/>
    <col min="10246" max="10247" width="7.6640625" style="31" customWidth="1"/>
    <col min="10248" max="10253" width="8.6640625" style="31" customWidth="1"/>
    <col min="10254" max="10256" width="10.6640625" style="31" customWidth="1"/>
    <col min="10257" max="10257" width="25.5546875" style="31" customWidth="1"/>
    <col min="10258" max="10258" width="9.33203125" style="31" customWidth="1"/>
    <col min="10259" max="10259" width="14.33203125" style="31" customWidth="1"/>
    <col min="10260" max="10260" width="12.44140625" style="31" customWidth="1"/>
    <col min="10261" max="10494" width="9.109375" style="31"/>
    <col min="10495" max="10495" width="2.44140625" style="31" customWidth="1"/>
    <col min="10496" max="10496" width="15.33203125" style="31" customWidth="1"/>
    <col min="10497" max="10497" width="17.33203125" style="31" customWidth="1"/>
    <col min="10498" max="10498" width="3.5546875" style="31" customWidth="1"/>
    <col min="10499" max="10499" width="17.33203125" style="31" customWidth="1"/>
    <col min="10500" max="10500" width="0.33203125" style="31" customWidth="1"/>
    <col min="10501" max="10501" width="4.6640625" style="31" customWidth="1"/>
    <col min="10502" max="10503" width="7.6640625" style="31" customWidth="1"/>
    <col min="10504" max="10509" width="8.6640625" style="31" customWidth="1"/>
    <col min="10510" max="10512" width="10.6640625" style="31" customWidth="1"/>
    <col min="10513" max="10513" width="25.5546875" style="31" customWidth="1"/>
    <col min="10514" max="10514" width="9.33203125" style="31" customWidth="1"/>
    <col min="10515" max="10515" width="14.33203125" style="31" customWidth="1"/>
    <col min="10516" max="10516" width="12.44140625" style="31" customWidth="1"/>
    <col min="10517" max="10750" width="9.109375" style="31"/>
    <col min="10751" max="10751" width="2.44140625" style="31" customWidth="1"/>
    <col min="10752" max="10752" width="15.33203125" style="31" customWidth="1"/>
    <col min="10753" max="10753" width="17.33203125" style="31" customWidth="1"/>
    <col min="10754" max="10754" width="3.5546875" style="31" customWidth="1"/>
    <col min="10755" max="10755" width="17.33203125" style="31" customWidth="1"/>
    <col min="10756" max="10756" width="0.33203125" style="31" customWidth="1"/>
    <col min="10757" max="10757" width="4.6640625" style="31" customWidth="1"/>
    <col min="10758" max="10759" width="7.6640625" style="31" customWidth="1"/>
    <col min="10760" max="10765" width="8.6640625" style="31" customWidth="1"/>
    <col min="10766" max="10768" width="10.6640625" style="31" customWidth="1"/>
    <col min="10769" max="10769" width="25.5546875" style="31" customWidth="1"/>
    <col min="10770" max="10770" width="9.33203125" style="31" customWidth="1"/>
    <col min="10771" max="10771" width="14.33203125" style="31" customWidth="1"/>
    <col min="10772" max="10772" width="12.44140625" style="31" customWidth="1"/>
    <col min="10773" max="11006" width="9.109375" style="31"/>
    <col min="11007" max="11007" width="2.44140625" style="31" customWidth="1"/>
    <col min="11008" max="11008" width="15.33203125" style="31" customWidth="1"/>
    <col min="11009" max="11009" width="17.33203125" style="31" customWidth="1"/>
    <col min="11010" max="11010" width="3.5546875" style="31" customWidth="1"/>
    <col min="11011" max="11011" width="17.33203125" style="31" customWidth="1"/>
    <col min="11012" max="11012" width="0.33203125" style="31" customWidth="1"/>
    <col min="11013" max="11013" width="4.6640625" style="31" customWidth="1"/>
    <col min="11014" max="11015" width="7.6640625" style="31" customWidth="1"/>
    <col min="11016" max="11021" width="8.6640625" style="31" customWidth="1"/>
    <col min="11022" max="11024" width="10.6640625" style="31" customWidth="1"/>
    <col min="11025" max="11025" width="25.5546875" style="31" customWidth="1"/>
    <col min="11026" max="11026" width="9.33203125" style="31" customWidth="1"/>
    <col min="11027" max="11027" width="14.33203125" style="31" customWidth="1"/>
    <col min="11028" max="11028" width="12.44140625" style="31" customWidth="1"/>
    <col min="11029" max="11262" width="9.109375" style="31"/>
    <col min="11263" max="11263" width="2.44140625" style="31" customWidth="1"/>
    <col min="11264" max="11264" width="15.33203125" style="31" customWidth="1"/>
    <col min="11265" max="11265" width="17.33203125" style="31" customWidth="1"/>
    <col min="11266" max="11266" width="3.5546875" style="31" customWidth="1"/>
    <col min="11267" max="11267" width="17.33203125" style="31" customWidth="1"/>
    <col min="11268" max="11268" width="0.33203125" style="31" customWidth="1"/>
    <col min="11269" max="11269" width="4.6640625" style="31" customWidth="1"/>
    <col min="11270" max="11271" width="7.6640625" style="31" customWidth="1"/>
    <col min="11272" max="11277" width="8.6640625" style="31" customWidth="1"/>
    <col min="11278" max="11280" width="10.6640625" style="31" customWidth="1"/>
    <col min="11281" max="11281" width="25.5546875" style="31" customWidth="1"/>
    <col min="11282" max="11282" width="9.33203125" style="31" customWidth="1"/>
    <col min="11283" max="11283" width="14.33203125" style="31" customWidth="1"/>
    <col min="11284" max="11284" width="12.44140625" style="31" customWidth="1"/>
    <col min="11285" max="11518" width="9.109375" style="31"/>
    <col min="11519" max="11519" width="2.44140625" style="31" customWidth="1"/>
    <col min="11520" max="11520" width="15.33203125" style="31" customWidth="1"/>
    <col min="11521" max="11521" width="17.33203125" style="31" customWidth="1"/>
    <col min="11522" max="11522" width="3.5546875" style="31" customWidth="1"/>
    <col min="11523" max="11523" width="17.33203125" style="31" customWidth="1"/>
    <col min="11524" max="11524" width="0.33203125" style="31" customWidth="1"/>
    <col min="11525" max="11525" width="4.6640625" style="31" customWidth="1"/>
    <col min="11526" max="11527" width="7.6640625" style="31" customWidth="1"/>
    <col min="11528" max="11533" width="8.6640625" style="31" customWidth="1"/>
    <col min="11534" max="11536" width="10.6640625" style="31" customWidth="1"/>
    <col min="11537" max="11537" width="25.5546875" style="31" customWidth="1"/>
    <col min="11538" max="11538" width="9.33203125" style="31" customWidth="1"/>
    <col min="11539" max="11539" width="14.33203125" style="31" customWidth="1"/>
    <col min="11540" max="11540" width="12.44140625" style="31" customWidth="1"/>
    <col min="11541" max="11774" width="9.109375" style="31"/>
    <col min="11775" max="11775" width="2.44140625" style="31" customWidth="1"/>
    <col min="11776" max="11776" width="15.33203125" style="31" customWidth="1"/>
    <col min="11777" max="11777" width="17.33203125" style="31" customWidth="1"/>
    <col min="11778" max="11778" width="3.5546875" style="31" customWidth="1"/>
    <col min="11779" max="11779" width="17.33203125" style="31" customWidth="1"/>
    <col min="11780" max="11780" width="0.33203125" style="31" customWidth="1"/>
    <col min="11781" max="11781" width="4.6640625" style="31" customWidth="1"/>
    <col min="11782" max="11783" width="7.6640625" style="31" customWidth="1"/>
    <col min="11784" max="11789" width="8.6640625" style="31" customWidth="1"/>
    <col min="11790" max="11792" width="10.6640625" style="31" customWidth="1"/>
    <col min="11793" max="11793" width="25.5546875" style="31" customWidth="1"/>
    <col min="11794" max="11794" width="9.33203125" style="31" customWidth="1"/>
    <col min="11795" max="11795" width="14.33203125" style="31" customWidth="1"/>
    <col min="11796" max="11796" width="12.44140625" style="31" customWidth="1"/>
    <col min="11797" max="12030" width="9.109375" style="31"/>
    <col min="12031" max="12031" width="2.44140625" style="31" customWidth="1"/>
    <col min="12032" max="12032" width="15.33203125" style="31" customWidth="1"/>
    <col min="12033" max="12033" width="17.33203125" style="31" customWidth="1"/>
    <col min="12034" max="12034" width="3.5546875" style="31" customWidth="1"/>
    <col min="12035" max="12035" width="17.33203125" style="31" customWidth="1"/>
    <col min="12036" max="12036" width="0.33203125" style="31" customWidth="1"/>
    <col min="12037" max="12037" width="4.6640625" style="31" customWidth="1"/>
    <col min="12038" max="12039" width="7.6640625" style="31" customWidth="1"/>
    <col min="12040" max="12045" width="8.6640625" style="31" customWidth="1"/>
    <col min="12046" max="12048" width="10.6640625" style="31" customWidth="1"/>
    <col min="12049" max="12049" width="25.5546875" style="31" customWidth="1"/>
    <col min="12050" max="12050" width="9.33203125" style="31" customWidth="1"/>
    <col min="12051" max="12051" width="14.33203125" style="31" customWidth="1"/>
    <col min="12052" max="12052" width="12.44140625" style="31" customWidth="1"/>
    <col min="12053" max="12286" width="9.109375" style="31"/>
    <col min="12287" max="12287" width="2.44140625" style="31" customWidth="1"/>
    <col min="12288" max="12288" width="15.33203125" style="31" customWidth="1"/>
    <col min="12289" max="12289" width="17.33203125" style="31" customWidth="1"/>
    <col min="12290" max="12290" width="3.5546875" style="31" customWidth="1"/>
    <col min="12291" max="12291" width="17.33203125" style="31" customWidth="1"/>
    <col min="12292" max="12292" width="0.33203125" style="31" customWidth="1"/>
    <col min="12293" max="12293" width="4.6640625" style="31" customWidth="1"/>
    <col min="12294" max="12295" width="7.6640625" style="31" customWidth="1"/>
    <col min="12296" max="12301" width="8.6640625" style="31" customWidth="1"/>
    <col min="12302" max="12304" width="10.6640625" style="31" customWidth="1"/>
    <col min="12305" max="12305" width="25.5546875" style="31" customWidth="1"/>
    <col min="12306" max="12306" width="9.33203125" style="31" customWidth="1"/>
    <col min="12307" max="12307" width="14.33203125" style="31" customWidth="1"/>
    <col min="12308" max="12308" width="12.44140625" style="31" customWidth="1"/>
    <col min="12309" max="12542" width="9.109375" style="31"/>
    <col min="12543" max="12543" width="2.44140625" style="31" customWidth="1"/>
    <col min="12544" max="12544" width="15.33203125" style="31" customWidth="1"/>
    <col min="12545" max="12545" width="17.33203125" style="31" customWidth="1"/>
    <col min="12546" max="12546" width="3.5546875" style="31" customWidth="1"/>
    <col min="12547" max="12547" width="17.33203125" style="31" customWidth="1"/>
    <col min="12548" max="12548" width="0.33203125" style="31" customWidth="1"/>
    <col min="12549" max="12549" width="4.6640625" style="31" customWidth="1"/>
    <col min="12550" max="12551" width="7.6640625" style="31" customWidth="1"/>
    <col min="12552" max="12557" width="8.6640625" style="31" customWidth="1"/>
    <col min="12558" max="12560" width="10.6640625" style="31" customWidth="1"/>
    <col min="12561" max="12561" width="25.5546875" style="31" customWidth="1"/>
    <col min="12562" max="12562" width="9.33203125" style="31" customWidth="1"/>
    <col min="12563" max="12563" width="14.33203125" style="31" customWidth="1"/>
    <col min="12564" max="12564" width="12.44140625" style="31" customWidth="1"/>
    <col min="12565" max="12798" width="9.109375" style="31"/>
    <col min="12799" max="12799" width="2.44140625" style="31" customWidth="1"/>
    <col min="12800" max="12800" width="15.33203125" style="31" customWidth="1"/>
    <col min="12801" max="12801" width="17.33203125" style="31" customWidth="1"/>
    <col min="12802" max="12802" width="3.5546875" style="31" customWidth="1"/>
    <col min="12803" max="12803" width="17.33203125" style="31" customWidth="1"/>
    <col min="12804" max="12804" width="0.33203125" style="31" customWidth="1"/>
    <col min="12805" max="12805" width="4.6640625" style="31" customWidth="1"/>
    <col min="12806" max="12807" width="7.6640625" style="31" customWidth="1"/>
    <col min="12808" max="12813" width="8.6640625" style="31" customWidth="1"/>
    <col min="12814" max="12816" width="10.6640625" style="31" customWidth="1"/>
    <col min="12817" max="12817" width="25.5546875" style="31" customWidth="1"/>
    <col min="12818" max="12818" width="9.33203125" style="31" customWidth="1"/>
    <col min="12819" max="12819" width="14.33203125" style="31" customWidth="1"/>
    <col min="12820" max="12820" width="12.44140625" style="31" customWidth="1"/>
    <col min="12821" max="13054" width="9.109375" style="31"/>
    <col min="13055" max="13055" width="2.44140625" style="31" customWidth="1"/>
    <col min="13056" max="13056" width="15.33203125" style="31" customWidth="1"/>
    <col min="13057" max="13057" width="17.33203125" style="31" customWidth="1"/>
    <col min="13058" max="13058" width="3.5546875" style="31" customWidth="1"/>
    <col min="13059" max="13059" width="17.33203125" style="31" customWidth="1"/>
    <col min="13060" max="13060" width="0.33203125" style="31" customWidth="1"/>
    <col min="13061" max="13061" width="4.6640625" style="31" customWidth="1"/>
    <col min="13062" max="13063" width="7.6640625" style="31" customWidth="1"/>
    <col min="13064" max="13069" width="8.6640625" style="31" customWidth="1"/>
    <col min="13070" max="13072" width="10.6640625" style="31" customWidth="1"/>
    <col min="13073" max="13073" width="25.5546875" style="31" customWidth="1"/>
    <col min="13074" max="13074" width="9.33203125" style="31" customWidth="1"/>
    <col min="13075" max="13075" width="14.33203125" style="31" customWidth="1"/>
    <col min="13076" max="13076" width="12.44140625" style="31" customWidth="1"/>
    <col min="13077" max="13310" width="9.109375" style="31"/>
    <col min="13311" max="13311" width="2.44140625" style="31" customWidth="1"/>
    <col min="13312" max="13312" width="15.33203125" style="31" customWidth="1"/>
    <col min="13313" max="13313" width="17.33203125" style="31" customWidth="1"/>
    <col min="13314" max="13314" width="3.5546875" style="31" customWidth="1"/>
    <col min="13315" max="13315" width="17.33203125" style="31" customWidth="1"/>
    <col min="13316" max="13316" width="0.33203125" style="31" customWidth="1"/>
    <col min="13317" max="13317" width="4.6640625" style="31" customWidth="1"/>
    <col min="13318" max="13319" width="7.6640625" style="31" customWidth="1"/>
    <col min="13320" max="13325" width="8.6640625" style="31" customWidth="1"/>
    <col min="13326" max="13328" width="10.6640625" style="31" customWidth="1"/>
    <col min="13329" max="13329" width="25.5546875" style="31" customWidth="1"/>
    <col min="13330" max="13330" width="9.33203125" style="31" customWidth="1"/>
    <col min="13331" max="13331" width="14.33203125" style="31" customWidth="1"/>
    <col min="13332" max="13332" width="12.44140625" style="31" customWidth="1"/>
    <col min="13333" max="13566" width="9.109375" style="31"/>
    <col min="13567" max="13567" width="2.44140625" style="31" customWidth="1"/>
    <col min="13568" max="13568" width="15.33203125" style="31" customWidth="1"/>
    <col min="13569" max="13569" width="17.33203125" style="31" customWidth="1"/>
    <col min="13570" max="13570" width="3.5546875" style="31" customWidth="1"/>
    <col min="13571" max="13571" width="17.33203125" style="31" customWidth="1"/>
    <col min="13572" max="13572" width="0.33203125" style="31" customWidth="1"/>
    <col min="13573" max="13573" width="4.6640625" style="31" customWidth="1"/>
    <col min="13574" max="13575" width="7.6640625" style="31" customWidth="1"/>
    <col min="13576" max="13581" width="8.6640625" style="31" customWidth="1"/>
    <col min="13582" max="13584" width="10.6640625" style="31" customWidth="1"/>
    <col min="13585" max="13585" width="25.5546875" style="31" customWidth="1"/>
    <col min="13586" max="13586" width="9.33203125" style="31" customWidth="1"/>
    <col min="13587" max="13587" width="14.33203125" style="31" customWidth="1"/>
    <col min="13588" max="13588" width="12.44140625" style="31" customWidth="1"/>
    <col min="13589" max="13822" width="9.109375" style="31"/>
    <col min="13823" max="13823" width="2.44140625" style="31" customWidth="1"/>
    <col min="13824" max="13824" width="15.33203125" style="31" customWidth="1"/>
    <col min="13825" max="13825" width="17.33203125" style="31" customWidth="1"/>
    <col min="13826" max="13826" width="3.5546875" style="31" customWidth="1"/>
    <col min="13827" max="13827" width="17.33203125" style="31" customWidth="1"/>
    <col min="13828" max="13828" width="0.33203125" style="31" customWidth="1"/>
    <col min="13829" max="13829" width="4.6640625" style="31" customWidth="1"/>
    <col min="13830" max="13831" width="7.6640625" style="31" customWidth="1"/>
    <col min="13832" max="13837" width="8.6640625" style="31" customWidth="1"/>
    <col min="13838" max="13840" width="10.6640625" style="31" customWidth="1"/>
    <col min="13841" max="13841" width="25.5546875" style="31" customWidth="1"/>
    <col min="13842" max="13842" width="9.33203125" style="31" customWidth="1"/>
    <col min="13843" max="13843" width="14.33203125" style="31" customWidth="1"/>
    <col min="13844" max="13844" width="12.44140625" style="31" customWidth="1"/>
    <col min="13845" max="14078" width="9.109375" style="31"/>
    <col min="14079" max="14079" width="2.44140625" style="31" customWidth="1"/>
    <col min="14080" max="14080" width="15.33203125" style="31" customWidth="1"/>
    <col min="14081" max="14081" width="17.33203125" style="31" customWidth="1"/>
    <col min="14082" max="14082" width="3.5546875" style="31" customWidth="1"/>
    <col min="14083" max="14083" width="17.33203125" style="31" customWidth="1"/>
    <col min="14084" max="14084" width="0.33203125" style="31" customWidth="1"/>
    <col min="14085" max="14085" width="4.6640625" style="31" customWidth="1"/>
    <col min="14086" max="14087" width="7.6640625" style="31" customWidth="1"/>
    <col min="14088" max="14093" width="8.6640625" style="31" customWidth="1"/>
    <col min="14094" max="14096" width="10.6640625" style="31" customWidth="1"/>
    <col min="14097" max="14097" width="25.5546875" style="31" customWidth="1"/>
    <col min="14098" max="14098" width="9.33203125" style="31" customWidth="1"/>
    <col min="14099" max="14099" width="14.33203125" style="31" customWidth="1"/>
    <col min="14100" max="14100" width="12.44140625" style="31" customWidth="1"/>
    <col min="14101" max="14334" width="9.109375" style="31"/>
    <col min="14335" max="14335" width="2.44140625" style="31" customWidth="1"/>
    <col min="14336" max="14336" width="15.33203125" style="31" customWidth="1"/>
    <col min="14337" max="14337" width="17.33203125" style="31" customWidth="1"/>
    <col min="14338" max="14338" width="3.5546875" style="31" customWidth="1"/>
    <col min="14339" max="14339" width="17.33203125" style="31" customWidth="1"/>
    <col min="14340" max="14340" width="0.33203125" style="31" customWidth="1"/>
    <col min="14341" max="14341" width="4.6640625" style="31" customWidth="1"/>
    <col min="14342" max="14343" width="7.6640625" style="31" customWidth="1"/>
    <col min="14344" max="14349" width="8.6640625" style="31" customWidth="1"/>
    <col min="14350" max="14352" width="10.6640625" style="31" customWidth="1"/>
    <col min="14353" max="14353" width="25.5546875" style="31" customWidth="1"/>
    <col min="14354" max="14354" width="9.33203125" style="31" customWidth="1"/>
    <col min="14355" max="14355" width="14.33203125" style="31" customWidth="1"/>
    <col min="14356" max="14356" width="12.44140625" style="31" customWidth="1"/>
    <col min="14357" max="14590" width="9.109375" style="31"/>
    <col min="14591" max="14591" width="2.44140625" style="31" customWidth="1"/>
    <col min="14592" max="14592" width="15.33203125" style="31" customWidth="1"/>
    <col min="14593" max="14593" width="17.33203125" style="31" customWidth="1"/>
    <col min="14594" max="14594" width="3.5546875" style="31" customWidth="1"/>
    <col min="14595" max="14595" width="17.33203125" style="31" customWidth="1"/>
    <col min="14596" max="14596" width="0.33203125" style="31" customWidth="1"/>
    <col min="14597" max="14597" width="4.6640625" style="31" customWidth="1"/>
    <col min="14598" max="14599" width="7.6640625" style="31" customWidth="1"/>
    <col min="14600" max="14605" width="8.6640625" style="31" customWidth="1"/>
    <col min="14606" max="14608" width="10.6640625" style="31" customWidth="1"/>
    <col min="14609" max="14609" width="25.5546875" style="31" customWidth="1"/>
    <col min="14610" max="14610" width="9.33203125" style="31" customWidth="1"/>
    <col min="14611" max="14611" width="14.33203125" style="31" customWidth="1"/>
    <col min="14612" max="14612" width="12.44140625" style="31" customWidth="1"/>
    <col min="14613" max="14846" width="9.109375" style="31"/>
    <col min="14847" max="14847" width="2.44140625" style="31" customWidth="1"/>
    <col min="14848" max="14848" width="15.33203125" style="31" customWidth="1"/>
    <col min="14849" max="14849" width="17.33203125" style="31" customWidth="1"/>
    <col min="14850" max="14850" width="3.5546875" style="31" customWidth="1"/>
    <col min="14851" max="14851" width="17.33203125" style="31" customWidth="1"/>
    <col min="14852" max="14852" width="0.33203125" style="31" customWidth="1"/>
    <col min="14853" max="14853" width="4.6640625" style="31" customWidth="1"/>
    <col min="14854" max="14855" width="7.6640625" style="31" customWidth="1"/>
    <col min="14856" max="14861" width="8.6640625" style="31" customWidth="1"/>
    <col min="14862" max="14864" width="10.6640625" style="31" customWidth="1"/>
    <col min="14865" max="14865" width="25.5546875" style="31" customWidth="1"/>
    <col min="14866" max="14866" width="9.33203125" style="31" customWidth="1"/>
    <col min="14867" max="14867" width="14.33203125" style="31" customWidth="1"/>
    <col min="14868" max="14868" width="12.44140625" style="31" customWidth="1"/>
    <col min="14869" max="15102" width="9.109375" style="31"/>
    <col min="15103" max="15103" width="2.44140625" style="31" customWidth="1"/>
    <col min="15104" max="15104" width="15.33203125" style="31" customWidth="1"/>
    <col min="15105" max="15105" width="17.33203125" style="31" customWidth="1"/>
    <col min="15106" max="15106" width="3.5546875" style="31" customWidth="1"/>
    <col min="15107" max="15107" width="17.33203125" style="31" customWidth="1"/>
    <col min="15108" max="15108" width="0.33203125" style="31" customWidth="1"/>
    <col min="15109" max="15109" width="4.6640625" style="31" customWidth="1"/>
    <col min="15110" max="15111" width="7.6640625" style="31" customWidth="1"/>
    <col min="15112" max="15117" width="8.6640625" style="31" customWidth="1"/>
    <col min="15118" max="15120" width="10.6640625" style="31" customWidth="1"/>
    <col min="15121" max="15121" width="25.5546875" style="31" customWidth="1"/>
    <col min="15122" max="15122" width="9.33203125" style="31" customWidth="1"/>
    <col min="15123" max="15123" width="14.33203125" style="31" customWidth="1"/>
    <col min="15124" max="15124" width="12.44140625" style="31" customWidth="1"/>
    <col min="15125" max="15358" width="9.109375" style="31"/>
    <col min="15359" max="15359" width="2.44140625" style="31" customWidth="1"/>
    <col min="15360" max="15360" width="15.33203125" style="31" customWidth="1"/>
    <col min="15361" max="15361" width="17.33203125" style="31" customWidth="1"/>
    <col min="15362" max="15362" width="3.5546875" style="31" customWidth="1"/>
    <col min="15363" max="15363" width="17.33203125" style="31" customWidth="1"/>
    <col min="15364" max="15364" width="0.33203125" style="31" customWidth="1"/>
    <col min="15365" max="15365" width="4.6640625" style="31" customWidth="1"/>
    <col min="15366" max="15367" width="7.6640625" style="31" customWidth="1"/>
    <col min="15368" max="15373" width="8.6640625" style="31" customWidth="1"/>
    <col min="15374" max="15376" width="10.6640625" style="31" customWidth="1"/>
    <col min="15377" max="15377" width="25.5546875" style="31" customWidth="1"/>
    <col min="15378" max="15378" width="9.33203125" style="31" customWidth="1"/>
    <col min="15379" max="15379" width="14.33203125" style="31" customWidth="1"/>
    <col min="15380" max="15380" width="12.44140625" style="31" customWidth="1"/>
    <col min="15381" max="15614" width="9.109375" style="31"/>
    <col min="15615" max="15615" width="2.44140625" style="31" customWidth="1"/>
    <col min="15616" max="15616" width="15.33203125" style="31" customWidth="1"/>
    <col min="15617" max="15617" width="17.33203125" style="31" customWidth="1"/>
    <col min="15618" max="15618" width="3.5546875" style="31" customWidth="1"/>
    <col min="15619" max="15619" width="17.33203125" style="31" customWidth="1"/>
    <col min="15620" max="15620" width="0.33203125" style="31" customWidth="1"/>
    <col min="15621" max="15621" width="4.6640625" style="31" customWidth="1"/>
    <col min="15622" max="15623" width="7.6640625" style="31" customWidth="1"/>
    <col min="15624" max="15629" width="8.6640625" style="31" customWidth="1"/>
    <col min="15630" max="15632" width="10.6640625" style="31" customWidth="1"/>
    <col min="15633" max="15633" width="25.5546875" style="31" customWidth="1"/>
    <col min="15634" max="15634" width="9.33203125" style="31" customWidth="1"/>
    <col min="15635" max="15635" width="14.33203125" style="31" customWidth="1"/>
    <col min="15636" max="15636" width="12.44140625" style="31" customWidth="1"/>
    <col min="15637" max="15870" width="9.109375" style="31"/>
    <col min="15871" max="15871" width="2.44140625" style="31" customWidth="1"/>
    <col min="15872" max="15872" width="15.33203125" style="31" customWidth="1"/>
    <col min="15873" max="15873" width="17.33203125" style="31" customWidth="1"/>
    <col min="15874" max="15874" width="3.5546875" style="31" customWidth="1"/>
    <col min="15875" max="15875" width="17.33203125" style="31" customWidth="1"/>
    <col min="15876" max="15876" width="0.33203125" style="31" customWidth="1"/>
    <col min="15877" max="15877" width="4.6640625" style="31" customWidth="1"/>
    <col min="15878" max="15879" width="7.6640625" style="31" customWidth="1"/>
    <col min="15880" max="15885" width="8.6640625" style="31" customWidth="1"/>
    <col min="15886" max="15888" width="10.6640625" style="31" customWidth="1"/>
    <col min="15889" max="15889" width="25.5546875" style="31" customWidth="1"/>
    <col min="15890" max="15890" width="9.33203125" style="31" customWidth="1"/>
    <col min="15891" max="15891" width="14.33203125" style="31" customWidth="1"/>
    <col min="15892" max="15892" width="12.44140625" style="31" customWidth="1"/>
    <col min="15893" max="16126" width="9.109375" style="31"/>
    <col min="16127" max="16127" width="2.44140625" style="31" customWidth="1"/>
    <col min="16128" max="16128" width="15.33203125" style="31" customWidth="1"/>
    <col min="16129" max="16129" width="17.33203125" style="31" customWidth="1"/>
    <col min="16130" max="16130" width="3.5546875" style="31" customWidth="1"/>
    <col min="16131" max="16131" width="17.33203125" style="31" customWidth="1"/>
    <col min="16132" max="16132" width="0.33203125" style="31" customWidth="1"/>
    <col min="16133" max="16133" width="4.6640625" style="31" customWidth="1"/>
    <col min="16134" max="16135" width="7.6640625" style="31" customWidth="1"/>
    <col min="16136" max="16141" width="8.6640625" style="31" customWidth="1"/>
    <col min="16142" max="16144" width="10.6640625" style="31" customWidth="1"/>
    <col min="16145" max="16145" width="25.5546875" style="31" customWidth="1"/>
    <col min="16146" max="16146" width="9.33203125" style="31" customWidth="1"/>
    <col min="16147" max="16147" width="14.33203125" style="31" customWidth="1"/>
    <col min="16148" max="16148" width="12.44140625" style="31" customWidth="1"/>
    <col min="16149" max="16384" width="9.109375" style="31"/>
  </cols>
  <sheetData>
    <row r="1" spans="1:16" ht="13.8" thickBot="1" x14ac:dyDescent="0.3">
      <c r="A1" s="38"/>
      <c r="G1" s="31"/>
      <c r="H1" s="31"/>
      <c r="J1" s="31"/>
      <c r="K1" s="31"/>
      <c r="L1" s="49"/>
      <c r="M1" s="108"/>
      <c r="N1" s="49"/>
      <c r="O1" s="49"/>
      <c r="P1" s="37"/>
    </row>
    <row r="2" spans="1:16" ht="18" x14ac:dyDescent="0.35">
      <c r="D2" s="31" t="s">
        <v>193</v>
      </c>
      <c r="E2" s="145" t="s">
        <v>196</v>
      </c>
      <c r="G2" s="67"/>
      <c r="H2" s="67"/>
      <c r="I2" s="34"/>
      <c r="J2" s="186" t="s">
        <v>197</v>
      </c>
      <c r="K2" s="187"/>
      <c r="L2" s="187"/>
      <c r="M2" s="187"/>
      <c r="N2" s="187"/>
      <c r="O2" s="203"/>
      <c r="P2" s="31"/>
    </row>
    <row r="3" spans="1:16" ht="15.6" x14ac:dyDescent="0.3">
      <c r="G3" s="31"/>
      <c r="H3" s="31"/>
      <c r="J3" s="194" t="s">
        <v>198</v>
      </c>
      <c r="K3" s="31"/>
      <c r="M3" s="246"/>
      <c r="N3" s="111"/>
      <c r="O3" s="247"/>
      <c r="P3" s="37"/>
    </row>
    <row r="4" spans="1:16" ht="13.8" thickBot="1" x14ac:dyDescent="0.3">
      <c r="D4" s="31" t="s">
        <v>193</v>
      </c>
      <c r="E4" s="125" t="str">
        <f>'BCN-VLC-ALG to W-E Africa'!F4</f>
        <v>VALIDEZ: 1 Abril 2026 hasta 30 Abril 2026</v>
      </c>
      <c r="G4" s="31"/>
      <c r="H4" s="31"/>
      <c r="J4" s="248" t="s">
        <v>199</v>
      </c>
      <c r="K4" s="143"/>
      <c r="L4" s="188"/>
      <c r="M4" s="189"/>
      <c r="N4" s="143"/>
      <c r="O4" s="102"/>
      <c r="P4" s="37"/>
    </row>
    <row r="5" spans="1:16" ht="13.8" thickBot="1" x14ac:dyDescent="0.3">
      <c r="E5" s="107"/>
      <c r="F5" s="73"/>
      <c r="G5" s="31"/>
      <c r="H5" s="31"/>
      <c r="J5" s="31"/>
      <c r="K5" s="31"/>
      <c r="L5" s="31"/>
      <c r="M5" s="37"/>
      <c r="N5" s="31"/>
      <c r="O5" s="31"/>
      <c r="P5" s="37"/>
    </row>
    <row r="6" spans="1:16" ht="21.6" thickBot="1" x14ac:dyDescent="0.45">
      <c r="C6" s="418" t="s">
        <v>607</v>
      </c>
      <c r="D6" s="423"/>
      <c r="E6" s="420"/>
      <c r="F6" s="419"/>
      <c r="G6" s="419"/>
      <c r="H6" s="419"/>
      <c r="I6" s="424"/>
      <c r="J6" s="31"/>
      <c r="K6" s="31"/>
      <c r="L6" s="31"/>
      <c r="M6" s="31"/>
      <c r="N6" s="31"/>
      <c r="O6" s="37"/>
      <c r="P6" s="31"/>
    </row>
    <row r="7" spans="1:16" ht="13.8" x14ac:dyDescent="0.25">
      <c r="E7" s="125"/>
      <c r="G7" s="34"/>
      <c r="H7" s="34"/>
      <c r="I7" s="124"/>
      <c r="J7" s="125"/>
      <c r="K7" s="34"/>
      <c r="L7" s="34"/>
      <c r="M7" s="126"/>
      <c r="N7" s="63"/>
      <c r="O7" s="49"/>
      <c r="P7" s="57"/>
    </row>
    <row r="8" spans="1:16" s="34" customFormat="1" x14ac:dyDescent="0.25">
      <c r="B8" s="330" t="s">
        <v>3</v>
      </c>
      <c r="C8" s="331" t="s">
        <v>5</v>
      </c>
      <c r="D8" s="331" t="s">
        <v>6</v>
      </c>
      <c r="E8" s="331" t="s">
        <v>7</v>
      </c>
      <c r="F8" s="331" t="s">
        <v>8</v>
      </c>
      <c r="G8" s="331" t="s">
        <v>9</v>
      </c>
      <c r="H8" s="331" t="s">
        <v>10</v>
      </c>
      <c r="I8" s="331" t="s">
        <v>11</v>
      </c>
      <c r="J8" s="331" t="s">
        <v>12</v>
      </c>
      <c r="K8" s="331" t="s">
        <v>62</v>
      </c>
      <c r="L8" s="331" t="s">
        <v>200</v>
      </c>
      <c r="M8" s="331" t="s">
        <v>603</v>
      </c>
      <c r="N8" s="331" t="s">
        <v>14</v>
      </c>
      <c r="O8" s="331" t="s">
        <v>15</v>
      </c>
      <c r="P8" s="332" t="s">
        <v>16</v>
      </c>
    </row>
    <row r="9" spans="1:16" hidden="1" x14ac:dyDescent="0.25">
      <c r="B9" s="325" t="s">
        <v>17</v>
      </c>
      <c r="C9" s="326" t="s">
        <v>236</v>
      </c>
      <c r="D9" s="326" t="s">
        <v>20</v>
      </c>
      <c r="E9" s="326" t="s">
        <v>201</v>
      </c>
      <c r="F9" s="326" t="s">
        <v>166</v>
      </c>
      <c r="G9" s="326" t="s">
        <v>68</v>
      </c>
      <c r="H9" s="415">
        <v>1630</v>
      </c>
      <c r="I9" s="415">
        <v>1730</v>
      </c>
      <c r="J9" s="417">
        <f>I9</f>
        <v>1730</v>
      </c>
      <c r="K9" s="327" t="s">
        <v>521</v>
      </c>
      <c r="L9" s="327" t="s">
        <v>522</v>
      </c>
      <c r="M9" s="327">
        <v>150</v>
      </c>
      <c r="N9" s="327" t="s">
        <v>608</v>
      </c>
      <c r="O9" s="328"/>
      <c r="P9" s="329"/>
    </row>
    <row r="10" spans="1:16" hidden="1" x14ac:dyDescent="0.25">
      <c r="B10" s="177" t="s">
        <v>17</v>
      </c>
      <c r="C10" s="65" t="s">
        <v>524</v>
      </c>
      <c r="D10" s="65" t="s">
        <v>20</v>
      </c>
      <c r="E10" s="65" t="s">
        <v>202</v>
      </c>
      <c r="F10" s="65" t="s">
        <v>166</v>
      </c>
      <c r="G10" s="65" t="s">
        <v>68</v>
      </c>
      <c r="H10" s="415">
        <v>1630</v>
      </c>
      <c r="I10" s="415">
        <v>1730</v>
      </c>
      <c r="J10" s="417">
        <f t="shared" ref="J10:J12" si="0">I10</f>
        <v>1730</v>
      </c>
      <c r="K10" s="205" t="s">
        <v>521</v>
      </c>
      <c r="L10" s="205" t="s">
        <v>522</v>
      </c>
      <c r="M10" s="205">
        <f>$M$9</f>
        <v>150</v>
      </c>
      <c r="N10" s="205" t="str">
        <f>$N$9</f>
        <v>EBS;THD;ETS</v>
      </c>
      <c r="O10" s="206"/>
      <c r="P10" s="211"/>
    </row>
    <row r="11" spans="1:16" hidden="1" x14ac:dyDescent="0.25">
      <c r="B11" s="177" t="s">
        <v>17</v>
      </c>
      <c r="C11" s="65" t="s">
        <v>231</v>
      </c>
      <c r="D11" s="65" t="s">
        <v>20</v>
      </c>
      <c r="E11" s="65" t="s">
        <v>203</v>
      </c>
      <c r="F11" s="65" t="s">
        <v>166</v>
      </c>
      <c r="G11" s="65" t="s">
        <v>68</v>
      </c>
      <c r="H11" s="415">
        <v>1630</v>
      </c>
      <c r="I11" s="415">
        <v>1730</v>
      </c>
      <c r="J11" s="417">
        <f t="shared" si="0"/>
        <v>1730</v>
      </c>
      <c r="K11" s="205" t="s">
        <v>521</v>
      </c>
      <c r="L11" s="205" t="s">
        <v>522</v>
      </c>
      <c r="M11" s="205">
        <f t="shared" ref="M11:M20" si="1">$M$9</f>
        <v>150</v>
      </c>
      <c r="N11" s="205" t="str">
        <f t="shared" ref="N11:N20" si="2">$N$9</f>
        <v>EBS;THD;ETS</v>
      </c>
      <c r="O11" s="206"/>
      <c r="P11" s="211"/>
    </row>
    <row r="12" spans="1:16" hidden="1" x14ac:dyDescent="0.25">
      <c r="B12" s="177" t="s">
        <v>17</v>
      </c>
      <c r="C12" s="65" t="s">
        <v>227</v>
      </c>
      <c r="D12" s="65" t="s">
        <v>20</v>
      </c>
      <c r="E12" s="65" t="s">
        <v>204</v>
      </c>
      <c r="F12" s="65" t="s">
        <v>166</v>
      </c>
      <c r="G12" s="65" t="s">
        <v>68</v>
      </c>
      <c r="H12" s="415">
        <v>1630</v>
      </c>
      <c r="I12" s="415">
        <v>1730</v>
      </c>
      <c r="J12" s="417">
        <f t="shared" si="0"/>
        <v>1730</v>
      </c>
      <c r="K12" s="205" t="s">
        <v>521</v>
      </c>
      <c r="L12" s="205" t="s">
        <v>522</v>
      </c>
      <c r="M12" s="205">
        <f t="shared" si="1"/>
        <v>150</v>
      </c>
      <c r="N12" s="205" t="str">
        <f t="shared" si="2"/>
        <v>EBS;THD;ETS</v>
      </c>
      <c r="O12" s="206"/>
      <c r="P12" s="211"/>
    </row>
    <row r="13" spans="1:16" hidden="1" x14ac:dyDescent="0.25">
      <c r="B13" s="177" t="s">
        <v>205</v>
      </c>
      <c r="C13" s="65" t="s">
        <v>236</v>
      </c>
      <c r="D13" s="65" t="s">
        <v>20</v>
      </c>
      <c r="E13" s="65" t="s">
        <v>206</v>
      </c>
      <c r="F13" s="65" t="s">
        <v>168</v>
      </c>
      <c r="G13" s="65" t="s">
        <v>68</v>
      </c>
      <c r="H13" s="417">
        <v>1480</v>
      </c>
      <c r="I13" s="417">
        <v>1580</v>
      </c>
      <c r="J13" s="417">
        <v>1580</v>
      </c>
      <c r="K13" s="205" t="s">
        <v>521</v>
      </c>
      <c r="L13" s="205" t="s">
        <v>522</v>
      </c>
      <c r="M13" s="205">
        <f t="shared" si="1"/>
        <v>150</v>
      </c>
      <c r="N13" s="205" t="str">
        <f t="shared" si="2"/>
        <v>EBS;THD;ETS</v>
      </c>
      <c r="O13" s="206"/>
      <c r="P13" s="211"/>
    </row>
    <row r="14" spans="1:16" hidden="1" x14ac:dyDescent="0.25">
      <c r="B14" s="177" t="s">
        <v>205</v>
      </c>
      <c r="C14" s="65" t="s">
        <v>524</v>
      </c>
      <c r="D14" s="65" t="s">
        <v>20</v>
      </c>
      <c r="E14" s="65" t="s">
        <v>202</v>
      </c>
      <c r="F14" s="65" t="s">
        <v>168</v>
      </c>
      <c r="G14" s="65" t="s">
        <v>68</v>
      </c>
      <c r="H14" s="417">
        <v>1480</v>
      </c>
      <c r="I14" s="417">
        <v>1580</v>
      </c>
      <c r="J14" s="417">
        <v>1580</v>
      </c>
      <c r="K14" s="205" t="s">
        <v>521</v>
      </c>
      <c r="L14" s="205" t="s">
        <v>522</v>
      </c>
      <c r="M14" s="205">
        <f t="shared" si="1"/>
        <v>150</v>
      </c>
      <c r="N14" s="205" t="str">
        <f t="shared" si="2"/>
        <v>EBS;THD;ETS</v>
      </c>
      <c r="O14" s="206"/>
      <c r="P14" s="211"/>
    </row>
    <row r="15" spans="1:16" x14ac:dyDescent="0.25">
      <c r="B15" s="177" t="s">
        <v>205</v>
      </c>
      <c r="C15" s="65" t="s">
        <v>231</v>
      </c>
      <c r="D15" s="65" t="s">
        <v>20</v>
      </c>
      <c r="E15" s="65" t="s">
        <v>207</v>
      </c>
      <c r="F15" s="65" t="s">
        <v>168</v>
      </c>
      <c r="G15" s="65" t="s">
        <v>68</v>
      </c>
      <c r="H15" s="417">
        <v>1480</v>
      </c>
      <c r="I15" s="417">
        <v>1580</v>
      </c>
      <c r="J15" s="417">
        <v>1580</v>
      </c>
      <c r="K15" s="205" t="s">
        <v>521</v>
      </c>
      <c r="L15" s="205" t="s">
        <v>522</v>
      </c>
      <c r="M15" s="205">
        <f t="shared" si="1"/>
        <v>150</v>
      </c>
      <c r="N15" s="205" t="str">
        <f t="shared" si="2"/>
        <v>EBS;THD;ETS</v>
      </c>
      <c r="O15" s="206"/>
      <c r="P15" s="211"/>
    </row>
    <row r="16" spans="1:16" hidden="1" x14ac:dyDescent="0.25">
      <c r="B16" s="177" t="s">
        <v>205</v>
      </c>
      <c r="C16" s="65" t="s">
        <v>227</v>
      </c>
      <c r="D16" s="65" t="s">
        <v>20</v>
      </c>
      <c r="E16" s="65" t="s">
        <v>208</v>
      </c>
      <c r="F16" s="65" t="s">
        <v>168</v>
      </c>
      <c r="G16" s="65" t="s">
        <v>68</v>
      </c>
      <c r="H16" s="417">
        <v>1480</v>
      </c>
      <c r="I16" s="417">
        <v>1580</v>
      </c>
      <c r="J16" s="417">
        <v>1580</v>
      </c>
      <c r="K16" s="205" t="s">
        <v>521</v>
      </c>
      <c r="L16" s="205" t="s">
        <v>522</v>
      </c>
      <c r="M16" s="205">
        <f t="shared" si="1"/>
        <v>150</v>
      </c>
      <c r="N16" s="205" t="str">
        <f t="shared" si="2"/>
        <v>EBS;THD;ETS</v>
      </c>
      <c r="O16" s="206"/>
      <c r="P16" s="211"/>
    </row>
    <row r="17" spans="2:17" hidden="1" x14ac:dyDescent="0.25">
      <c r="B17" s="177" t="s">
        <v>209</v>
      </c>
      <c r="C17" s="65" t="s">
        <v>236</v>
      </c>
      <c r="D17" s="65" t="s">
        <v>20</v>
      </c>
      <c r="E17" s="65" t="s">
        <v>210</v>
      </c>
      <c r="F17" s="65" t="s">
        <v>168</v>
      </c>
      <c r="G17" s="65" t="s">
        <v>68</v>
      </c>
      <c r="H17" s="417">
        <v>1480</v>
      </c>
      <c r="I17" s="417">
        <v>1580</v>
      </c>
      <c r="J17" s="417">
        <v>1580</v>
      </c>
      <c r="K17" s="205" t="s">
        <v>521</v>
      </c>
      <c r="L17" s="205" t="s">
        <v>522</v>
      </c>
      <c r="M17" s="205">
        <f t="shared" si="1"/>
        <v>150</v>
      </c>
      <c r="N17" s="205" t="str">
        <f t="shared" si="2"/>
        <v>EBS;THD;ETS</v>
      </c>
      <c r="O17" s="206"/>
      <c r="P17" s="211"/>
    </row>
    <row r="18" spans="2:17" hidden="1" x14ac:dyDescent="0.25">
      <c r="B18" s="177" t="s">
        <v>209</v>
      </c>
      <c r="C18" s="65" t="s">
        <v>524</v>
      </c>
      <c r="D18" s="65" t="s">
        <v>20</v>
      </c>
      <c r="E18" s="65" t="s">
        <v>211</v>
      </c>
      <c r="F18" s="65" t="s">
        <v>168</v>
      </c>
      <c r="G18" s="65" t="s">
        <v>68</v>
      </c>
      <c r="H18" s="417">
        <v>1480</v>
      </c>
      <c r="I18" s="417">
        <v>1580</v>
      </c>
      <c r="J18" s="417">
        <v>1580</v>
      </c>
      <c r="K18" s="205" t="s">
        <v>521</v>
      </c>
      <c r="L18" s="205" t="s">
        <v>522</v>
      </c>
      <c r="M18" s="205">
        <f t="shared" si="1"/>
        <v>150</v>
      </c>
      <c r="N18" s="205" t="str">
        <f t="shared" si="2"/>
        <v>EBS;THD;ETS</v>
      </c>
      <c r="O18" s="206"/>
      <c r="P18" s="211"/>
    </row>
    <row r="19" spans="2:17" hidden="1" x14ac:dyDescent="0.25">
      <c r="B19" s="177" t="s">
        <v>209</v>
      </c>
      <c r="C19" s="65" t="s">
        <v>231</v>
      </c>
      <c r="D19" s="65" t="s">
        <v>20</v>
      </c>
      <c r="E19" s="65" t="s">
        <v>212</v>
      </c>
      <c r="F19" s="65" t="s">
        <v>168</v>
      </c>
      <c r="G19" s="65" t="s">
        <v>68</v>
      </c>
      <c r="H19" s="417">
        <v>1480</v>
      </c>
      <c r="I19" s="417">
        <v>1580</v>
      </c>
      <c r="J19" s="417">
        <v>1580</v>
      </c>
      <c r="K19" s="205" t="s">
        <v>521</v>
      </c>
      <c r="L19" s="205" t="s">
        <v>522</v>
      </c>
      <c r="M19" s="205">
        <f t="shared" si="1"/>
        <v>150</v>
      </c>
      <c r="N19" s="205" t="str">
        <f t="shared" si="2"/>
        <v>EBS;THD;ETS</v>
      </c>
      <c r="O19" s="206"/>
      <c r="P19" s="211"/>
    </row>
    <row r="20" spans="2:17" ht="36.75" hidden="1" customHeight="1" x14ac:dyDescent="0.25">
      <c r="B20" s="178" t="s">
        <v>209</v>
      </c>
      <c r="C20" s="176" t="s">
        <v>227</v>
      </c>
      <c r="D20" s="176" t="s">
        <v>20</v>
      </c>
      <c r="E20" s="176" t="s">
        <v>204</v>
      </c>
      <c r="F20" s="176" t="s">
        <v>168</v>
      </c>
      <c r="G20" s="176" t="s">
        <v>68</v>
      </c>
      <c r="H20" s="416">
        <v>1480</v>
      </c>
      <c r="I20" s="416">
        <v>1580</v>
      </c>
      <c r="J20" s="416">
        <v>1580</v>
      </c>
      <c r="K20" s="176" t="s">
        <v>521</v>
      </c>
      <c r="L20" s="176" t="s">
        <v>522</v>
      </c>
      <c r="M20" s="205">
        <f t="shared" si="1"/>
        <v>150</v>
      </c>
      <c r="N20" s="176" t="str">
        <f t="shared" si="2"/>
        <v>EBS;THD;ETS</v>
      </c>
      <c r="O20" s="213"/>
      <c r="P20" s="214"/>
    </row>
    <row r="21" spans="2:17" hidden="1" x14ac:dyDescent="0.25">
      <c r="B21" s="435" t="s">
        <v>213</v>
      </c>
      <c r="C21" s="435"/>
      <c r="D21" s="435"/>
      <c r="E21" s="435"/>
      <c r="F21" s="435"/>
      <c r="G21" s="435"/>
      <c r="H21" s="435"/>
      <c r="I21" s="435"/>
      <c r="J21" s="435"/>
      <c r="K21" s="435"/>
      <c r="L21" s="435"/>
      <c r="M21" s="435"/>
      <c r="N21" s="435"/>
      <c r="O21" s="435"/>
      <c r="P21" s="435"/>
      <c r="Q21" s="435"/>
    </row>
    <row r="22" spans="2:17" x14ac:dyDescent="0.25">
      <c r="B22" s="436"/>
      <c r="C22" s="436"/>
      <c r="D22" s="436"/>
      <c r="E22" s="436"/>
      <c r="F22" s="436"/>
      <c r="G22" s="436"/>
      <c r="H22" s="436"/>
      <c r="I22" s="436"/>
      <c r="J22" s="71"/>
      <c r="K22" s="71"/>
      <c r="L22" s="71"/>
      <c r="M22" s="112"/>
      <c r="N22" s="71"/>
      <c r="O22" s="71"/>
      <c r="P22" s="71"/>
      <c r="Q22" s="71"/>
    </row>
    <row r="23" spans="2:17" ht="24" customHeight="1" x14ac:dyDescent="0.25">
      <c r="B23" s="437" t="s">
        <v>214</v>
      </c>
      <c r="C23" s="437"/>
      <c r="D23" s="437"/>
      <c r="E23" s="299"/>
      <c r="F23" s="299"/>
      <c r="G23" s="299"/>
      <c r="H23" s="299"/>
      <c r="I23" s="299"/>
      <c r="J23" s="299"/>
      <c r="K23" s="299"/>
      <c r="L23" s="300"/>
      <c r="M23" s="301"/>
      <c r="N23" s="300"/>
      <c r="O23" s="300"/>
      <c r="P23" s="31"/>
    </row>
    <row r="24" spans="2:17" s="21" customFormat="1" x14ac:dyDescent="0.25">
      <c r="B24" s="126" t="s">
        <v>215</v>
      </c>
      <c r="C24" s="126" t="s">
        <v>216</v>
      </c>
      <c r="D24" s="126" t="s">
        <v>217</v>
      </c>
      <c r="E24" s="126" t="s">
        <v>218</v>
      </c>
      <c r="F24" s="126" t="s">
        <v>219</v>
      </c>
      <c r="G24" s="126" t="s">
        <v>220</v>
      </c>
      <c r="H24" s="126" t="s">
        <v>221</v>
      </c>
      <c r="I24" s="126" t="s">
        <v>222</v>
      </c>
      <c r="J24" s="126" t="s">
        <v>223</v>
      </c>
      <c r="K24" s="126" t="s">
        <v>224</v>
      </c>
    </row>
    <row r="25" spans="2:17" x14ac:dyDescent="0.25">
      <c r="B25" s="71" t="s">
        <v>225</v>
      </c>
      <c r="C25" s="70" t="str">
        <f>"30301"</f>
        <v>30301</v>
      </c>
      <c r="D25" s="70" t="s">
        <v>226</v>
      </c>
      <c r="E25" s="71" t="s">
        <v>227</v>
      </c>
      <c r="F25" s="70" t="s">
        <v>228</v>
      </c>
      <c r="G25" s="70">
        <v>400</v>
      </c>
      <c r="H25" s="70">
        <v>500</v>
      </c>
      <c r="I25" s="70">
        <v>500</v>
      </c>
      <c r="J25" s="70" t="s">
        <v>68</v>
      </c>
      <c r="K25" s="70" t="s">
        <v>229</v>
      </c>
      <c r="L25" s="70"/>
      <c r="M25" s="70"/>
      <c r="N25" s="71"/>
      <c r="O25" s="31"/>
      <c r="P25" s="31"/>
    </row>
    <row r="26" spans="2:17" x14ac:dyDescent="0.25">
      <c r="B26" s="249" t="s">
        <v>230</v>
      </c>
      <c r="C26" s="250" t="str">
        <f>"21225"</f>
        <v>21225</v>
      </c>
      <c r="D26" s="250" t="s">
        <v>226</v>
      </c>
      <c r="E26" s="249" t="s">
        <v>231</v>
      </c>
      <c r="F26" s="250" t="s">
        <v>232</v>
      </c>
      <c r="G26" s="250">
        <v>1000</v>
      </c>
      <c r="H26" s="250">
        <v>1000</v>
      </c>
      <c r="I26" s="250">
        <v>1000</v>
      </c>
      <c r="J26" s="250" t="s">
        <v>68</v>
      </c>
      <c r="K26" s="250" t="s">
        <v>229</v>
      </c>
      <c r="L26" s="250" t="s">
        <v>233</v>
      </c>
      <c r="M26" s="70"/>
      <c r="N26" s="71"/>
      <c r="O26" s="31"/>
      <c r="P26" s="31"/>
    </row>
    <row r="27" spans="2:17" x14ac:dyDescent="0.25">
      <c r="B27" s="71" t="s">
        <v>234</v>
      </c>
      <c r="C27" s="70" t="str">
        <f>"28208"</f>
        <v>28208</v>
      </c>
      <c r="D27" s="70" t="s">
        <v>226</v>
      </c>
      <c r="E27" s="71" t="s">
        <v>227</v>
      </c>
      <c r="F27" s="70" t="s">
        <v>228</v>
      </c>
      <c r="G27" s="70">
        <v>425</v>
      </c>
      <c r="H27" s="70">
        <v>575</v>
      </c>
      <c r="I27" s="70">
        <v>575</v>
      </c>
      <c r="J27" s="70" t="s">
        <v>68</v>
      </c>
      <c r="K27" s="70" t="s">
        <v>229</v>
      </c>
      <c r="L27" s="70"/>
      <c r="M27" s="70"/>
      <c r="N27" s="71"/>
      <c r="O27" s="31"/>
      <c r="P27" s="31"/>
    </row>
    <row r="28" spans="2:17" x14ac:dyDescent="0.25">
      <c r="B28" s="71" t="s">
        <v>235</v>
      </c>
      <c r="C28" s="70" t="str">
        <f>"60630"</f>
        <v>60630</v>
      </c>
      <c r="D28" s="70" t="s">
        <v>226</v>
      </c>
      <c r="E28" s="71" t="s">
        <v>231</v>
      </c>
      <c r="F28" s="70" t="s">
        <v>228</v>
      </c>
      <c r="G28" s="70">
        <v>550</v>
      </c>
      <c r="H28" s="70">
        <v>725</v>
      </c>
      <c r="I28" s="70">
        <v>725</v>
      </c>
      <c r="J28" s="70" t="s">
        <v>68</v>
      </c>
      <c r="K28" s="70" t="s">
        <v>229</v>
      </c>
      <c r="L28" s="70"/>
      <c r="M28" s="70"/>
      <c r="N28" s="71"/>
      <c r="O28" s="31"/>
      <c r="P28" s="31"/>
    </row>
    <row r="29" spans="2:17" x14ac:dyDescent="0.25">
      <c r="B29" s="71" t="s">
        <v>237</v>
      </c>
      <c r="C29" s="70" t="str">
        <f>"45232"</f>
        <v>45232</v>
      </c>
      <c r="D29" s="70" t="s">
        <v>226</v>
      </c>
      <c r="E29" s="71" t="s">
        <v>231</v>
      </c>
      <c r="F29" s="70" t="s">
        <v>228</v>
      </c>
      <c r="G29" s="70">
        <v>750</v>
      </c>
      <c r="H29" s="70">
        <v>970</v>
      </c>
      <c r="I29" s="70">
        <v>970</v>
      </c>
      <c r="J29" s="70" t="s">
        <v>68</v>
      </c>
      <c r="K29" s="70" t="s">
        <v>229</v>
      </c>
      <c r="L29" s="70"/>
      <c r="M29" s="70"/>
      <c r="N29" s="71"/>
      <c r="O29" s="31"/>
      <c r="P29" s="31"/>
    </row>
    <row r="30" spans="2:17" x14ac:dyDescent="0.25">
      <c r="B30" s="71" t="s">
        <v>238</v>
      </c>
      <c r="C30" s="70" t="str">
        <f>"44110"</f>
        <v>44110</v>
      </c>
      <c r="D30" s="70" t="s">
        <v>226</v>
      </c>
      <c r="E30" s="71" t="s">
        <v>231</v>
      </c>
      <c r="F30" s="70" t="s">
        <v>228</v>
      </c>
      <c r="G30" s="70">
        <v>725</v>
      </c>
      <c r="H30" s="70">
        <v>850</v>
      </c>
      <c r="I30" s="70">
        <v>850</v>
      </c>
      <c r="J30" s="70" t="s">
        <v>68</v>
      </c>
      <c r="K30" s="70" t="s">
        <v>229</v>
      </c>
      <c r="L30" s="70"/>
      <c r="M30" s="70"/>
      <c r="N30" s="71"/>
      <c r="O30" s="31"/>
      <c r="P30" s="31"/>
    </row>
    <row r="31" spans="2:17" x14ac:dyDescent="0.25">
      <c r="B31" s="414" t="s">
        <v>239</v>
      </c>
      <c r="C31" s="70" t="str">
        <f>"43216"</f>
        <v>43216</v>
      </c>
      <c r="D31" s="70" t="s">
        <v>226</v>
      </c>
      <c r="E31" s="71" t="s">
        <v>231</v>
      </c>
      <c r="F31" s="70" t="s">
        <v>228</v>
      </c>
      <c r="G31" s="70">
        <v>725</v>
      </c>
      <c r="H31" s="70">
        <v>850</v>
      </c>
      <c r="I31" s="70">
        <v>850</v>
      </c>
      <c r="J31" s="70" t="s">
        <v>68</v>
      </c>
      <c r="K31" s="70" t="s">
        <v>229</v>
      </c>
      <c r="L31" s="70"/>
      <c r="M31" s="70"/>
      <c r="N31" s="71"/>
      <c r="O31" s="31"/>
      <c r="P31" s="31"/>
    </row>
    <row r="32" spans="2:17" x14ac:dyDescent="0.25">
      <c r="B32" s="71" t="s">
        <v>240</v>
      </c>
      <c r="C32" s="70" t="str">
        <f>"48229"</f>
        <v>48229</v>
      </c>
      <c r="D32" s="70" t="s">
        <v>226</v>
      </c>
      <c r="E32" s="71" t="s">
        <v>231</v>
      </c>
      <c r="F32" s="70" t="s">
        <v>228</v>
      </c>
      <c r="G32" s="70">
        <v>750</v>
      </c>
      <c r="H32" s="70">
        <v>900</v>
      </c>
      <c r="I32" s="70">
        <v>900</v>
      </c>
      <c r="J32" s="70" t="s">
        <v>68</v>
      </c>
      <c r="K32" s="70" t="s">
        <v>229</v>
      </c>
      <c r="L32" s="70"/>
      <c r="M32" s="70"/>
      <c r="N32" s="71"/>
      <c r="O32" s="31"/>
      <c r="P32" s="31"/>
    </row>
    <row r="33" spans="2:16" x14ac:dyDescent="0.25">
      <c r="B33" s="71" t="s">
        <v>241</v>
      </c>
      <c r="C33" s="70" t="str">
        <f>"22630"</f>
        <v>22630</v>
      </c>
      <c r="D33" s="70" t="s">
        <v>226</v>
      </c>
      <c r="E33" s="71" t="s">
        <v>231</v>
      </c>
      <c r="F33" s="70" t="s">
        <v>228</v>
      </c>
      <c r="G33" s="70">
        <v>700</v>
      </c>
      <c r="H33" s="70">
        <v>700</v>
      </c>
      <c r="I33" s="70">
        <v>700</v>
      </c>
      <c r="J33" s="70" t="s">
        <v>68</v>
      </c>
      <c r="K33" s="70" t="s">
        <v>229</v>
      </c>
      <c r="L33" s="70"/>
      <c r="M33" s="70"/>
      <c r="N33" s="71"/>
      <c r="O33" s="31"/>
      <c r="P33" s="31"/>
    </row>
    <row r="34" spans="2:16" x14ac:dyDescent="0.25">
      <c r="B34" s="71" t="s">
        <v>242</v>
      </c>
      <c r="C34" s="70" t="str">
        <f>"35810"</f>
        <v>35810</v>
      </c>
      <c r="D34" s="70" t="s">
        <v>226</v>
      </c>
      <c r="E34" s="71" t="s">
        <v>227</v>
      </c>
      <c r="F34" s="70" t="s">
        <v>228</v>
      </c>
      <c r="G34" s="70">
        <v>800</v>
      </c>
      <c r="H34" s="70">
        <v>900</v>
      </c>
      <c r="I34" s="70">
        <v>900</v>
      </c>
      <c r="J34" s="70" t="s">
        <v>68</v>
      </c>
      <c r="K34" s="70" t="s">
        <v>229</v>
      </c>
      <c r="L34" s="70"/>
      <c r="M34" s="70"/>
      <c r="N34" s="71"/>
      <c r="O34" s="31"/>
      <c r="P34" s="31"/>
    </row>
    <row r="35" spans="2:16" x14ac:dyDescent="0.25">
      <c r="B35" s="71" t="s">
        <v>243</v>
      </c>
      <c r="C35" s="70" t="str">
        <f>"64149"</f>
        <v>64149</v>
      </c>
      <c r="D35" s="70" t="s">
        <v>226</v>
      </c>
      <c r="E35" s="71" t="s">
        <v>231</v>
      </c>
      <c r="F35" s="70" t="s">
        <v>228</v>
      </c>
      <c r="G35" s="70">
        <v>1025</v>
      </c>
      <c r="H35" s="70">
        <v>1075</v>
      </c>
      <c r="I35" s="70">
        <v>1075</v>
      </c>
      <c r="J35" s="70" t="s">
        <v>68</v>
      </c>
      <c r="K35" s="70" t="s">
        <v>229</v>
      </c>
      <c r="L35" s="70"/>
      <c r="M35" s="70"/>
      <c r="N35" s="71"/>
      <c r="O35" s="31"/>
      <c r="P35" s="31"/>
    </row>
    <row r="36" spans="2:16" x14ac:dyDescent="0.25">
      <c r="B36" s="71" t="s">
        <v>244</v>
      </c>
      <c r="C36" s="70" t="str">
        <f>"40206"</f>
        <v>40206</v>
      </c>
      <c r="D36" s="70" t="s">
        <v>226</v>
      </c>
      <c r="E36" s="71" t="s">
        <v>231</v>
      </c>
      <c r="F36" s="70" t="s">
        <v>228</v>
      </c>
      <c r="G36" s="70">
        <v>700</v>
      </c>
      <c r="H36" s="70">
        <v>1000</v>
      </c>
      <c r="I36" s="70">
        <v>1000</v>
      </c>
      <c r="J36" s="70" t="s">
        <v>68</v>
      </c>
      <c r="K36" s="70" t="s">
        <v>229</v>
      </c>
      <c r="L36" s="70"/>
      <c r="M36" s="70"/>
      <c r="N36" s="71"/>
      <c r="O36" s="31"/>
      <c r="P36" s="31"/>
    </row>
    <row r="37" spans="2:16" x14ac:dyDescent="0.25">
      <c r="B37" s="71" t="s">
        <v>245</v>
      </c>
      <c r="C37" s="70" t="str">
        <f>"38109"</f>
        <v>38109</v>
      </c>
      <c r="D37" s="70" t="s">
        <v>226</v>
      </c>
      <c r="E37" s="71" t="s">
        <v>227</v>
      </c>
      <c r="F37" s="70" t="s">
        <v>228</v>
      </c>
      <c r="G37" s="70">
        <v>725</v>
      </c>
      <c r="H37" s="70">
        <v>950</v>
      </c>
      <c r="I37" s="70">
        <v>950</v>
      </c>
      <c r="J37" s="70" t="s">
        <v>68</v>
      </c>
      <c r="K37" s="70" t="s">
        <v>229</v>
      </c>
      <c r="L37" s="70"/>
      <c r="M37" s="70"/>
      <c r="N37" s="71"/>
      <c r="O37" s="31"/>
      <c r="P37" s="31"/>
    </row>
    <row r="38" spans="2:16" x14ac:dyDescent="0.25">
      <c r="B38" s="249" t="s">
        <v>246</v>
      </c>
      <c r="C38" s="250" t="str">
        <f>"55447"</f>
        <v>55447</v>
      </c>
      <c r="D38" s="250" t="s">
        <v>226</v>
      </c>
      <c r="E38" s="249" t="s">
        <v>231</v>
      </c>
      <c r="F38" s="250" t="s">
        <v>228</v>
      </c>
      <c r="G38" s="250">
        <v>1775</v>
      </c>
      <c r="H38" s="250">
        <v>2000</v>
      </c>
      <c r="I38" s="250">
        <v>2000</v>
      </c>
      <c r="J38" s="250" t="s">
        <v>68</v>
      </c>
      <c r="K38" s="250" t="s">
        <v>229</v>
      </c>
      <c r="L38" s="250" t="s">
        <v>233</v>
      </c>
      <c r="M38" s="70"/>
      <c r="N38" s="71"/>
      <c r="O38" s="31"/>
      <c r="P38" s="31"/>
    </row>
    <row r="39" spans="2:16" x14ac:dyDescent="0.25">
      <c r="B39" s="71" t="s">
        <v>247</v>
      </c>
      <c r="C39" s="70" t="str">
        <f>"37201"</f>
        <v>37201</v>
      </c>
      <c r="D39" s="70" t="s">
        <v>226</v>
      </c>
      <c r="E39" s="71" t="s">
        <v>227</v>
      </c>
      <c r="F39" s="70" t="s">
        <v>228</v>
      </c>
      <c r="G39" s="70">
        <v>800</v>
      </c>
      <c r="H39" s="70">
        <v>1000</v>
      </c>
      <c r="I39" s="70">
        <v>1000</v>
      </c>
      <c r="J39" s="70" t="s">
        <v>68</v>
      </c>
      <c r="K39" s="70" t="s">
        <v>229</v>
      </c>
      <c r="L39" s="70"/>
      <c r="M39" s="70"/>
      <c r="N39" s="71"/>
      <c r="O39" s="31"/>
      <c r="P39" s="31"/>
    </row>
    <row r="40" spans="2:16" x14ac:dyDescent="0.25">
      <c r="B40" s="71" t="s">
        <v>248</v>
      </c>
      <c r="C40" s="70" t="str">
        <f>"15206"</f>
        <v>15206</v>
      </c>
      <c r="D40" s="70" t="s">
        <v>226</v>
      </c>
      <c r="E40" s="71" t="s">
        <v>236</v>
      </c>
      <c r="F40" s="70" t="s">
        <v>228</v>
      </c>
      <c r="G40" s="70">
        <v>750</v>
      </c>
      <c r="H40" s="70">
        <v>800</v>
      </c>
      <c r="I40" s="70">
        <v>800</v>
      </c>
      <c r="J40" s="70" t="s">
        <v>68</v>
      </c>
      <c r="K40" s="70" t="s">
        <v>229</v>
      </c>
      <c r="L40" s="70"/>
      <c r="M40" s="70"/>
      <c r="N40" s="71"/>
      <c r="O40" s="31"/>
      <c r="P40" s="31"/>
    </row>
    <row r="41" spans="2:16" x14ac:dyDescent="0.25">
      <c r="B41" s="71" t="s">
        <v>249</v>
      </c>
      <c r="C41" s="70" t="str">
        <f>"63144"</f>
        <v>63144</v>
      </c>
      <c r="D41" s="70" t="s">
        <v>226</v>
      </c>
      <c r="E41" s="71" t="s">
        <v>231</v>
      </c>
      <c r="F41" s="70" t="s">
        <v>228</v>
      </c>
      <c r="G41" s="70">
        <v>825</v>
      </c>
      <c r="H41" s="70">
        <v>1000</v>
      </c>
      <c r="I41" s="70">
        <v>1000</v>
      </c>
      <c r="J41" s="70" t="s">
        <v>68</v>
      </c>
      <c r="K41" s="70" t="s">
        <v>229</v>
      </c>
      <c r="L41" s="70"/>
      <c r="M41" s="70"/>
      <c r="N41" s="71"/>
      <c r="O41" s="31"/>
      <c r="P41" s="31"/>
    </row>
    <row r="42" spans="2:16" x14ac:dyDescent="0.25">
      <c r="B42" s="71" t="s">
        <v>250</v>
      </c>
      <c r="C42" s="298" t="s">
        <v>251</v>
      </c>
      <c r="D42" s="70" t="s">
        <v>226</v>
      </c>
      <c r="E42" s="71" t="s">
        <v>236</v>
      </c>
      <c r="F42" s="70" t="s">
        <v>228</v>
      </c>
      <c r="G42" s="70">
        <v>1050</v>
      </c>
      <c r="H42" s="70">
        <v>1100</v>
      </c>
      <c r="I42" s="70">
        <v>1100</v>
      </c>
      <c r="J42" s="70" t="s">
        <v>68</v>
      </c>
      <c r="K42" s="70" t="s">
        <v>229</v>
      </c>
      <c r="L42" s="70"/>
      <c r="M42" s="70"/>
      <c r="N42" s="71"/>
      <c r="O42" s="31"/>
      <c r="P42" s="31"/>
    </row>
    <row r="43" spans="2:16" x14ac:dyDescent="0.25">
      <c r="E43" s="37"/>
      <c r="F43" s="37"/>
      <c r="G43" s="37"/>
      <c r="H43" s="31"/>
      <c r="J43" s="31"/>
      <c r="K43" s="31"/>
      <c r="L43" s="31"/>
      <c r="M43" s="37"/>
      <c r="N43" s="31"/>
      <c r="O43" s="31"/>
      <c r="P43" s="31"/>
    </row>
    <row r="44" spans="2:16" x14ac:dyDescent="0.25">
      <c r="E44" s="37"/>
      <c r="F44" s="37"/>
      <c r="G44" s="37"/>
      <c r="H44" s="31"/>
      <c r="J44" s="31"/>
      <c r="K44" s="31"/>
      <c r="L44" s="31"/>
      <c r="M44" s="37"/>
      <c r="N44" s="31"/>
      <c r="O44" s="31"/>
      <c r="P44" s="31"/>
    </row>
    <row r="45" spans="2:16" ht="15.6" x14ac:dyDescent="0.25">
      <c r="B45" s="252" t="s">
        <v>542</v>
      </c>
      <c r="C45" s="253"/>
      <c r="D45" s="254"/>
      <c r="E45" s="255"/>
      <c r="F45" s="37"/>
      <c r="G45" s="37"/>
      <c r="H45" s="31"/>
      <c r="J45" s="31"/>
      <c r="K45" s="31"/>
      <c r="L45" s="31"/>
      <c r="M45" s="37"/>
      <c r="N45" s="31"/>
      <c r="O45" s="31"/>
      <c r="P45" s="31"/>
    </row>
    <row r="46" spans="2:16" x14ac:dyDescent="0.25">
      <c r="B46" s="256"/>
      <c r="E46" s="37"/>
      <c r="F46" s="37"/>
      <c r="G46" s="37"/>
      <c r="H46" s="31"/>
      <c r="J46" s="31"/>
      <c r="K46" s="31"/>
      <c r="L46" s="31"/>
      <c r="M46" s="37"/>
      <c r="N46" s="31"/>
      <c r="O46" s="31"/>
      <c r="P46" s="31"/>
    </row>
    <row r="47" spans="2:16" ht="14.4" x14ac:dyDescent="0.3">
      <c r="D47" s="276"/>
      <c r="E47" s="276"/>
      <c r="F47" s="37"/>
      <c r="G47" s="31"/>
      <c r="J47" s="31"/>
      <c r="K47" s="31"/>
      <c r="L47" s="31"/>
      <c r="M47" s="37"/>
      <c r="N47" s="31"/>
      <c r="O47" s="31"/>
      <c r="P47" s="31"/>
    </row>
    <row r="48" spans="2:16" ht="29.25" customHeight="1" x14ac:dyDescent="0.3">
      <c r="B48" s="302" t="s">
        <v>252</v>
      </c>
      <c r="C48" s="438" t="s">
        <v>253</v>
      </c>
      <c r="D48" s="438"/>
      <c r="E48" s="438"/>
      <c r="F48" s="438"/>
      <c r="G48" s="439"/>
      <c r="H48" s="257" t="s">
        <v>254</v>
      </c>
      <c r="I48" s="251"/>
      <c r="J48" s="251"/>
      <c r="K48" s="31"/>
      <c r="L48" s="37"/>
      <c r="M48" s="31"/>
      <c r="N48" s="31"/>
      <c r="O48" s="31"/>
      <c r="P48" s="31"/>
    </row>
    <row r="49" spans="2:16" ht="14.4" x14ac:dyDescent="0.3">
      <c r="B49" s="324" t="s">
        <v>541</v>
      </c>
      <c r="C49" s="277" t="s">
        <v>255</v>
      </c>
      <c r="D49" s="278"/>
      <c r="E49" s="278"/>
      <c r="F49" s="37"/>
      <c r="G49" s="31"/>
      <c r="J49" s="31"/>
      <c r="K49" s="31"/>
      <c r="L49" s="31"/>
      <c r="M49" s="37"/>
      <c r="N49" s="31"/>
      <c r="O49" s="31"/>
      <c r="P49" s="31"/>
    </row>
    <row r="50" spans="2:16" ht="14.4" x14ac:dyDescent="0.3">
      <c r="B50" s="279" t="s">
        <v>256</v>
      </c>
      <c r="C50" s="280" t="s">
        <v>257</v>
      </c>
      <c r="D50" s="278"/>
      <c r="E50" s="278"/>
      <c r="F50" s="37"/>
      <c r="G50" s="31"/>
      <c r="J50" s="31"/>
      <c r="K50" s="31"/>
      <c r="L50" s="31"/>
      <c r="M50" s="37"/>
      <c r="N50" s="31"/>
      <c r="O50" s="31"/>
      <c r="P50" s="31"/>
    </row>
    <row r="51" spans="2:16" ht="14.4" x14ac:dyDescent="0.3">
      <c r="B51" s="279" t="s">
        <v>258</v>
      </c>
      <c r="C51" s="280" t="s">
        <v>259</v>
      </c>
      <c r="D51" s="281" t="s">
        <v>260</v>
      </c>
      <c r="E51" s="278"/>
      <c r="F51" s="37"/>
      <c r="G51" s="31"/>
      <c r="J51" s="31"/>
      <c r="K51" s="31"/>
      <c r="L51" s="31"/>
      <c r="M51" s="37"/>
      <c r="N51" s="31"/>
      <c r="O51" s="31"/>
      <c r="P51" s="31"/>
    </row>
    <row r="52" spans="2:16" ht="14.4" x14ac:dyDescent="0.3">
      <c r="B52" s="279" t="s">
        <v>261</v>
      </c>
      <c r="C52" s="280" t="s">
        <v>262</v>
      </c>
      <c r="D52" s="281" t="s">
        <v>260</v>
      </c>
      <c r="E52" s="278"/>
      <c r="F52" s="37"/>
      <c r="G52" s="31"/>
      <c r="J52" s="31"/>
      <c r="K52" s="31"/>
      <c r="L52" s="31"/>
      <c r="M52" s="37"/>
      <c r="N52" s="31"/>
      <c r="O52" s="31"/>
      <c r="P52" s="31"/>
    </row>
    <row r="53" spans="2:16" ht="14.4" x14ac:dyDescent="0.3">
      <c r="B53" s="279" t="s">
        <v>263</v>
      </c>
      <c r="C53" s="280" t="s">
        <v>264</v>
      </c>
      <c r="D53" s="278"/>
      <c r="E53" s="278"/>
      <c r="F53" s="37"/>
      <c r="G53" s="31"/>
      <c r="J53" s="31"/>
      <c r="K53" s="31"/>
      <c r="L53" s="31"/>
      <c r="M53" s="37"/>
      <c r="N53" s="31"/>
      <c r="O53" s="31"/>
      <c r="P53" s="31"/>
    </row>
    <row r="54" spans="2:16" ht="14.4" x14ac:dyDescent="0.3">
      <c r="B54" s="279" t="s">
        <v>265</v>
      </c>
      <c r="C54" s="280" t="s">
        <v>266</v>
      </c>
      <c r="D54" s="278"/>
      <c r="E54" s="278"/>
      <c r="F54" s="37"/>
      <c r="G54" s="31"/>
      <c r="J54" s="31"/>
      <c r="K54" s="31"/>
      <c r="L54" s="31"/>
      <c r="M54" s="37"/>
      <c r="N54" s="31"/>
      <c r="O54" s="31"/>
      <c r="P54" s="31"/>
    </row>
    <row r="55" spans="2:16" ht="14.4" x14ac:dyDescent="0.3">
      <c r="B55" s="279" t="s">
        <v>267</v>
      </c>
      <c r="C55" s="280" t="s">
        <v>268</v>
      </c>
      <c r="D55" s="278"/>
      <c r="E55" s="278"/>
      <c r="F55" s="37"/>
      <c r="G55" s="31"/>
      <c r="J55" s="31"/>
      <c r="K55" s="31"/>
      <c r="L55" s="31"/>
      <c r="M55" s="37"/>
      <c r="N55" s="31"/>
      <c r="O55" s="31"/>
      <c r="P55" s="31"/>
    </row>
    <row r="56" spans="2:16" ht="14.4" x14ac:dyDescent="0.3">
      <c r="B56" s="279" t="s">
        <v>269</v>
      </c>
      <c r="C56" s="280" t="s">
        <v>270</v>
      </c>
      <c r="D56" s="276"/>
      <c r="E56" s="278"/>
      <c r="F56" s="37"/>
      <c r="G56" s="31"/>
      <c r="J56" s="31"/>
      <c r="K56" s="31" t="s">
        <v>271</v>
      </c>
      <c r="L56" s="31"/>
      <c r="M56" s="37"/>
      <c r="N56" s="31"/>
      <c r="O56" s="31"/>
      <c r="P56" s="31"/>
    </row>
    <row r="57" spans="2:16" ht="14.4" x14ac:dyDescent="0.3">
      <c r="B57" s="282" t="s">
        <v>272</v>
      </c>
      <c r="C57" s="283" t="s">
        <v>273</v>
      </c>
      <c r="D57" s="276"/>
      <c r="E57" s="278"/>
      <c r="F57" s="37"/>
      <c r="G57" s="31"/>
      <c r="J57" s="31"/>
      <c r="K57" s="31"/>
      <c r="L57" s="31"/>
      <c r="M57" s="37"/>
      <c r="N57" s="31"/>
      <c r="O57" s="31"/>
      <c r="P57" s="31"/>
    </row>
    <row r="58" spans="2:16" ht="14.4" x14ac:dyDescent="0.3">
      <c r="B58" s="279" t="s">
        <v>274</v>
      </c>
      <c r="C58" s="280" t="s">
        <v>275</v>
      </c>
      <c r="D58" s="276"/>
      <c r="E58" s="278"/>
      <c r="F58" s="37"/>
      <c r="G58" s="31"/>
      <c r="J58" s="31"/>
      <c r="K58" s="31"/>
      <c r="L58" s="31"/>
      <c r="M58" s="37"/>
      <c r="N58" s="31"/>
      <c r="O58" s="31"/>
      <c r="P58" s="31"/>
    </row>
    <row r="59" spans="2:16" ht="14.4" x14ac:dyDescent="0.3">
      <c r="B59" s="279" t="s">
        <v>276</v>
      </c>
      <c r="C59" s="280" t="s">
        <v>277</v>
      </c>
      <c r="D59" s="276"/>
      <c r="E59" s="278"/>
      <c r="F59" s="37"/>
      <c r="G59" s="31"/>
      <c r="J59" s="31"/>
      <c r="K59" s="31"/>
      <c r="L59" s="31"/>
      <c r="M59" s="37"/>
      <c r="N59" s="31"/>
      <c r="O59" s="31"/>
      <c r="P59" s="31"/>
    </row>
    <row r="60" spans="2:16" ht="14.4" x14ac:dyDescent="0.3">
      <c r="B60" s="279" t="s">
        <v>278</v>
      </c>
      <c r="C60" s="280" t="s">
        <v>279</v>
      </c>
      <c r="D60" s="276"/>
      <c r="E60" s="278"/>
      <c r="F60" s="37"/>
      <c r="G60" s="31"/>
      <c r="J60" s="31"/>
      <c r="K60" s="31"/>
      <c r="L60" s="31"/>
      <c r="M60" s="37"/>
      <c r="N60" s="31"/>
      <c r="O60" s="31"/>
      <c r="P60" s="31"/>
    </row>
    <row r="61" spans="2:16" s="107" customFormat="1" ht="14.4" x14ac:dyDescent="0.3">
      <c r="B61" s="279" t="s">
        <v>280</v>
      </c>
      <c r="C61" s="280" t="s">
        <v>281</v>
      </c>
      <c r="D61" s="276"/>
      <c r="E61" s="278"/>
      <c r="F61" s="37"/>
      <c r="G61" s="31"/>
      <c r="I61" s="31"/>
      <c r="J61" s="31"/>
      <c r="K61" s="31"/>
      <c r="M61" s="258"/>
    </row>
    <row r="62" spans="2:16" ht="14.4" x14ac:dyDescent="0.3">
      <c r="B62" s="279" t="s">
        <v>282</v>
      </c>
      <c r="C62" s="280" t="s">
        <v>270</v>
      </c>
      <c r="D62" s="276"/>
      <c r="E62" s="278"/>
      <c r="F62" s="37"/>
      <c r="G62" s="31"/>
      <c r="J62" s="31"/>
      <c r="K62" s="31"/>
      <c r="L62" s="31"/>
      <c r="M62" s="37"/>
      <c r="N62" s="31"/>
      <c r="O62" s="31"/>
      <c r="P62" s="31"/>
    </row>
    <row r="63" spans="2:16" ht="14.4" x14ac:dyDescent="0.3">
      <c r="B63" s="279" t="s">
        <v>283</v>
      </c>
      <c r="C63" s="280" t="s">
        <v>284</v>
      </c>
      <c r="D63" s="276"/>
      <c r="E63" s="278"/>
      <c r="F63" s="37"/>
      <c r="G63" s="31"/>
      <c r="J63" s="31"/>
      <c r="K63" s="31"/>
      <c r="L63" s="31"/>
      <c r="M63" s="37"/>
      <c r="N63" s="31"/>
      <c r="O63" s="31"/>
      <c r="P63" s="31"/>
    </row>
    <row r="64" spans="2:16" ht="14.4" x14ac:dyDescent="0.3">
      <c r="B64" s="279" t="s">
        <v>285</v>
      </c>
      <c r="C64" s="280" t="s">
        <v>286</v>
      </c>
      <c r="D64" s="58"/>
      <c r="E64" s="278"/>
      <c r="F64" s="37"/>
      <c r="G64" s="31"/>
      <c r="J64" s="31"/>
      <c r="K64" s="31"/>
      <c r="L64" s="31"/>
      <c r="M64" s="37"/>
      <c r="N64" s="31"/>
      <c r="O64" s="31"/>
      <c r="P64" s="31"/>
    </row>
    <row r="65" spans="2:16" ht="14.4" x14ac:dyDescent="0.3">
      <c r="B65" s="279" t="s">
        <v>287</v>
      </c>
      <c r="C65" s="280" t="s">
        <v>641</v>
      </c>
      <c r="D65" s="245"/>
      <c r="E65" s="245"/>
      <c r="F65" s="37"/>
      <c r="G65" s="31"/>
      <c r="J65" s="31"/>
      <c r="K65" s="31"/>
      <c r="L65" s="31"/>
      <c r="M65" s="37"/>
      <c r="N65" s="31"/>
      <c r="O65" s="31"/>
      <c r="P65" s="31"/>
    </row>
    <row r="66" spans="2:16" ht="14.4" x14ac:dyDescent="0.3">
      <c r="B66" s="282" t="s">
        <v>523</v>
      </c>
      <c r="C66" s="283" t="s">
        <v>592</v>
      </c>
      <c r="D66" s="245"/>
      <c r="E66" s="245"/>
      <c r="F66" s="37"/>
      <c r="G66" s="31"/>
      <c r="J66" s="31"/>
      <c r="K66" s="31"/>
      <c r="L66" s="31"/>
      <c r="M66" s="37"/>
      <c r="N66" s="31"/>
      <c r="O66" s="31"/>
      <c r="P66" s="31"/>
    </row>
    <row r="67" spans="2:16" ht="14.4" x14ac:dyDescent="0.3">
      <c r="B67" s="284" t="s">
        <v>288</v>
      </c>
      <c r="C67" s="285" t="s">
        <v>581</v>
      </c>
      <c r="D67" s="285"/>
      <c r="E67" s="245"/>
      <c r="F67" s="245"/>
      <c r="G67" s="37"/>
      <c r="H67" s="31"/>
      <c r="J67" s="31"/>
      <c r="K67" s="31"/>
      <c r="L67" s="31"/>
      <c r="M67" s="37"/>
      <c r="N67" s="31"/>
      <c r="O67" s="31"/>
      <c r="P67" s="31"/>
    </row>
    <row r="68" spans="2:16" ht="14.4" x14ac:dyDescent="0.3">
      <c r="B68" s="284" t="s">
        <v>609</v>
      </c>
      <c r="C68" s="285" t="s">
        <v>610</v>
      </c>
      <c r="D68" s="285"/>
      <c r="E68" s="427"/>
      <c r="F68" s="297" t="s">
        <v>557</v>
      </c>
      <c r="G68" s="37"/>
      <c r="H68" s="31"/>
      <c r="J68" s="31"/>
      <c r="K68" s="31"/>
      <c r="L68" s="31"/>
      <c r="M68" s="37"/>
      <c r="N68" s="31"/>
      <c r="O68" s="31"/>
      <c r="P68" s="31"/>
    </row>
    <row r="69" spans="2:16" ht="14.4" x14ac:dyDescent="0.3">
      <c r="B69" s="282"/>
      <c r="C69" s="34"/>
      <c r="D69" s="283"/>
      <c r="E69" s="245"/>
      <c r="F69" s="245"/>
      <c r="G69" s="37"/>
      <c r="H69" s="31"/>
      <c r="J69" s="31"/>
      <c r="K69" s="31"/>
      <c r="L69" s="31"/>
      <c r="M69" s="37"/>
      <c r="N69" s="31"/>
      <c r="O69" s="31"/>
      <c r="P69" s="31"/>
    </row>
    <row r="70" spans="2:16" ht="14.4" x14ac:dyDescent="0.3">
      <c r="B70" s="291" t="s">
        <v>289</v>
      </c>
      <c r="C70" s="292"/>
      <c r="D70" s="292"/>
      <c r="E70" s="293"/>
      <c r="F70" s="293"/>
      <c r="G70" s="276"/>
      <c r="H70" s="277"/>
      <c r="J70" s="31"/>
      <c r="K70" s="31"/>
      <c r="L70" s="31"/>
      <c r="M70" s="37"/>
      <c r="N70" s="31"/>
      <c r="O70" s="31"/>
      <c r="P70" s="31"/>
    </row>
    <row r="71" spans="2:16" ht="14.4" x14ac:dyDescent="0.3">
      <c r="B71" s="294" t="s">
        <v>290</v>
      </c>
      <c r="C71" s="292"/>
      <c r="D71" s="292"/>
      <c r="E71" s="293"/>
      <c r="F71" s="293"/>
      <c r="G71" s="276"/>
      <c r="H71" s="277"/>
      <c r="J71" s="31"/>
      <c r="K71" s="31"/>
      <c r="L71" s="31"/>
      <c r="M71" s="37"/>
      <c r="N71" s="31"/>
      <c r="O71" s="31"/>
      <c r="P71" s="31"/>
    </row>
    <row r="72" spans="2:16" ht="14.4" x14ac:dyDescent="0.3">
      <c r="B72" s="294" t="s">
        <v>291</v>
      </c>
      <c r="C72" s="292"/>
      <c r="D72" s="292"/>
      <c r="E72" s="293"/>
      <c r="F72" s="293"/>
      <c r="G72" s="276"/>
      <c r="H72" s="277"/>
      <c r="J72" s="31"/>
      <c r="K72" s="31"/>
      <c r="L72" s="31"/>
      <c r="M72" s="37"/>
      <c r="N72" s="31"/>
      <c r="O72" s="31"/>
      <c r="P72" s="31"/>
    </row>
    <row r="73" spans="2:16" ht="36.6" customHeight="1" x14ac:dyDescent="0.3">
      <c r="B73" s="440" t="s">
        <v>292</v>
      </c>
      <c r="C73" s="440"/>
      <c r="D73" s="440"/>
      <c r="E73" s="440"/>
      <c r="F73" s="293"/>
      <c r="G73" s="276"/>
      <c r="H73" s="277"/>
      <c r="J73" s="31"/>
      <c r="K73" s="31"/>
      <c r="L73" s="31"/>
      <c r="M73" s="37"/>
      <c r="N73" s="31"/>
      <c r="O73" s="31"/>
      <c r="P73" s="31"/>
    </row>
    <row r="74" spans="2:16" x14ac:dyDescent="0.25">
      <c r="B74" s="295" t="s">
        <v>293</v>
      </c>
      <c r="C74" s="295"/>
      <c r="D74" s="295"/>
      <c r="E74" s="296"/>
      <c r="F74" s="296"/>
      <c r="G74" s="37"/>
      <c r="H74" s="31"/>
      <c r="J74" s="31"/>
      <c r="K74" s="31"/>
      <c r="L74" s="31"/>
      <c r="M74" s="37"/>
      <c r="N74" s="31"/>
      <c r="O74" s="31"/>
      <c r="P74" s="31"/>
    </row>
    <row r="75" spans="2:16" ht="14.4" x14ac:dyDescent="0.3">
      <c r="B75" s="261"/>
      <c r="C75" s="277"/>
      <c r="D75" s="277"/>
      <c r="E75" s="276"/>
      <c r="F75" s="276"/>
      <c r="G75" s="276"/>
      <c r="H75" s="277"/>
      <c r="J75" s="31"/>
      <c r="K75" s="31"/>
      <c r="L75" s="31"/>
      <c r="M75" s="37"/>
      <c r="N75" s="31"/>
      <c r="O75" s="31"/>
      <c r="P75" s="31"/>
    </row>
    <row r="76" spans="2:16" ht="14.4" x14ac:dyDescent="0.3">
      <c r="B76" s="259" t="s">
        <v>294</v>
      </c>
      <c r="C76" s="277"/>
      <c r="D76" s="277"/>
      <c r="E76" s="276"/>
      <c r="F76" s="276"/>
      <c r="G76" s="276"/>
      <c r="H76" s="277"/>
      <c r="J76" s="31"/>
      <c r="K76" s="31"/>
      <c r="L76" s="31"/>
      <c r="M76" s="37"/>
      <c r="N76" s="31"/>
      <c r="O76" s="31"/>
      <c r="P76" s="31"/>
    </row>
    <row r="77" spans="2:16" ht="14.4" x14ac:dyDescent="0.3">
      <c r="B77" s="262" t="s">
        <v>295</v>
      </c>
      <c r="C77" s="277"/>
      <c r="D77" s="277"/>
      <c r="E77" s="276"/>
      <c r="F77" s="276"/>
      <c r="G77" s="276"/>
      <c r="H77" s="277"/>
      <c r="J77" s="31"/>
      <c r="K77" s="31"/>
      <c r="L77" s="31"/>
      <c r="M77" s="37"/>
      <c r="N77" s="31"/>
      <c r="O77" s="31"/>
      <c r="P77" s="31"/>
    </row>
    <row r="78" spans="2:16" ht="14.4" x14ac:dyDescent="0.3">
      <c r="B78" s="262" t="s">
        <v>296</v>
      </c>
      <c r="C78" s="277"/>
      <c r="D78" s="277"/>
      <c r="E78" s="276"/>
      <c r="F78" s="276"/>
      <c r="G78" s="276"/>
      <c r="H78" s="277"/>
      <c r="J78" s="31"/>
      <c r="K78" s="31"/>
      <c r="L78" s="31"/>
      <c r="M78" s="37"/>
      <c r="N78" s="31"/>
      <c r="O78" s="31"/>
      <c r="P78" s="31"/>
    </row>
    <row r="79" spans="2:16" ht="14.4" x14ac:dyDescent="0.3">
      <c r="B79" s="260"/>
      <c r="C79" s="277"/>
      <c r="D79" s="277"/>
      <c r="E79" s="276"/>
      <c r="F79" s="276"/>
      <c r="G79" s="276"/>
      <c r="H79" s="277"/>
      <c r="J79" s="31"/>
      <c r="K79" s="31"/>
      <c r="L79" s="31"/>
      <c r="M79" s="37"/>
      <c r="N79" s="31"/>
      <c r="O79" s="31"/>
      <c r="P79" s="31"/>
    </row>
    <row r="80" spans="2:16" ht="14.4" x14ac:dyDescent="0.3">
      <c r="B80" s="263" t="s">
        <v>297</v>
      </c>
      <c r="E80" s="37"/>
      <c r="F80" s="37"/>
      <c r="G80" s="37"/>
      <c r="H80" s="277"/>
      <c r="J80" s="31"/>
      <c r="K80" s="31"/>
      <c r="L80" s="31"/>
      <c r="M80" s="37"/>
      <c r="N80" s="31"/>
      <c r="O80" s="31"/>
      <c r="P80" s="31"/>
    </row>
    <row r="81" spans="2:17" ht="15" thickBot="1" x14ac:dyDescent="0.35">
      <c r="B81" s="264"/>
      <c r="E81" s="37"/>
      <c r="F81" s="37"/>
      <c r="G81" s="37"/>
      <c r="H81" s="277"/>
      <c r="J81" s="31"/>
      <c r="K81" s="31"/>
      <c r="L81" s="31"/>
      <c r="M81" s="37"/>
      <c r="N81" s="31"/>
      <c r="O81" s="31"/>
      <c r="P81" s="31"/>
    </row>
    <row r="82" spans="2:17" ht="25.8" thickBot="1" x14ac:dyDescent="0.35">
      <c r="B82" s="265" t="s">
        <v>298</v>
      </c>
      <c r="C82" s="266" t="s">
        <v>299</v>
      </c>
      <c r="D82" s="266" t="s">
        <v>300</v>
      </c>
      <c r="E82" s="266" t="s">
        <v>301</v>
      </c>
      <c r="F82" s="266" t="s">
        <v>302</v>
      </c>
      <c r="G82" s="266" t="s">
        <v>303</v>
      </c>
      <c r="H82" s="277"/>
      <c r="J82" s="31"/>
      <c r="K82" s="31"/>
      <c r="L82" s="31"/>
      <c r="M82" s="37"/>
      <c r="N82" s="31"/>
      <c r="O82" s="31"/>
      <c r="P82" s="31"/>
    </row>
    <row r="83" spans="2:17" ht="225" customHeight="1" thickBot="1" x14ac:dyDescent="0.35">
      <c r="B83" s="267" t="s">
        <v>304</v>
      </c>
      <c r="C83" s="268" t="s">
        <v>305</v>
      </c>
      <c r="D83" s="269" t="s">
        <v>306</v>
      </c>
      <c r="E83" s="269" t="s">
        <v>307</v>
      </c>
      <c r="F83" s="270" t="s">
        <v>308</v>
      </c>
      <c r="G83" s="271" t="s">
        <v>309</v>
      </c>
      <c r="H83" s="277"/>
      <c r="J83" s="31"/>
      <c r="K83" s="31"/>
      <c r="L83" s="31"/>
      <c r="M83" s="37"/>
      <c r="N83" s="31"/>
      <c r="O83" s="31"/>
      <c r="P83" s="31"/>
    </row>
    <row r="84" spans="2:17" x14ac:dyDescent="0.25">
      <c r="E84" s="37"/>
      <c r="F84" s="37"/>
      <c r="G84" s="37"/>
      <c r="H84" s="31"/>
      <c r="J84" s="31"/>
      <c r="K84" s="31"/>
      <c r="L84" s="31"/>
      <c r="M84" s="37"/>
      <c r="N84" s="31"/>
      <c r="O84" s="31"/>
      <c r="P84" s="31"/>
    </row>
    <row r="85" spans="2:17" x14ac:dyDescent="0.25">
      <c r="E85" s="37"/>
      <c r="F85" s="37"/>
      <c r="G85" s="37"/>
      <c r="H85" s="31"/>
      <c r="J85" s="31"/>
      <c r="K85" s="31"/>
      <c r="L85" s="31"/>
      <c r="M85" s="37"/>
      <c r="N85" s="31"/>
      <c r="O85" s="31"/>
      <c r="P85" s="31"/>
    </row>
    <row r="86" spans="2:17" ht="14.4" x14ac:dyDescent="0.25">
      <c r="B86" s="272" t="s">
        <v>310</v>
      </c>
      <c r="E86" s="37"/>
      <c r="F86" s="37"/>
      <c r="G86" s="37"/>
      <c r="H86" s="31"/>
      <c r="J86" s="31"/>
      <c r="K86" s="31"/>
      <c r="L86" s="31"/>
      <c r="M86" s="37"/>
      <c r="N86" s="31"/>
      <c r="O86" s="31"/>
      <c r="P86" s="31"/>
    </row>
    <row r="87" spans="2:17" ht="14.4" x14ac:dyDescent="0.25">
      <c r="B87" s="273" t="s">
        <v>311</v>
      </c>
      <c r="E87" s="37"/>
      <c r="F87" s="37"/>
      <c r="G87" s="37"/>
      <c r="H87" s="31"/>
      <c r="J87" s="31"/>
      <c r="K87" s="31"/>
      <c r="L87" s="31"/>
      <c r="M87" s="37"/>
      <c r="N87" s="31"/>
      <c r="O87" s="31"/>
      <c r="P87" s="31"/>
    </row>
    <row r="88" spans="2:17" ht="14.4" x14ac:dyDescent="0.25">
      <c r="B88" s="273" t="s">
        <v>312</v>
      </c>
      <c r="E88" s="37"/>
      <c r="F88" s="37"/>
      <c r="G88" s="37"/>
      <c r="H88" s="31"/>
      <c r="J88" s="31"/>
      <c r="K88" s="31"/>
      <c r="L88" s="31"/>
      <c r="M88" s="37"/>
      <c r="N88" s="31"/>
      <c r="O88" s="31"/>
      <c r="P88" s="31"/>
    </row>
    <row r="89" spans="2:17" x14ac:dyDescent="0.25">
      <c r="B89" s="116"/>
      <c r="C89" s="116"/>
      <c r="D89" s="116"/>
      <c r="E89" s="290"/>
      <c r="F89" s="290"/>
      <c r="G89" s="290"/>
      <c r="H89" s="116"/>
      <c r="I89" s="116"/>
      <c r="J89" s="116"/>
      <c r="K89" s="116"/>
      <c r="L89" s="116"/>
      <c r="M89" s="290"/>
      <c r="N89" s="116"/>
      <c r="O89" s="116"/>
      <c r="P89" s="116"/>
      <c r="Q89" s="116"/>
    </row>
    <row r="90" spans="2:17" s="54" customFormat="1" ht="21" x14ac:dyDescent="0.25">
      <c r="B90" s="411" t="s">
        <v>313</v>
      </c>
      <c r="C90" s="31"/>
      <c r="D90" s="31"/>
      <c r="E90" s="37"/>
      <c r="F90" s="37"/>
      <c r="G90" s="37"/>
      <c r="H90" s="31"/>
      <c r="I90" s="31"/>
      <c r="J90" s="31"/>
      <c r="K90" s="31"/>
      <c r="P90" s="21"/>
      <c r="Q90" s="31"/>
    </row>
    <row r="91" spans="2:17" s="54" customFormat="1" ht="20.399999999999999" x14ac:dyDescent="0.35">
      <c r="B91" s="412" t="s">
        <v>314</v>
      </c>
      <c r="C91" s="31"/>
      <c r="D91" s="31"/>
      <c r="E91" s="37"/>
      <c r="F91" s="37"/>
      <c r="G91" s="37"/>
      <c r="H91" s="31"/>
      <c r="I91" s="31"/>
      <c r="J91" s="31"/>
      <c r="K91" s="31"/>
      <c r="P91" s="21"/>
      <c r="Q91" s="31"/>
    </row>
    <row r="92" spans="2:17" s="54" customFormat="1" x14ac:dyDescent="0.25">
      <c r="B92" s="31"/>
      <c r="C92" s="31"/>
      <c r="D92" s="31"/>
      <c r="E92" s="37"/>
      <c r="F92" s="37"/>
      <c r="G92" s="37"/>
      <c r="H92" s="31"/>
      <c r="I92" s="31"/>
      <c r="J92" s="31"/>
      <c r="K92" s="31"/>
      <c r="P92" s="21"/>
      <c r="Q92" s="31"/>
    </row>
  </sheetData>
  <autoFilter ref="B8:P21" xr:uid="{2D6FD738-6DA5-4BF1-977A-0974AF4426A2}">
    <filterColumn colId="0">
      <filters>
        <filter val="VALENCIA"/>
      </filters>
    </filterColumn>
    <filterColumn colId="1">
      <filters>
        <filter val="Norfolk, Norfolk, Virginia, United States"/>
      </filters>
    </filterColumn>
  </autoFilter>
  <mergeCells count="5">
    <mergeCell ref="B21:Q21"/>
    <mergeCell ref="B22:I22"/>
    <mergeCell ref="B23:D23"/>
    <mergeCell ref="C48:G48"/>
    <mergeCell ref="B73:E73"/>
  </mergeCells>
  <phoneticPr fontId="72" type="noConversion"/>
  <conditionalFormatting sqref="D22:E22 D43:E46 D47 C67:C68 D67:E92 C48:C51 D49:D50 D65:D66">
    <cfRule type="duplicateValues" dxfId="27" priority="117" stopIfTrue="1"/>
  </conditionalFormatting>
  <hyperlinks>
    <hyperlink ref="B91" r:id="rId1" display="https://moc.oocl.com/wls_prs_rp/public/ruleTariff/OOLL-100/E-40-72/display/today" xr:uid="{0362A9AD-B345-4F12-9743-32A450082D78}"/>
    <hyperlink ref="F68" r:id="rId2" display="https://moc.oocl.com/wls_prs_rp/public/ruleTariff/OOLL-100/T-53/display/20260413" xr:uid="{33F5F638-9EE5-4C02-ABC7-1A9E368C64E3}"/>
  </hyperlinks>
  <pageMargins left="0.75" right="0.75" top="1" bottom="1" header="0.5" footer="0.5"/>
  <pageSetup paperSize="9" scale="65" orientation="landscape"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5"/>
  <dimension ref="A1:Q64"/>
  <sheetViews>
    <sheetView topLeftCell="A12" workbookViewId="0">
      <selection activeCell="A45" sqref="A45:XFD46"/>
    </sheetView>
  </sheetViews>
  <sheetFormatPr baseColWidth="10" defaultColWidth="8.88671875" defaultRowHeight="13.2" x14ac:dyDescent="0.25"/>
  <cols>
    <col min="1" max="1" width="3.6640625" style="31" customWidth="1"/>
    <col min="2" max="2" width="21.44140625" style="31" customWidth="1"/>
    <col min="3" max="3" width="33" style="31" customWidth="1"/>
    <col min="4" max="4" width="10.33203125" style="31" customWidth="1"/>
    <col min="5" max="5" width="28.88671875" style="31" customWidth="1"/>
    <col min="6" max="6" width="9.6640625" style="31" customWidth="1"/>
    <col min="7" max="7" width="11.6640625" style="21" customWidth="1"/>
    <col min="8" max="8" width="7.44140625" style="31" customWidth="1"/>
    <col min="9" max="9" width="10.33203125" style="21" customWidth="1"/>
    <col min="10" max="10" width="34.44140625" style="21" customWidth="1"/>
    <col min="11" max="11" width="10.33203125" style="54" customWidth="1"/>
    <col min="12" max="12" width="8.88671875" style="54" customWidth="1"/>
    <col min="13" max="13" width="16.44140625" style="54" bestFit="1" customWidth="1"/>
    <col min="14" max="14" width="33" style="54" customWidth="1"/>
    <col min="15" max="15" width="16.33203125" style="21" hidden="1" customWidth="1"/>
    <col min="16" max="16" width="25.5546875" style="31" hidden="1" customWidth="1"/>
    <col min="17" max="17" width="9.33203125" style="31" customWidth="1"/>
    <col min="18" max="18" width="14.33203125" style="31" customWidth="1"/>
    <col min="19" max="19" width="12.44140625" style="31" customWidth="1"/>
    <col min="20" max="253" width="9.33203125" style="31"/>
    <col min="254" max="254" width="2.44140625" style="31" customWidth="1"/>
    <col min="255" max="255" width="15.33203125" style="31" customWidth="1"/>
    <col min="256" max="256" width="17.33203125" style="31" customWidth="1"/>
    <col min="257" max="257" width="3.5546875" style="31" customWidth="1"/>
    <col min="258" max="258" width="17.33203125" style="31" customWidth="1"/>
    <col min="259" max="259" width="0.33203125" style="31" customWidth="1"/>
    <col min="260" max="260" width="4.6640625" style="31" customWidth="1"/>
    <col min="261" max="262" width="7.6640625" style="31" customWidth="1"/>
    <col min="263" max="268" width="8.6640625" style="31" customWidth="1"/>
    <col min="269" max="271" width="10.6640625" style="31" customWidth="1"/>
    <col min="272" max="272" width="25.5546875" style="31" customWidth="1"/>
    <col min="273" max="273" width="9.33203125" style="31" customWidth="1"/>
    <col min="274" max="274" width="14.33203125" style="31" customWidth="1"/>
    <col min="275" max="275" width="12.44140625" style="31" customWidth="1"/>
    <col min="276" max="509" width="9.33203125" style="31"/>
    <col min="510" max="510" width="2.44140625" style="31" customWidth="1"/>
    <col min="511" max="511" width="15.33203125" style="31" customWidth="1"/>
    <col min="512" max="512" width="17.33203125" style="31" customWidth="1"/>
    <col min="513" max="513" width="3.5546875" style="31" customWidth="1"/>
    <col min="514" max="514" width="17.33203125" style="31" customWidth="1"/>
    <col min="515" max="515" width="0.33203125" style="31" customWidth="1"/>
    <col min="516" max="516" width="4.6640625" style="31" customWidth="1"/>
    <col min="517" max="518" width="7.6640625" style="31" customWidth="1"/>
    <col min="519" max="524" width="8.6640625" style="31" customWidth="1"/>
    <col min="525" max="527" width="10.6640625" style="31" customWidth="1"/>
    <col min="528" max="528" width="25.5546875" style="31" customWidth="1"/>
    <col min="529" max="529" width="9.33203125" style="31" customWidth="1"/>
    <col min="530" max="530" width="14.33203125" style="31" customWidth="1"/>
    <col min="531" max="531" width="12.44140625" style="31" customWidth="1"/>
    <col min="532" max="765" width="9.33203125" style="31"/>
    <col min="766" max="766" width="2.44140625" style="31" customWidth="1"/>
    <col min="767" max="767" width="15.33203125" style="31" customWidth="1"/>
    <col min="768" max="768" width="17.33203125" style="31" customWidth="1"/>
    <col min="769" max="769" width="3.5546875" style="31" customWidth="1"/>
    <col min="770" max="770" width="17.33203125" style="31" customWidth="1"/>
    <col min="771" max="771" width="0.33203125" style="31" customWidth="1"/>
    <col min="772" max="772" width="4.6640625" style="31" customWidth="1"/>
    <col min="773" max="774" width="7.6640625" style="31" customWidth="1"/>
    <col min="775" max="780" width="8.6640625" style="31" customWidth="1"/>
    <col min="781" max="783" width="10.6640625" style="31" customWidth="1"/>
    <col min="784" max="784" width="25.5546875" style="31" customWidth="1"/>
    <col min="785" max="785" width="9.33203125" style="31" customWidth="1"/>
    <col min="786" max="786" width="14.33203125" style="31" customWidth="1"/>
    <col min="787" max="787" width="12.44140625" style="31" customWidth="1"/>
    <col min="788" max="1021" width="9.33203125" style="31"/>
    <col min="1022" max="1022" width="2.44140625" style="31" customWidth="1"/>
    <col min="1023" max="1023" width="15.33203125" style="31" customWidth="1"/>
    <col min="1024" max="1024" width="17.33203125" style="31" customWidth="1"/>
    <col min="1025" max="1025" width="3.5546875" style="31" customWidth="1"/>
    <col min="1026" max="1026" width="17.33203125" style="31" customWidth="1"/>
    <col min="1027" max="1027" width="0.33203125" style="31" customWidth="1"/>
    <col min="1028" max="1028" width="4.6640625" style="31" customWidth="1"/>
    <col min="1029" max="1030" width="7.6640625" style="31" customWidth="1"/>
    <col min="1031" max="1036" width="8.6640625" style="31" customWidth="1"/>
    <col min="1037" max="1039" width="10.6640625" style="31" customWidth="1"/>
    <col min="1040" max="1040" width="25.5546875" style="31" customWidth="1"/>
    <col min="1041" max="1041" width="9.33203125" style="31" customWidth="1"/>
    <col min="1042" max="1042" width="14.33203125" style="31" customWidth="1"/>
    <col min="1043" max="1043" width="12.44140625" style="31" customWidth="1"/>
    <col min="1044" max="1277" width="9.33203125" style="31"/>
    <col min="1278" max="1278" width="2.44140625" style="31" customWidth="1"/>
    <col min="1279" max="1279" width="15.33203125" style="31" customWidth="1"/>
    <col min="1280" max="1280" width="17.33203125" style="31" customWidth="1"/>
    <col min="1281" max="1281" width="3.5546875" style="31" customWidth="1"/>
    <col min="1282" max="1282" width="17.33203125" style="31" customWidth="1"/>
    <col min="1283" max="1283" width="0.33203125" style="31" customWidth="1"/>
    <col min="1284" max="1284" width="4.6640625" style="31" customWidth="1"/>
    <col min="1285" max="1286" width="7.6640625" style="31" customWidth="1"/>
    <col min="1287" max="1292" width="8.6640625" style="31" customWidth="1"/>
    <col min="1293" max="1295" width="10.6640625" style="31" customWidth="1"/>
    <col min="1296" max="1296" width="25.5546875" style="31" customWidth="1"/>
    <col min="1297" max="1297" width="9.33203125" style="31" customWidth="1"/>
    <col min="1298" max="1298" width="14.33203125" style="31" customWidth="1"/>
    <col min="1299" max="1299" width="12.44140625" style="31" customWidth="1"/>
    <col min="1300" max="1533" width="9.33203125" style="31"/>
    <col min="1534" max="1534" width="2.44140625" style="31" customWidth="1"/>
    <col min="1535" max="1535" width="15.33203125" style="31" customWidth="1"/>
    <col min="1536" max="1536" width="17.33203125" style="31" customWidth="1"/>
    <col min="1537" max="1537" width="3.5546875" style="31" customWidth="1"/>
    <col min="1538" max="1538" width="17.33203125" style="31" customWidth="1"/>
    <col min="1539" max="1539" width="0.33203125" style="31" customWidth="1"/>
    <col min="1540" max="1540" width="4.6640625" style="31" customWidth="1"/>
    <col min="1541" max="1542" width="7.6640625" style="31" customWidth="1"/>
    <col min="1543" max="1548" width="8.6640625" style="31" customWidth="1"/>
    <col min="1549" max="1551" width="10.6640625" style="31" customWidth="1"/>
    <col min="1552" max="1552" width="25.5546875" style="31" customWidth="1"/>
    <col min="1553" max="1553" width="9.33203125" style="31" customWidth="1"/>
    <col min="1554" max="1554" width="14.33203125" style="31" customWidth="1"/>
    <col min="1555" max="1555" width="12.44140625" style="31" customWidth="1"/>
    <col min="1556" max="1789" width="9.33203125" style="31"/>
    <col min="1790" max="1790" width="2.44140625" style="31" customWidth="1"/>
    <col min="1791" max="1791" width="15.33203125" style="31" customWidth="1"/>
    <col min="1792" max="1792" width="17.33203125" style="31" customWidth="1"/>
    <col min="1793" max="1793" width="3.5546875" style="31" customWidth="1"/>
    <col min="1794" max="1794" width="17.33203125" style="31" customWidth="1"/>
    <col min="1795" max="1795" width="0.33203125" style="31" customWidth="1"/>
    <col min="1796" max="1796" width="4.6640625" style="31" customWidth="1"/>
    <col min="1797" max="1798" width="7.6640625" style="31" customWidth="1"/>
    <col min="1799" max="1804" width="8.6640625" style="31" customWidth="1"/>
    <col min="1805" max="1807" width="10.6640625" style="31" customWidth="1"/>
    <col min="1808" max="1808" width="25.5546875" style="31" customWidth="1"/>
    <col min="1809" max="1809" width="9.33203125" style="31" customWidth="1"/>
    <col min="1810" max="1810" width="14.33203125" style="31" customWidth="1"/>
    <col min="1811" max="1811" width="12.44140625" style="31" customWidth="1"/>
    <col min="1812" max="2045" width="9.33203125" style="31"/>
    <col min="2046" max="2046" width="2.44140625" style="31" customWidth="1"/>
    <col min="2047" max="2047" width="15.33203125" style="31" customWidth="1"/>
    <col min="2048" max="2048" width="17.33203125" style="31" customWidth="1"/>
    <col min="2049" max="2049" width="3.5546875" style="31" customWidth="1"/>
    <col min="2050" max="2050" width="17.33203125" style="31" customWidth="1"/>
    <col min="2051" max="2051" width="0.33203125" style="31" customWidth="1"/>
    <col min="2052" max="2052" width="4.6640625" style="31" customWidth="1"/>
    <col min="2053" max="2054" width="7.6640625" style="31" customWidth="1"/>
    <col min="2055" max="2060" width="8.6640625" style="31" customWidth="1"/>
    <col min="2061" max="2063" width="10.6640625" style="31" customWidth="1"/>
    <col min="2064" max="2064" width="25.5546875" style="31" customWidth="1"/>
    <col min="2065" max="2065" width="9.33203125" style="31" customWidth="1"/>
    <col min="2066" max="2066" width="14.33203125" style="31" customWidth="1"/>
    <col min="2067" max="2067" width="12.44140625" style="31" customWidth="1"/>
    <col min="2068" max="2301" width="9.33203125" style="31"/>
    <col min="2302" max="2302" width="2.44140625" style="31" customWidth="1"/>
    <col min="2303" max="2303" width="15.33203125" style="31" customWidth="1"/>
    <col min="2304" max="2304" width="17.33203125" style="31" customWidth="1"/>
    <col min="2305" max="2305" width="3.5546875" style="31" customWidth="1"/>
    <col min="2306" max="2306" width="17.33203125" style="31" customWidth="1"/>
    <col min="2307" max="2307" width="0.33203125" style="31" customWidth="1"/>
    <col min="2308" max="2308" width="4.6640625" style="31" customWidth="1"/>
    <col min="2309" max="2310" width="7.6640625" style="31" customWidth="1"/>
    <col min="2311" max="2316" width="8.6640625" style="31" customWidth="1"/>
    <col min="2317" max="2319" width="10.6640625" style="31" customWidth="1"/>
    <col min="2320" max="2320" width="25.5546875" style="31" customWidth="1"/>
    <col min="2321" max="2321" width="9.33203125" style="31" customWidth="1"/>
    <col min="2322" max="2322" width="14.33203125" style="31" customWidth="1"/>
    <col min="2323" max="2323" width="12.44140625" style="31" customWidth="1"/>
    <col min="2324" max="2557" width="9.33203125" style="31"/>
    <col min="2558" max="2558" width="2.44140625" style="31" customWidth="1"/>
    <col min="2559" max="2559" width="15.33203125" style="31" customWidth="1"/>
    <col min="2560" max="2560" width="17.33203125" style="31" customWidth="1"/>
    <col min="2561" max="2561" width="3.5546875" style="31" customWidth="1"/>
    <col min="2562" max="2562" width="17.33203125" style="31" customWidth="1"/>
    <col min="2563" max="2563" width="0.33203125" style="31" customWidth="1"/>
    <col min="2564" max="2564" width="4.6640625" style="31" customWidth="1"/>
    <col min="2565" max="2566" width="7.6640625" style="31" customWidth="1"/>
    <col min="2567" max="2572" width="8.6640625" style="31" customWidth="1"/>
    <col min="2573" max="2575" width="10.6640625" style="31" customWidth="1"/>
    <col min="2576" max="2576" width="25.5546875" style="31" customWidth="1"/>
    <col min="2577" max="2577" width="9.33203125" style="31" customWidth="1"/>
    <col min="2578" max="2578" width="14.33203125" style="31" customWidth="1"/>
    <col min="2579" max="2579" width="12.44140625" style="31" customWidth="1"/>
    <col min="2580" max="2813" width="9.33203125" style="31"/>
    <col min="2814" max="2814" width="2.44140625" style="31" customWidth="1"/>
    <col min="2815" max="2815" width="15.33203125" style="31" customWidth="1"/>
    <col min="2816" max="2816" width="17.33203125" style="31" customWidth="1"/>
    <col min="2817" max="2817" width="3.5546875" style="31" customWidth="1"/>
    <col min="2818" max="2818" width="17.33203125" style="31" customWidth="1"/>
    <col min="2819" max="2819" width="0.33203125" style="31" customWidth="1"/>
    <col min="2820" max="2820" width="4.6640625" style="31" customWidth="1"/>
    <col min="2821" max="2822" width="7.6640625" style="31" customWidth="1"/>
    <col min="2823" max="2828" width="8.6640625" style="31" customWidth="1"/>
    <col min="2829" max="2831" width="10.6640625" style="31" customWidth="1"/>
    <col min="2832" max="2832" width="25.5546875" style="31" customWidth="1"/>
    <col min="2833" max="2833" width="9.33203125" style="31" customWidth="1"/>
    <col min="2834" max="2834" width="14.33203125" style="31" customWidth="1"/>
    <col min="2835" max="2835" width="12.44140625" style="31" customWidth="1"/>
    <col min="2836" max="3069" width="9.33203125" style="31"/>
    <col min="3070" max="3070" width="2.44140625" style="31" customWidth="1"/>
    <col min="3071" max="3071" width="15.33203125" style="31" customWidth="1"/>
    <col min="3072" max="3072" width="17.33203125" style="31" customWidth="1"/>
    <col min="3073" max="3073" width="3.5546875" style="31" customWidth="1"/>
    <col min="3074" max="3074" width="17.33203125" style="31" customWidth="1"/>
    <col min="3075" max="3075" width="0.33203125" style="31" customWidth="1"/>
    <col min="3076" max="3076" width="4.6640625" style="31" customWidth="1"/>
    <col min="3077" max="3078" width="7.6640625" style="31" customWidth="1"/>
    <col min="3079" max="3084" width="8.6640625" style="31" customWidth="1"/>
    <col min="3085" max="3087" width="10.6640625" style="31" customWidth="1"/>
    <col min="3088" max="3088" width="25.5546875" style="31" customWidth="1"/>
    <col min="3089" max="3089" width="9.33203125" style="31" customWidth="1"/>
    <col min="3090" max="3090" width="14.33203125" style="31" customWidth="1"/>
    <col min="3091" max="3091" width="12.44140625" style="31" customWidth="1"/>
    <col min="3092" max="3325" width="9.33203125" style="31"/>
    <col min="3326" max="3326" width="2.44140625" style="31" customWidth="1"/>
    <col min="3327" max="3327" width="15.33203125" style="31" customWidth="1"/>
    <col min="3328" max="3328" width="17.33203125" style="31" customWidth="1"/>
    <col min="3329" max="3329" width="3.5546875" style="31" customWidth="1"/>
    <col min="3330" max="3330" width="17.33203125" style="31" customWidth="1"/>
    <col min="3331" max="3331" width="0.33203125" style="31" customWidth="1"/>
    <col min="3332" max="3332" width="4.6640625" style="31" customWidth="1"/>
    <col min="3333" max="3334" width="7.6640625" style="31" customWidth="1"/>
    <col min="3335" max="3340" width="8.6640625" style="31" customWidth="1"/>
    <col min="3341" max="3343" width="10.6640625" style="31" customWidth="1"/>
    <col min="3344" max="3344" width="25.5546875" style="31" customWidth="1"/>
    <col min="3345" max="3345" width="9.33203125" style="31" customWidth="1"/>
    <col min="3346" max="3346" width="14.33203125" style="31" customWidth="1"/>
    <col min="3347" max="3347" width="12.44140625" style="31" customWidth="1"/>
    <col min="3348" max="3581" width="9.33203125" style="31"/>
    <col min="3582" max="3582" width="2.44140625" style="31" customWidth="1"/>
    <col min="3583" max="3583" width="15.33203125" style="31" customWidth="1"/>
    <col min="3584" max="3584" width="17.33203125" style="31" customWidth="1"/>
    <col min="3585" max="3585" width="3.5546875" style="31" customWidth="1"/>
    <col min="3586" max="3586" width="17.33203125" style="31" customWidth="1"/>
    <col min="3587" max="3587" width="0.33203125" style="31" customWidth="1"/>
    <col min="3588" max="3588" width="4.6640625" style="31" customWidth="1"/>
    <col min="3589" max="3590" width="7.6640625" style="31" customWidth="1"/>
    <col min="3591" max="3596" width="8.6640625" style="31" customWidth="1"/>
    <col min="3597" max="3599" width="10.6640625" style="31" customWidth="1"/>
    <col min="3600" max="3600" width="25.5546875" style="31" customWidth="1"/>
    <col min="3601" max="3601" width="9.33203125" style="31" customWidth="1"/>
    <col min="3602" max="3602" width="14.33203125" style="31" customWidth="1"/>
    <col min="3603" max="3603" width="12.44140625" style="31" customWidth="1"/>
    <col min="3604" max="3837" width="9.33203125" style="31"/>
    <col min="3838" max="3838" width="2.44140625" style="31" customWidth="1"/>
    <col min="3839" max="3839" width="15.33203125" style="31" customWidth="1"/>
    <col min="3840" max="3840" width="17.33203125" style="31" customWidth="1"/>
    <col min="3841" max="3841" width="3.5546875" style="31" customWidth="1"/>
    <col min="3842" max="3842" width="17.33203125" style="31" customWidth="1"/>
    <col min="3843" max="3843" width="0.33203125" style="31" customWidth="1"/>
    <col min="3844" max="3844" width="4.6640625" style="31" customWidth="1"/>
    <col min="3845" max="3846" width="7.6640625" style="31" customWidth="1"/>
    <col min="3847" max="3852" width="8.6640625" style="31" customWidth="1"/>
    <col min="3853" max="3855" width="10.6640625" style="31" customWidth="1"/>
    <col min="3856" max="3856" width="25.5546875" style="31" customWidth="1"/>
    <col min="3857" max="3857" width="9.33203125" style="31" customWidth="1"/>
    <col min="3858" max="3858" width="14.33203125" style="31" customWidth="1"/>
    <col min="3859" max="3859" width="12.44140625" style="31" customWidth="1"/>
    <col min="3860" max="4093" width="9.33203125" style="31"/>
    <col min="4094" max="4094" width="2.44140625" style="31" customWidth="1"/>
    <col min="4095" max="4095" width="15.33203125" style="31" customWidth="1"/>
    <col min="4096" max="4096" width="17.33203125" style="31" customWidth="1"/>
    <col min="4097" max="4097" width="3.5546875" style="31" customWidth="1"/>
    <col min="4098" max="4098" width="17.33203125" style="31" customWidth="1"/>
    <col min="4099" max="4099" width="0.33203125" style="31" customWidth="1"/>
    <col min="4100" max="4100" width="4.6640625" style="31" customWidth="1"/>
    <col min="4101" max="4102" width="7.6640625" style="31" customWidth="1"/>
    <col min="4103" max="4108" width="8.6640625" style="31" customWidth="1"/>
    <col min="4109" max="4111" width="10.6640625" style="31" customWidth="1"/>
    <col min="4112" max="4112" width="25.5546875" style="31" customWidth="1"/>
    <col min="4113" max="4113" width="9.33203125" style="31" customWidth="1"/>
    <col min="4114" max="4114" width="14.33203125" style="31" customWidth="1"/>
    <col min="4115" max="4115" width="12.44140625" style="31" customWidth="1"/>
    <col min="4116" max="4349" width="9.33203125" style="31"/>
    <col min="4350" max="4350" width="2.44140625" style="31" customWidth="1"/>
    <col min="4351" max="4351" width="15.33203125" style="31" customWidth="1"/>
    <col min="4352" max="4352" width="17.33203125" style="31" customWidth="1"/>
    <col min="4353" max="4353" width="3.5546875" style="31" customWidth="1"/>
    <col min="4354" max="4354" width="17.33203125" style="31" customWidth="1"/>
    <col min="4355" max="4355" width="0.33203125" style="31" customWidth="1"/>
    <col min="4356" max="4356" width="4.6640625" style="31" customWidth="1"/>
    <col min="4357" max="4358" width="7.6640625" style="31" customWidth="1"/>
    <col min="4359" max="4364" width="8.6640625" style="31" customWidth="1"/>
    <col min="4365" max="4367" width="10.6640625" style="31" customWidth="1"/>
    <col min="4368" max="4368" width="25.5546875" style="31" customWidth="1"/>
    <col min="4369" max="4369" width="9.33203125" style="31" customWidth="1"/>
    <col min="4370" max="4370" width="14.33203125" style="31" customWidth="1"/>
    <col min="4371" max="4371" width="12.44140625" style="31" customWidth="1"/>
    <col min="4372" max="4605" width="9.33203125" style="31"/>
    <col min="4606" max="4606" width="2.44140625" style="31" customWidth="1"/>
    <col min="4607" max="4607" width="15.33203125" style="31" customWidth="1"/>
    <col min="4608" max="4608" width="17.33203125" style="31" customWidth="1"/>
    <col min="4609" max="4609" width="3.5546875" style="31" customWidth="1"/>
    <col min="4610" max="4610" width="17.33203125" style="31" customWidth="1"/>
    <col min="4611" max="4611" width="0.33203125" style="31" customWidth="1"/>
    <col min="4612" max="4612" width="4.6640625" style="31" customWidth="1"/>
    <col min="4613" max="4614" width="7.6640625" style="31" customWidth="1"/>
    <col min="4615" max="4620" width="8.6640625" style="31" customWidth="1"/>
    <col min="4621" max="4623" width="10.6640625" style="31" customWidth="1"/>
    <col min="4624" max="4624" width="25.5546875" style="31" customWidth="1"/>
    <col min="4625" max="4625" width="9.33203125" style="31" customWidth="1"/>
    <col min="4626" max="4626" width="14.33203125" style="31" customWidth="1"/>
    <col min="4627" max="4627" width="12.44140625" style="31" customWidth="1"/>
    <col min="4628" max="4861" width="9.33203125" style="31"/>
    <col min="4862" max="4862" width="2.44140625" style="31" customWidth="1"/>
    <col min="4863" max="4863" width="15.33203125" style="31" customWidth="1"/>
    <col min="4864" max="4864" width="17.33203125" style="31" customWidth="1"/>
    <col min="4865" max="4865" width="3.5546875" style="31" customWidth="1"/>
    <col min="4866" max="4866" width="17.33203125" style="31" customWidth="1"/>
    <col min="4867" max="4867" width="0.33203125" style="31" customWidth="1"/>
    <col min="4868" max="4868" width="4.6640625" style="31" customWidth="1"/>
    <col min="4869" max="4870" width="7.6640625" style="31" customWidth="1"/>
    <col min="4871" max="4876" width="8.6640625" style="31" customWidth="1"/>
    <col min="4877" max="4879" width="10.6640625" style="31" customWidth="1"/>
    <col min="4880" max="4880" width="25.5546875" style="31" customWidth="1"/>
    <col min="4881" max="4881" width="9.33203125" style="31" customWidth="1"/>
    <col min="4882" max="4882" width="14.33203125" style="31" customWidth="1"/>
    <col min="4883" max="4883" width="12.44140625" style="31" customWidth="1"/>
    <col min="4884" max="5117" width="9.33203125" style="31"/>
    <col min="5118" max="5118" width="2.44140625" style="31" customWidth="1"/>
    <col min="5119" max="5119" width="15.33203125" style="31" customWidth="1"/>
    <col min="5120" max="5120" width="17.33203125" style="31" customWidth="1"/>
    <col min="5121" max="5121" width="3.5546875" style="31" customWidth="1"/>
    <col min="5122" max="5122" width="17.33203125" style="31" customWidth="1"/>
    <col min="5123" max="5123" width="0.33203125" style="31" customWidth="1"/>
    <col min="5124" max="5124" width="4.6640625" style="31" customWidth="1"/>
    <col min="5125" max="5126" width="7.6640625" style="31" customWidth="1"/>
    <col min="5127" max="5132" width="8.6640625" style="31" customWidth="1"/>
    <col min="5133" max="5135" width="10.6640625" style="31" customWidth="1"/>
    <col min="5136" max="5136" width="25.5546875" style="31" customWidth="1"/>
    <col min="5137" max="5137" width="9.33203125" style="31" customWidth="1"/>
    <col min="5138" max="5138" width="14.33203125" style="31" customWidth="1"/>
    <col min="5139" max="5139" width="12.44140625" style="31" customWidth="1"/>
    <col min="5140" max="5373" width="9.33203125" style="31"/>
    <col min="5374" max="5374" width="2.44140625" style="31" customWidth="1"/>
    <col min="5375" max="5375" width="15.33203125" style="31" customWidth="1"/>
    <col min="5376" max="5376" width="17.33203125" style="31" customWidth="1"/>
    <col min="5377" max="5377" width="3.5546875" style="31" customWidth="1"/>
    <col min="5378" max="5378" width="17.33203125" style="31" customWidth="1"/>
    <col min="5379" max="5379" width="0.33203125" style="31" customWidth="1"/>
    <col min="5380" max="5380" width="4.6640625" style="31" customWidth="1"/>
    <col min="5381" max="5382" width="7.6640625" style="31" customWidth="1"/>
    <col min="5383" max="5388" width="8.6640625" style="31" customWidth="1"/>
    <col min="5389" max="5391" width="10.6640625" style="31" customWidth="1"/>
    <col min="5392" max="5392" width="25.5546875" style="31" customWidth="1"/>
    <col min="5393" max="5393" width="9.33203125" style="31" customWidth="1"/>
    <col min="5394" max="5394" width="14.33203125" style="31" customWidth="1"/>
    <col min="5395" max="5395" width="12.44140625" style="31" customWidth="1"/>
    <col min="5396" max="5629" width="9.33203125" style="31"/>
    <col min="5630" max="5630" width="2.44140625" style="31" customWidth="1"/>
    <col min="5631" max="5631" width="15.33203125" style="31" customWidth="1"/>
    <col min="5632" max="5632" width="17.33203125" style="31" customWidth="1"/>
    <col min="5633" max="5633" width="3.5546875" style="31" customWidth="1"/>
    <col min="5634" max="5634" width="17.33203125" style="31" customWidth="1"/>
    <col min="5635" max="5635" width="0.33203125" style="31" customWidth="1"/>
    <col min="5636" max="5636" width="4.6640625" style="31" customWidth="1"/>
    <col min="5637" max="5638" width="7.6640625" style="31" customWidth="1"/>
    <col min="5639" max="5644" width="8.6640625" style="31" customWidth="1"/>
    <col min="5645" max="5647" width="10.6640625" style="31" customWidth="1"/>
    <col min="5648" max="5648" width="25.5546875" style="31" customWidth="1"/>
    <col min="5649" max="5649" width="9.33203125" style="31" customWidth="1"/>
    <col min="5650" max="5650" width="14.33203125" style="31" customWidth="1"/>
    <col min="5651" max="5651" width="12.44140625" style="31" customWidth="1"/>
    <col min="5652" max="5885" width="9.33203125" style="31"/>
    <col min="5886" max="5886" width="2.44140625" style="31" customWidth="1"/>
    <col min="5887" max="5887" width="15.33203125" style="31" customWidth="1"/>
    <col min="5888" max="5888" width="17.33203125" style="31" customWidth="1"/>
    <col min="5889" max="5889" width="3.5546875" style="31" customWidth="1"/>
    <col min="5890" max="5890" width="17.33203125" style="31" customWidth="1"/>
    <col min="5891" max="5891" width="0.33203125" style="31" customWidth="1"/>
    <col min="5892" max="5892" width="4.6640625" style="31" customWidth="1"/>
    <col min="5893" max="5894" width="7.6640625" style="31" customWidth="1"/>
    <col min="5895" max="5900" width="8.6640625" style="31" customWidth="1"/>
    <col min="5901" max="5903" width="10.6640625" style="31" customWidth="1"/>
    <col min="5904" max="5904" width="25.5546875" style="31" customWidth="1"/>
    <col min="5905" max="5905" width="9.33203125" style="31" customWidth="1"/>
    <col min="5906" max="5906" width="14.33203125" style="31" customWidth="1"/>
    <col min="5907" max="5907" width="12.44140625" style="31" customWidth="1"/>
    <col min="5908" max="6141" width="9.33203125" style="31"/>
    <col min="6142" max="6142" width="2.44140625" style="31" customWidth="1"/>
    <col min="6143" max="6143" width="15.33203125" style="31" customWidth="1"/>
    <col min="6144" max="6144" width="17.33203125" style="31" customWidth="1"/>
    <col min="6145" max="6145" width="3.5546875" style="31" customWidth="1"/>
    <col min="6146" max="6146" width="17.33203125" style="31" customWidth="1"/>
    <col min="6147" max="6147" width="0.33203125" style="31" customWidth="1"/>
    <col min="6148" max="6148" width="4.6640625" style="31" customWidth="1"/>
    <col min="6149" max="6150" width="7.6640625" style="31" customWidth="1"/>
    <col min="6151" max="6156" width="8.6640625" style="31" customWidth="1"/>
    <col min="6157" max="6159" width="10.6640625" style="31" customWidth="1"/>
    <col min="6160" max="6160" width="25.5546875" style="31" customWidth="1"/>
    <col min="6161" max="6161" width="9.33203125" style="31" customWidth="1"/>
    <col min="6162" max="6162" width="14.33203125" style="31" customWidth="1"/>
    <col min="6163" max="6163" width="12.44140625" style="31" customWidth="1"/>
    <col min="6164" max="6397" width="9.33203125" style="31"/>
    <col min="6398" max="6398" width="2.44140625" style="31" customWidth="1"/>
    <col min="6399" max="6399" width="15.33203125" style="31" customWidth="1"/>
    <col min="6400" max="6400" width="17.33203125" style="31" customWidth="1"/>
    <col min="6401" max="6401" width="3.5546875" style="31" customWidth="1"/>
    <col min="6402" max="6402" width="17.33203125" style="31" customWidth="1"/>
    <col min="6403" max="6403" width="0.33203125" style="31" customWidth="1"/>
    <col min="6404" max="6404" width="4.6640625" style="31" customWidth="1"/>
    <col min="6405" max="6406" width="7.6640625" style="31" customWidth="1"/>
    <col min="6407" max="6412" width="8.6640625" style="31" customWidth="1"/>
    <col min="6413" max="6415" width="10.6640625" style="31" customWidth="1"/>
    <col min="6416" max="6416" width="25.5546875" style="31" customWidth="1"/>
    <col min="6417" max="6417" width="9.33203125" style="31" customWidth="1"/>
    <col min="6418" max="6418" width="14.33203125" style="31" customWidth="1"/>
    <col min="6419" max="6419" width="12.44140625" style="31" customWidth="1"/>
    <col min="6420" max="6653" width="9.33203125" style="31"/>
    <col min="6654" max="6654" width="2.44140625" style="31" customWidth="1"/>
    <col min="6655" max="6655" width="15.33203125" style="31" customWidth="1"/>
    <col min="6656" max="6656" width="17.33203125" style="31" customWidth="1"/>
    <col min="6657" max="6657" width="3.5546875" style="31" customWidth="1"/>
    <col min="6658" max="6658" width="17.33203125" style="31" customWidth="1"/>
    <col min="6659" max="6659" width="0.33203125" style="31" customWidth="1"/>
    <col min="6660" max="6660" width="4.6640625" style="31" customWidth="1"/>
    <col min="6661" max="6662" width="7.6640625" style="31" customWidth="1"/>
    <col min="6663" max="6668" width="8.6640625" style="31" customWidth="1"/>
    <col min="6669" max="6671" width="10.6640625" style="31" customWidth="1"/>
    <col min="6672" max="6672" width="25.5546875" style="31" customWidth="1"/>
    <col min="6673" max="6673" width="9.33203125" style="31" customWidth="1"/>
    <col min="6674" max="6674" width="14.33203125" style="31" customWidth="1"/>
    <col min="6675" max="6675" width="12.44140625" style="31" customWidth="1"/>
    <col min="6676" max="6909" width="9.33203125" style="31"/>
    <col min="6910" max="6910" width="2.44140625" style="31" customWidth="1"/>
    <col min="6911" max="6911" width="15.33203125" style="31" customWidth="1"/>
    <col min="6912" max="6912" width="17.33203125" style="31" customWidth="1"/>
    <col min="6913" max="6913" width="3.5546875" style="31" customWidth="1"/>
    <col min="6914" max="6914" width="17.33203125" style="31" customWidth="1"/>
    <col min="6915" max="6915" width="0.33203125" style="31" customWidth="1"/>
    <col min="6916" max="6916" width="4.6640625" style="31" customWidth="1"/>
    <col min="6917" max="6918" width="7.6640625" style="31" customWidth="1"/>
    <col min="6919" max="6924" width="8.6640625" style="31" customWidth="1"/>
    <col min="6925" max="6927" width="10.6640625" style="31" customWidth="1"/>
    <col min="6928" max="6928" width="25.5546875" style="31" customWidth="1"/>
    <col min="6929" max="6929" width="9.33203125" style="31" customWidth="1"/>
    <col min="6930" max="6930" width="14.33203125" style="31" customWidth="1"/>
    <col min="6931" max="6931" width="12.44140625" style="31" customWidth="1"/>
    <col min="6932" max="7165" width="9.33203125" style="31"/>
    <col min="7166" max="7166" width="2.44140625" style="31" customWidth="1"/>
    <col min="7167" max="7167" width="15.33203125" style="31" customWidth="1"/>
    <col min="7168" max="7168" width="17.33203125" style="31" customWidth="1"/>
    <col min="7169" max="7169" width="3.5546875" style="31" customWidth="1"/>
    <col min="7170" max="7170" width="17.33203125" style="31" customWidth="1"/>
    <col min="7171" max="7171" width="0.33203125" style="31" customWidth="1"/>
    <col min="7172" max="7172" width="4.6640625" style="31" customWidth="1"/>
    <col min="7173" max="7174" width="7.6640625" style="31" customWidth="1"/>
    <col min="7175" max="7180" width="8.6640625" style="31" customWidth="1"/>
    <col min="7181" max="7183" width="10.6640625" style="31" customWidth="1"/>
    <col min="7184" max="7184" width="25.5546875" style="31" customWidth="1"/>
    <col min="7185" max="7185" width="9.33203125" style="31" customWidth="1"/>
    <col min="7186" max="7186" width="14.33203125" style="31" customWidth="1"/>
    <col min="7187" max="7187" width="12.44140625" style="31" customWidth="1"/>
    <col min="7188" max="7421" width="9.33203125" style="31"/>
    <col min="7422" max="7422" width="2.44140625" style="31" customWidth="1"/>
    <col min="7423" max="7423" width="15.33203125" style="31" customWidth="1"/>
    <col min="7424" max="7424" width="17.33203125" style="31" customWidth="1"/>
    <col min="7425" max="7425" width="3.5546875" style="31" customWidth="1"/>
    <col min="7426" max="7426" width="17.33203125" style="31" customWidth="1"/>
    <col min="7427" max="7427" width="0.33203125" style="31" customWidth="1"/>
    <col min="7428" max="7428" width="4.6640625" style="31" customWidth="1"/>
    <col min="7429" max="7430" width="7.6640625" style="31" customWidth="1"/>
    <col min="7431" max="7436" width="8.6640625" style="31" customWidth="1"/>
    <col min="7437" max="7439" width="10.6640625" style="31" customWidth="1"/>
    <col min="7440" max="7440" width="25.5546875" style="31" customWidth="1"/>
    <col min="7441" max="7441" width="9.33203125" style="31" customWidth="1"/>
    <col min="7442" max="7442" width="14.33203125" style="31" customWidth="1"/>
    <col min="7443" max="7443" width="12.44140625" style="31" customWidth="1"/>
    <col min="7444" max="7677" width="9.33203125" style="31"/>
    <col min="7678" max="7678" width="2.44140625" style="31" customWidth="1"/>
    <col min="7679" max="7679" width="15.33203125" style="31" customWidth="1"/>
    <col min="7680" max="7680" width="17.33203125" style="31" customWidth="1"/>
    <col min="7681" max="7681" width="3.5546875" style="31" customWidth="1"/>
    <col min="7682" max="7682" width="17.33203125" style="31" customWidth="1"/>
    <col min="7683" max="7683" width="0.33203125" style="31" customWidth="1"/>
    <col min="7684" max="7684" width="4.6640625" style="31" customWidth="1"/>
    <col min="7685" max="7686" width="7.6640625" style="31" customWidth="1"/>
    <col min="7687" max="7692" width="8.6640625" style="31" customWidth="1"/>
    <col min="7693" max="7695" width="10.6640625" style="31" customWidth="1"/>
    <col min="7696" max="7696" width="25.5546875" style="31" customWidth="1"/>
    <col min="7697" max="7697" width="9.33203125" style="31" customWidth="1"/>
    <col min="7698" max="7698" width="14.33203125" style="31" customWidth="1"/>
    <col min="7699" max="7699" width="12.44140625" style="31" customWidth="1"/>
    <col min="7700" max="7933" width="9.33203125" style="31"/>
    <col min="7934" max="7934" width="2.44140625" style="31" customWidth="1"/>
    <col min="7935" max="7935" width="15.33203125" style="31" customWidth="1"/>
    <col min="7936" max="7936" width="17.33203125" style="31" customWidth="1"/>
    <col min="7937" max="7937" width="3.5546875" style="31" customWidth="1"/>
    <col min="7938" max="7938" width="17.33203125" style="31" customWidth="1"/>
    <col min="7939" max="7939" width="0.33203125" style="31" customWidth="1"/>
    <col min="7940" max="7940" width="4.6640625" style="31" customWidth="1"/>
    <col min="7941" max="7942" width="7.6640625" style="31" customWidth="1"/>
    <col min="7943" max="7948" width="8.6640625" style="31" customWidth="1"/>
    <col min="7949" max="7951" width="10.6640625" style="31" customWidth="1"/>
    <col min="7952" max="7952" width="25.5546875" style="31" customWidth="1"/>
    <col min="7953" max="7953" width="9.33203125" style="31" customWidth="1"/>
    <col min="7954" max="7954" width="14.33203125" style="31" customWidth="1"/>
    <col min="7955" max="7955" width="12.44140625" style="31" customWidth="1"/>
    <col min="7956" max="8189" width="9.33203125" style="31"/>
    <col min="8190" max="8190" width="2.44140625" style="31" customWidth="1"/>
    <col min="8191" max="8191" width="15.33203125" style="31" customWidth="1"/>
    <col min="8192" max="8192" width="17.33203125" style="31" customWidth="1"/>
    <col min="8193" max="8193" width="3.5546875" style="31" customWidth="1"/>
    <col min="8194" max="8194" width="17.33203125" style="31" customWidth="1"/>
    <col min="8195" max="8195" width="0.33203125" style="31" customWidth="1"/>
    <col min="8196" max="8196" width="4.6640625" style="31" customWidth="1"/>
    <col min="8197" max="8198" width="7.6640625" style="31" customWidth="1"/>
    <col min="8199" max="8204" width="8.6640625" style="31" customWidth="1"/>
    <col min="8205" max="8207" width="10.6640625" style="31" customWidth="1"/>
    <col min="8208" max="8208" width="25.5546875" style="31" customWidth="1"/>
    <col min="8209" max="8209" width="9.33203125" style="31" customWidth="1"/>
    <col min="8210" max="8210" width="14.33203125" style="31" customWidth="1"/>
    <col min="8211" max="8211" width="12.44140625" style="31" customWidth="1"/>
    <col min="8212" max="8445" width="9.33203125" style="31"/>
    <col min="8446" max="8446" width="2.44140625" style="31" customWidth="1"/>
    <col min="8447" max="8447" width="15.33203125" style="31" customWidth="1"/>
    <col min="8448" max="8448" width="17.33203125" style="31" customWidth="1"/>
    <col min="8449" max="8449" width="3.5546875" style="31" customWidth="1"/>
    <col min="8450" max="8450" width="17.33203125" style="31" customWidth="1"/>
    <col min="8451" max="8451" width="0.33203125" style="31" customWidth="1"/>
    <col min="8452" max="8452" width="4.6640625" style="31" customWidth="1"/>
    <col min="8453" max="8454" width="7.6640625" style="31" customWidth="1"/>
    <col min="8455" max="8460" width="8.6640625" style="31" customWidth="1"/>
    <col min="8461" max="8463" width="10.6640625" style="31" customWidth="1"/>
    <col min="8464" max="8464" width="25.5546875" style="31" customWidth="1"/>
    <col min="8465" max="8465" width="9.33203125" style="31" customWidth="1"/>
    <col min="8466" max="8466" width="14.33203125" style="31" customWidth="1"/>
    <col min="8467" max="8467" width="12.44140625" style="31" customWidth="1"/>
    <col min="8468" max="8701" width="9.33203125" style="31"/>
    <col min="8702" max="8702" width="2.44140625" style="31" customWidth="1"/>
    <col min="8703" max="8703" width="15.33203125" style="31" customWidth="1"/>
    <col min="8704" max="8704" width="17.33203125" style="31" customWidth="1"/>
    <col min="8705" max="8705" width="3.5546875" style="31" customWidth="1"/>
    <col min="8706" max="8706" width="17.33203125" style="31" customWidth="1"/>
    <col min="8707" max="8707" width="0.33203125" style="31" customWidth="1"/>
    <col min="8708" max="8708" width="4.6640625" style="31" customWidth="1"/>
    <col min="8709" max="8710" width="7.6640625" style="31" customWidth="1"/>
    <col min="8711" max="8716" width="8.6640625" style="31" customWidth="1"/>
    <col min="8717" max="8719" width="10.6640625" style="31" customWidth="1"/>
    <col min="8720" max="8720" width="25.5546875" style="31" customWidth="1"/>
    <col min="8721" max="8721" width="9.33203125" style="31" customWidth="1"/>
    <col min="8722" max="8722" width="14.33203125" style="31" customWidth="1"/>
    <col min="8723" max="8723" width="12.44140625" style="31" customWidth="1"/>
    <col min="8724" max="8957" width="9.33203125" style="31"/>
    <col min="8958" max="8958" width="2.44140625" style="31" customWidth="1"/>
    <col min="8959" max="8959" width="15.33203125" style="31" customWidth="1"/>
    <col min="8960" max="8960" width="17.33203125" style="31" customWidth="1"/>
    <col min="8961" max="8961" width="3.5546875" style="31" customWidth="1"/>
    <col min="8962" max="8962" width="17.33203125" style="31" customWidth="1"/>
    <col min="8963" max="8963" width="0.33203125" style="31" customWidth="1"/>
    <col min="8964" max="8964" width="4.6640625" style="31" customWidth="1"/>
    <col min="8965" max="8966" width="7.6640625" style="31" customWidth="1"/>
    <col min="8967" max="8972" width="8.6640625" style="31" customWidth="1"/>
    <col min="8973" max="8975" width="10.6640625" style="31" customWidth="1"/>
    <col min="8976" max="8976" width="25.5546875" style="31" customWidth="1"/>
    <col min="8977" max="8977" width="9.33203125" style="31" customWidth="1"/>
    <col min="8978" max="8978" width="14.33203125" style="31" customWidth="1"/>
    <col min="8979" max="8979" width="12.44140625" style="31" customWidth="1"/>
    <col min="8980" max="9213" width="9.33203125" style="31"/>
    <col min="9214" max="9214" width="2.44140625" style="31" customWidth="1"/>
    <col min="9215" max="9215" width="15.33203125" style="31" customWidth="1"/>
    <col min="9216" max="9216" width="17.33203125" style="31" customWidth="1"/>
    <col min="9217" max="9217" width="3.5546875" style="31" customWidth="1"/>
    <col min="9218" max="9218" width="17.33203125" style="31" customWidth="1"/>
    <col min="9219" max="9219" width="0.33203125" style="31" customWidth="1"/>
    <col min="9220" max="9220" width="4.6640625" style="31" customWidth="1"/>
    <col min="9221" max="9222" width="7.6640625" style="31" customWidth="1"/>
    <col min="9223" max="9228" width="8.6640625" style="31" customWidth="1"/>
    <col min="9229" max="9231" width="10.6640625" style="31" customWidth="1"/>
    <col min="9232" max="9232" width="25.5546875" style="31" customWidth="1"/>
    <col min="9233" max="9233" width="9.33203125" style="31" customWidth="1"/>
    <col min="9234" max="9234" width="14.33203125" style="31" customWidth="1"/>
    <col min="9235" max="9235" width="12.44140625" style="31" customWidth="1"/>
    <col min="9236" max="9469" width="9.33203125" style="31"/>
    <col min="9470" max="9470" width="2.44140625" style="31" customWidth="1"/>
    <col min="9471" max="9471" width="15.33203125" style="31" customWidth="1"/>
    <col min="9472" max="9472" width="17.33203125" style="31" customWidth="1"/>
    <col min="9473" max="9473" width="3.5546875" style="31" customWidth="1"/>
    <col min="9474" max="9474" width="17.33203125" style="31" customWidth="1"/>
    <col min="9475" max="9475" width="0.33203125" style="31" customWidth="1"/>
    <col min="9476" max="9476" width="4.6640625" style="31" customWidth="1"/>
    <col min="9477" max="9478" width="7.6640625" style="31" customWidth="1"/>
    <col min="9479" max="9484" width="8.6640625" style="31" customWidth="1"/>
    <col min="9485" max="9487" width="10.6640625" style="31" customWidth="1"/>
    <col min="9488" max="9488" width="25.5546875" style="31" customWidth="1"/>
    <col min="9489" max="9489" width="9.33203125" style="31" customWidth="1"/>
    <col min="9490" max="9490" width="14.33203125" style="31" customWidth="1"/>
    <col min="9491" max="9491" width="12.44140625" style="31" customWidth="1"/>
    <col min="9492" max="9725" width="9.33203125" style="31"/>
    <col min="9726" max="9726" width="2.44140625" style="31" customWidth="1"/>
    <col min="9727" max="9727" width="15.33203125" style="31" customWidth="1"/>
    <col min="9728" max="9728" width="17.33203125" style="31" customWidth="1"/>
    <col min="9729" max="9729" width="3.5546875" style="31" customWidth="1"/>
    <col min="9730" max="9730" width="17.33203125" style="31" customWidth="1"/>
    <col min="9731" max="9731" width="0.33203125" style="31" customWidth="1"/>
    <col min="9732" max="9732" width="4.6640625" style="31" customWidth="1"/>
    <col min="9733" max="9734" width="7.6640625" style="31" customWidth="1"/>
    <col min="9735" max="9740" width="8.6640625" style="31" customWidth="1"/>
    <col min="9741" max="9743" width="10.6640625" style="31" customWidth="1"/>
    <col min="9744" max="9744" width="25.5546875" style="31" customWidth="1"/>
    <col min="9745" max="9745" width="9.33203125" style="31" customWidth="1"/>
    <col min="9746" max="9746" width="14.33203125" style="31" customWidth="1"/>
    <col min="9747" max="9747" width="12.44140625" style="31" customWidth="1"/>
    <col min="9748" max="9981" width="9.33203125" style="31"/>
    <col min="9982" max="9982" width="2.44140625" style="31" customWidth="1"/>
    <col min="9983" max="9983" width="15.33203125" style="31" customWidth="1"/>
    <col min="9984" max="9984" width="17.33203125" style="31" customWidth="1"/>
    <col min="9985" max="9985" width="3.5546875" style="31" customWidth="1"/>
    <col min="9986" max="9986" width="17.33203125" style="31" customWidth="1"/>
    <col min="9987" max="9987" width="0.33203125" style="31" customWidth="1"/>
    <col min="9988" max="9988" width="4.6640625" style="31" customWidth="1"/>
    <col min="9989" max="9990" width="7.6640625" style="31" customWidth="1"/>
    <col min="9991" max="9996" width="8.6640625" style="31" customWidth="1"/>
    <col min="9997" max="9999" width="10.6640625" style="31" customWidth="1"/>
    <col min="10000" max="10000" width="25.5546875" style="31" customWidth="1"/>
    <col min="10001" max="10001" width="9.33203125" style="31" customWidth="1"/>
    <col min="10002" max="10002" width="14.33203125" style="31" customWidth="1"/>
    <col min="10003" max="10003" width="12.44140625" style="31" customWidth="1"/>
    <col min="10004" max="10237" width="9.33203125" style="31"/>
    <col min="10238" max="10238" width="2.44140625" style="31" customWidth="1"/>
    <col min="10239" max="10239" width="15.33203125" style="31" customWidth="1"/>
    <col min="10240" max="10240" width="17.33203125" style="31" customWidth="1"/>
    <col min="10241" max="10241" width="3.5546875" style="31" customWidth="1"/>
    <col min="10242" max="10242" width="17.33203125" style="31" customWidth="1"/>
    <col min="10243" max="10243" width="0.33203125" style="31" customWidth="1"/>
    <col min="10244" max="10244" width="4.6640625" style="31" customWidth="1"/>
    <col min="10245" max="10246" width="7.6640625" style="31" customWidth="1"/>
    <col min="10247" max="10252" width="8.6640625" style="31" customWidth="1"/>
    <col min="10253" max="10255" width="10.6640625" style="31" customWidth="1"/>
    <col min="10256" max="10256" width="25.5546875" style="31" customWidth="1"/>
    <col min="10257" max="10257" width="9.33203125" style="31" customWidth="1"/>
    <col min="10258" max="10258" width="14.33203125" style="31" customWidth="1"/>
    <col min="10259" max="10259" width="12.44140625" style="31" customWidth="1"/>
    <col min="10260" max="10493" width="9.33203125" style="31"/>
    <col min="10494" max="10494" width="2.44140625" style="31" customWidth="1"/>
    <col min="10495" max="10495" width="15.33203125" style="31" customWidth="1"/>
    <col min="10496" max="10496" width="17.33203125" style="31" customWidth="1"/>
    <col min="10497" max="10497" width="3.5546875" style="31" customWidth="1"/>
    <col min="10498" max="10498" width="17.33203125" style="31" customWidth="1"/>
    <col min="10499" max="10499" width="0.33203125" style="31" customWidth="1"/>
    <col min="10500" max="10500" width="4.6640625" style="31" customWidth="1"/>
    <col min="10501" max="10502" width="7.6640625" style="31" customWidth="1"/>
    <col min="10503" max="10508" width="8.6640625" style="31" customWidth="1"/>
    <col min="10509" max="10511" width="10.6640625" style="31" customWidth="1"/>
    <col min="10512" max="10512" width="25.5546875" style="31" customWidth="1"/>
    <col min="10513" max="10513" width="9.33203125" style="31" customWidth="1"/>
    <col min="10514" max="10514" width="14.33203125" style="31" customWidth="1"/>
    <col min="10515" max="10515" width="12.44140625" style="31" customWidth="1"/>
    <col min="10516" max="10749" width="9.33203125" style="31"/>
    <col min="10750" max="10750" width="2.44140625" style="31" customWidth="1"/>
    <col min="10751" max="10751" width="15.33203125" style="31" customWidth="1"/>
    <col min="10752" max="10752" width="17.33203125" style="31" customWidth="1"/>
    <col min="10753" max="10753" width="3.5546875" style="31" customWidth="1"/>
    <col min="10754" max="10754" width="17.33203125" style="31" customWidth="1"/>
    <col min="10755" max="10755" width="0.33203125" style="31" customWidth="1"/>
    <col min="10756" max="10756" width="4.6640625" style="31" customWidth="1"/>
    <col min="10757" max="10758" width="7.6640625" style="31" customWidth="1"/>
    <col min="10759" max="10764" width="8.6640625" style="31" customWidth="1"/>
    <col min="10765" max="10767" width="10.6640625" style="31" customWidth="1"/>
    <col min="10768" max="10768" width="25.5546875" style="31" customWidth="1"/>
    <col min="10769" max="10769" width="9.33203125" style="31" customWidth="1"/>
    <col min="10770" max="10770" width="14.33203125" style="31" customWidth="1"/>
    <col min="10771" max="10771" width="12.44140625" style="31" customWidth="1"/>
    <col min="10772" max="11005" width="9.33203125" style="31"/>
    <col min="11006" max="11006" width="2.44140625" style="31" customWidth="1"/>
    <col min="11007" max="11007" width="15.33203125" style="31" customWidth="1"/>
    <col min="11008" max="11008" width="17.33203125" style="31" customWidth="1"/>
    <col min="11009" max="11009" width="3.5546875" style="31" customWidth="1"/>
    <col min="11010" max="11010" width="17.33203125" style="31" customWidth="1"/>
    <col min="11011" max="11011" width="0.33203125" style="31" customWidth="1"/>
    <col min="11012" max="11012" width="4.6640625" style="31" customWidth="1"/>
    <col min="11013" max="11014" width="7.6640625" style="31" customWidth="1"/>
    <col min="11015" max="11020" width="8.6640625" style="31" customWidth="1"/>
    <col min="11021" max="11023" width="10.6640625" style="31" customWidth="1"/>
    <col min="11024" max="11024" width="25.5546875" style="31" customWidth="1"/>
    <col min="11025" max="11025" width="9.33203125" style="31" customWidth="1"/>
    <col min="11026" max="11026" width="14.33203125" style="31" customWidth="1"/>
    <col min="11027" max="11027" width="12.44140625" style="31" customWidth="1"/>
    <col min="11028" max="11261" width="9.33203125" style="31"/>
    <col min="11262" max="11262" width="2.44140625" style="31" customWidth="1"/>
    <col min="11263" max="11263" width="15.33203125" style="31" customWidth="1"/>
    <col min="11264" max="11264" width="17.33203125" style="31" customWidth="1"/>
    <col min="11265" max="11265" width="3.5546875" style="31" customWidth="1"/>
    <col min="11266" max="11266" width="17.33203125" style="31" customWidth="1"/>
    <col min="11267" max="11267" width="0.33203125" style="31" customWidth="1"/>
    <col min="11268" max="11268" width="4.6640625" style="31" customWidth="1"/>
    <col min="11269" max="11270" width="7.6640625" style="31" customWidth="1"/>
    <col min="11271" max="11276" width="8.6640625" style="31" customWidth="1"/>
    <col min="11277" max="11279" width="10.6640625" style="31" customWidth="1"/>
    <col min="11280" max="11280" width="25.5546875" style="31" customWidth="1"/>
    <col min="11281" max="11281" width="9.33203125" style="31" customWidth="1"/>
    <col min="11282" max="11282" width="14.33203125" style="31" customWidth="1"/>
    <col min="11283" max="11283" width="12.44140625" style="31" customWidth="1"/>
    <col min="11284" max="11517" width="9.33203125" style="31"/>
    <col min="11518" max="11518" width="2.44140625" style="31" customWidth="1"/>
    <col min="11519" max="11519" width="15.33203125" style="31" customWidth="1"/>
    <col min="11520" max="11520" width="17.33203125" style="31" customWidth="1"/>
    <col min="11521" max="11521" width="3.5546875" style="31" customWidth="1"/>
    <col min="11522" max="11522" width="17.33203125" style="31" customWidth="1"/>
    <col min="11523" max="11523" width="0.33203125" style="31" customWidth="1"/>
    <col min="11524" max="11524" width="4.6640625" style="31" customWidth="1"/>
    <col min="11525" max="11526" width="7.6640625" style="31" customWidth="1"/>
    <col min="11527" max="11532" width="8.6640625" style="31" customWidth="1"/>
    <col min="11533" max="11535" width="10.6640625" style="31" customWidth="1"/>
    <col min="11536" max="11536" width="25.5546875" style="31" customWidth="1"/>
    <col min="11537" max="11537" width="9.33203125" style="31" customWidth="1"/>
    <col min="11538" max="11538" width="14.33203125" style="31" customWidth="1"/>
    <col min="11539" max="11539" width="12.44140625" style="31" customWidth="1"/>
    <col min="11540" max="11773" width="9.33203125" style="31"/>
    <col min="11774" max="11774" width="2.44140625" style="31" customWidth="1"/>
    <col min="11775" max="11775" width="15.33203125" style="31" customWidth="1"/>
    <col min="11776" max="11776" width="17.33203125" style="31" customWidth="1"/>
    <col min="11777" max="11777" width="3.5546875" style="31" customWidth="1"/>
    <col min="11778" max="11778" width="17.33203125" style="31" customWidth="1"/>
    <col min="11779" max="11779" width="0.33203125" style="31" customWidth="1"/>
    <col min="11780" max="11780" width="4.6640625" style="31" customWidth="1"/>
    <col min="11781" max="11782" width="7.6640625" style="31" customWidth="1"/>
    <col min="11783" max="11788" width="8.6640625" style="31" customWidth="1"/>
    <col min="11789" max="11791" width="10.6640625" style="31" customWidth="1"/>
    <col min="11792" max="11792" width="25.5546875" style="31" customWidth="1"/>
    <col min="11793" max="11793" width="9.33203125" style="31" customWidth="1"/>
    <col min="11794" max="11794" width="14.33203125" style="31" customWidth="1"/>
    <col min="11795" max="11795" width="12.44140625" style="31" customWidth="1"/>
    <col min="11796" max="12029" width="9.33203125" style="31"/>
    <col min="12030" max="12030" width="2.44140625" style="31" customWidth="1"/>
    <col min="12031" max="12031" width="15.33203125" style="31" customWidth="1"/>
    <col min="12032" max="12032" width="17.33203125" style="31" customWidth="1"/>
    <col min="12033" max="12033" width="3.5546875" style="31" customWidth="1"/>
    <col min="12034" max="12034" width="17.33203125" style="31" customWidth="1"/>
    <col min="12035" max="12035" width="0.33203125" style="31" customWidth="1"/>
    <col min="12036" max="12036" width="4.6640625" style="31" customWidth="1"/>
    <col min="12037" max="12038" width="7.6640625" style="31" customWidth="1"/>
    <col min="12039" max="12044" width="8.6640625" style="31" customWidth="1"/>
    <col min="12045" max="12047" width="10.6640625" style="31" customWidth="1"/>
    <col min="12048" max="12048" width="25.5546875" style="31" customWidth="1"/>
    <col min="12049" max="12049" width="9.33203125" style="31" customWidth="1"/>
    <col min="12050" max="12050" width="14.33203125" style="31" customWidth="1"/>
    <col min="12051" max="12051" width="12.44140625" style="31" customWidth="1"/>
    <col min="12052" max="12285" width="9.33203125" style="31"/>
    <col min="12286" max="12286" width="2.44140625" style="31" customWidth="1"/>
    <col min="12287" max="12287" width="15.33203125" style="31" customWidth="1"/>
    <col min="12288" max="12288" width="17.33203125" style="31" customWidth="1"/>
    <col min="12289" max="12289" width="3.5546875" style="31" customWidth="1"/>
    <col min="12290" max="12290" width="17.33203125" style="31" customWidth="1"/>
    <col min="12291" max="12291" width="0.33203125" style="31" customWidth="1"/>
    <col min="12292" max="12292" width="4.6640625" style="31" customWidth="1"/>
    <col min="12293" max="12294" width="7.6640625" style="31" customWidth="1"/>
    <col min="12295" max="12300" width="8.6640625" style="31" customWidth="1"/>
    <col min="12301" max="12303" width="10.6640625" style="31" customWidth="1"/>
    <col min="12304" max="12304" width="25.5546875" style="31" customWidth="1"/>
    <col min="12305" max="12305" width="9.33203125" style="31" customWidth="1"/>
    <col min="12306" max="12306" width="14.33203125" style="31" customWidth="1"/>
    <col min="12307" max="12307" width="12.44140625" style="31" customWidth="1"/>
    <col min="12308" max="12541" width="9.33203125" style="31"/>
    <col min="12542" max="12542" width="2.44140625" style="31" customWidth="1"/>
    <col min="12543" max="12543" width="15.33203125" style="31" customWidth="1"/>
    <col min="12544" max="12544" width="17.33203125" style="31" customWidth="1"/>
    <col min="12545" max="12545" width="3.5546875" style="31" customWidth="1"/>
    <col min="12546" max="12546" width="17.33203125" style="31" customWidth="1"/>
    <col min="12547" max="12547" width="0.33203125" style="31" customWidth="1"/>
    <col min="12548" max="12548" width="4.6640625" style="31" customWidth="1"/>
    <col min="12549" max="12550" width="7.6640625" style="31" customWidth="1"/>
    <col min="12551" max="12556" width="8.6640625" style="31" customWidth="1"/>
    <col min="12557" max="12559" width="10.6640625" style="31" customWidth="1"/>
    <col min="12560" max="12560" width="25.5546875" style="31" customWidth="1"/>
    <col min="12561" max="12561" width="9.33203125" style="31" customWidth="1"/>
    <col min="12562" max="12562" width="14.33203125" style="31" customWidth="1"/>
    <col min="12563" max="12563" width="12.44140625" style="31" customWidth="1"/>
    <col min="12564" max="12797" width="9.33203125" style="31"/>
    <col min="12798" max="12798" width="2.44140625" style="31" customWidth="1"/>
    <col min="12799" max="12799" width="15.33203125" style="31" customWidth="1"/>
    <col min="12800" max="12800" width="17.33203125" style="31" customWidth="1"/>
    <col min="12801" max="12801" width="3.5546875" style="31" customWidth="1"/>
    <col min="12802" max="12802" width="17.33203125" style="31" customWidth="1"/>
    <col min="12803" max="12803" width="0.33203125" style="31" customWidth="1"/>
    <col min="12804" max="12804" width="4.6640625" style="31" customWidth="1"/>
    <col min="12805" max="12806" width="7.6640625" style="31" customWidth="1"/>
    <col min="12807" max="12812" width="8.6640625" style="31" customWidth="1"/>
    <col min="12813" max="12815" width="10.6640625" style="31" customWidth="1"/>
    <col min="12816" max="12816" width="25.5546875" style="31" customWidth="1"/>
    <col min="12817" max="12817" width="9.33203125" style="31" customWidth="1"/>
    <col min="12818" max="12818" width="14.33203125" style="31" customWidth="1"/>
    <col min="12819" max="12819" width="12.44140625" style="31" customWidth="1"/>
    <col min="12820" max="13053" width="9.33203125" style="31"/>
    <col min="13054" max="13054" width="2.44140625" style="31" customWidth="1"/>
    <col min="13055" max="13055" width="15.33203125" style="31" customWidth="1"/>
    <col min="13056" max="13056" width="17.33203125" style="31" customWidth="1"/>
    <col min="13057" max="13057" width="3.5546875" style="31" customWidth="1"/>
    <col min="13058" max="13058" width="17.33203125" style="31" customWidth="1"/>
    <col min="13059" max="13059" width="0.33203125" style="31" customWidth="1"/>
    <col min="13060" max="13060" width="4.6640625" style="31" customWidth="1"/>
    <col min="13061" max="13062" width="7.6640625" style="31" customWidth="1"/>
    <col min="13063" max="13068" width="8.6640625" style="31" customWidth="1"/>
    <col min="13069" max="13071" width="10.6640625" style="31" customWidth="1"/>
    <col min="13072" max="13072" width="25.5546875" style="31" customWidth="1"/>
    <col min="13073" max="13073" width="9.33203125" style="31" customWidth="1"/>
    <col min="13074" max="13074" width="14.33203125" style="31" customWidth="1"/>
    <col min="13075" max="13075" width="12.44140625" style="31" customWidth="1"/>
    <col min="13076" max="13309" width="9.33203125" style="31"/>
    <col min="13310" max="13310" width="2.44140625" style="31" customWidth="1"/>
    <col min="13311" max="13311" width="15.33203125" style="31" customWidth="1"/>
    <col min="13312" max="13312" width="17.33203125" style="31" customWidth="1"/>
    <col min="13313" max="13313" width="3.5546875" style="31" customWidth="1"/>
    <col min="13314" max="13314" width="17.33203125" style="31" customWidth="1"/>
    <col min="13315" max="13315" width="0.33203125" style="31" customWidth="1"/>
    <col min="13316" max="13316" width="4.6640625" style="31" customWidth="1"/>
    <col min="13317" max="13318" width="7.6640625" style="31" customWidth="1"/>
    <col min="13319" max="13324" width="8.6640625" style="31" customWidth="1"/>
    <col min="13325" max="13327" width="10.6640625" style="31" customWidth="1"/>
    <col min="13328" max="13328" width="25.5546875" style="31" customWidth="1"/>
    <col min="13329" max="13329" width="9.33203125" style="31" customWidth="1"/>
    <col min="13330" max="13330" width="14.33203125" style="31" customWidth="1"/>
    <col min="13331" max="13331" width="12.44140625" style="31" customWidth="1"/>
    <col min="13332" max="13565" width="9.33203125" style="31"/>
    <col min="13566" max="13566" width="2.44140625" style="31" customWidth="1"/>
    <col min="13567" max="13567" width="15.33203125" style="31" customWidth="1"/>
    <col min="13568" max="13568" width="17.33203125" style="31" customWidth="1"/>
    <col min="13569" max="13569" width="3.5546875" style="31" customWidth="1"/>
    <col min="13570" max="13570" width="17.33203125" style="31" customWidth="1"/>
    <col min="13571" max="13571" width="0.33203125" style="31" customWidth="1"/>
    <col min="13572" max="13572" width="4.6640625" style="31" customWidth="1"/>
    <col min="13573" max="13574" width="7.6640625" style="31" customWidth="1"/>
    <col min="13575" max="13580" width="8.6640625" style="31" customWidth="1"/>
    <col min="13581" max="13583" width="10.6640625" style="31" customWidth="1"/>
    <col min="13584" max="13584" width="25.5546875" style="31" customWidth="1"/>
    <col min="13585" max="13585" width="9.33203125" style="31" customWidth="1"/>
    <col min="13586" max="13586" width="14.33203125" style="31" customWidth="1"/>
    <col min="13587" max="13587" width="12.44140625" style="31" customWidth="1"/>
    <col min="13588" max="13821" width="9.33203125" style="31"/>
    <col min="13822" max="13822" width="2.44140625" style="31" customWidth="1"/>
    <col min="13823" max="13823" width="15.33203125" style="31" customWidth="1"/>
    <col min="13824" max="13824" width="17.33203125" style="31" customWidth="1"/>
    <col min="13825" max="13825" width="3.5546875" style="31" customWidth="1"/>
    <col min="13826" max="13826" width="17.33203125" style="31" customWidth="1"/>
    <col min="13827" max="13827" width="0.33203125" style="31" customWidth="1"/>
    <col min="13828" max="13828" width="4.6640625" style="31" customWidth="1"/>
    <col min="13829" max="13830" width="7.6640625" style="31" customWidth="1"/>
    <col min="13831" max="13836" width="8.6640625" style="31" customWidth="1"/>
    <col min="13837" max="13839" width="10.6640625" style="31" customWidth="1"/>
    <col min="13840" max="13840" width="25.5546875" style="31" customWidth="1"/>
    <col min="13841" max="13841" width="9.33203125" style="31" customWidth="1"/>
    <col min="13842" max="13842" width="14.33203125" style="31" customWidth="1"/>
    <col min="13843" max="13843" width="12.44140625" style="31" customWidth="1"/>
    <col min="13844" max="14077" width="9.33203125" style="31"/>
    <col min="14078" max="14078" width="2.44140625" style="31" customWidth="1"/>
    <col min="14079" max="14079" width="15.33203125" style="31" customWidth="1"/>
    <col min="14080" max="14080" width="17.33203125" style="31" customWidth="1"/>
    <col min="14081" max="14081" width="3.5546875" style="31" customWidth="1"/>
    <col min="14082" max="14082" width="17.33203125" style="31" customWidth="1"/>
    <col min="14083" max="14083" width="0.33203125" style="31" customWidth="1"/>
    <col min="14084" max="14084" width="4.6640625" style="31" customWidth="1"/>
    <col min="14085" max="14086" width="7.6640625" style="31" customWidth="1"/>
    <col min="14087" max="14092" width="8.6640625" style="31" customWidth="1"/>
    <col min="14093" max="14095" width="10.6640625" style="31" customWidth="1"/>
    <col min="14096" max="14096" width="25.5546875" style="31" customWidth="1"/>
    <col min="14097" max="14097" width="9.33203125" style="31" customWidth="1"/>
    <col min="14098" max="14098" width="14.33203125" style="31" customWidth="1"/>
    <col min="14099" max="14099" width="12.44140625" style="31" customWidth="1"/>
    <col min="14100" max="14333" width="9.33203125" style="31"/>
    <col min="14334" max="14334" width="2.44140625" style="31" customWidth="1"/>
    <col min="14335" max="14335" width="15.33203125" style="31" customWidth="1"/>
    <col min="14336" max="14336" width="17.33203125" style="31" customWidth="1"/>
    <col min="14337" max="14337" width="3.5546875" style="31" customWidth="1"/>
    <col min="14338" max="14338" width="17.33203125" style="31" customWidth="1"/>
    <col min="14339" max="14339" width="0.33203125" style="31" customWidth="1"/>
    <col min="14340" max="14340" width="4.6640625" style="31" customWidth="1"/>
    <col min="14341" max="14342" width="7.6640625" style="31" customWidth="1"/>
    <col min="14343" max="14348" width="8.6640625" style="31" customWidth="1"/>
    <col min="14349" max="14351" width="10.6640625" style="31" customWidth="1"/>
    <col min="14352" max="14352" width="25.5546875" style="31" customWidth="1"/>
    <col min="14353" max="14353" width="9.33203125" style="31" customWidth="1"/>
    <col min="14354" max="14354" width="14.33203125" style="31" customWidth="1"/>
    <col min="14355" max="14355" width="12.44140625" style="31" customWidth="1"/>
    <col min="14356" max="14589" width="9.33203125" style="31"/>
    <col min="14590" max="14590" width="2.44140625" style="31" customWidth="1"/>
    <col min="14591" max="14591" width="15.33203125" style="31" customWidth="1"/>
    <col min="14592" max="14592" width="17.33203125" style="31" customWidth="1"/>
    <col min="14593" max="14593" width="3.5546875" style="31" customWidth="1"/>
    <col min="14594" max="14594" width="17.33203125" style="31" customWidth="1"/>
    <col min="14595" max="14595" width="0.33203125" style="31" customWidth="1"/>
    <col min="14596" max="14596" width="4.6640625" style="31" customWidth="1"/>
    <col min="14597" max="14598" width="7.6640625" style="31" customWidth="1"/>
    <col min="14599" max="14604" width="8.6640625" style="31" customWidth="1"/>
    <col min="14605" max="14607" width="10.6640625" style="31" customWidth="1"/>
    <col min="14608" max="14608" width="25.5546875" style="31" customWidth="1"/>
    <col min="14609" max="14609" width="9.33203125" style="31" customWidth="1"/>
    <col min="14610" max="14610" width="14.33203125" style="31" customWidth="1"/>
    <col min="14611" max="14611" width="12.44140625" style="31" customWidth="1"/>
    <col min="14612" max="14845" width="9.33203125" style="31"/>
    <col min="14846" max="14846" width="2.44140625" style="31" customWidth="1"/>
    <col min="14847" max="14847" width="15.33203125" style="31" customWidth="1"/>
    <col min="14848" max="14848" width="17.33203125" style="31" customWidth="1"/>
    <col min="14849" max="14849" width="3.5546875" style="31" customWidth="1"/>
    <col min="14850" max="14850" width="17.33203125" style="31" customWidth="1"/>
    <col min="14851" max="14851" width="0.33203125" style="31" customWidth="1"/>
    <col min="14852" max="14852" width="4.6640625" style="31" customWidth="1"/>
    <col min="14853" max="14854" width="7.6640625" style="31" customWidth="1"/>
    <col min="14855" max="14860" width="8.6640625" style="31" customWidth="1"/>
    <col min="14861" max="14863" width="10.6640625" style="31" customWidth="1"/>
    <col min="14864" max="14864" width="25.5546875" style="31" customWidth="1"/>
    <col min="14865" max="14865" width="9.33203125" style="31" customWidth="1"/>
    <col min="14866" max="14866" width="14.33203125" style="31" customWidth="1"/>
    <col min="14867" max="14867" width="12.44140625" style="31" customWidth="1"/>
    <col min="14868" max="15101" width="9.33203125" style="31"/>
    <col min="15102" max="15102" width="2.44140625" style="31" customWidth="1"/>
    <col min="15103" max="15103" width="15.33203125" style="31" customWidth="1"/>
    <col min="15104" max="15104" width="17.33203125" style="31" customWidth="1"/>
    <col min="15105" max="15105" width="3.5546875" style="31" customWidth="1"/>
    <col min="15106" max="15106" width="17.33203125" style="31" customWidth="1"/>
    <col min="15107" max="15107" width="0.33203125" style="31" customWidth="1"/>
    <col min="15108" max="15108" width="4.6640625" style="31" customWidth="1"/>
    <col min="15109" max="15110" width="7.6640625" style="31" customWidth="1"/>
    <col min="15111" max="15116" width="8.6640625" style="31" customWidth="1"/>
    <col min="15117" max="15119" width="10.6640625" style="31" customWidth="1"/>
    <col min="15120" max="15120" width="25.5546875" style="31" customWidth="1"/>
    <col min="15121" max="15121" width="9.33203125" style="31" customWidth="1"/>
    <col min="15122" max="15122" width="14.33203125" style="31" customWidth="1"/>
    <col min="15123" max="15123" width="12.44140625" style="31" customWidth="1"/>
    <col min="15124" max="15357" width="9.33203125" style="31"/>
    <col min="15358" max="15358" width="2.44140625" style="31" customWidth="1"/>
    <col min="15359" max="15359" width="15.33203125" style="31" customWidth="1"/>
    <col min="15360" max="15360" width="17.33203125" style="31" customWidth="1"/>
    <col min="15361" max="15361" width="3.5546875" style="31" customWidth="1"/>
    <col min="15362" max="15362" width="17.33203125" style="31" customWidth="1"/>
    <col min="15363" max="15363" width="0.33203125" style="31" customWidth="1"/>
    <col min="15364" max="15364" width="4.6640625" style="31" customWidth="1"/>
    <col min="15365" max="15366" width="7.6640625" style="31" customWidth="1"/>
    <col min="15367" max="15372" width="8.6640625" style="31" customWidth="1"/>
    <col min="15373" max="15375" width="10.6640625" style="31" customWidth="1"/>
    <col min="15376" max="15376" width="25.5546875" style="31" customWidth="1"/>
    <col min="15377" max="15377" width="9.33203125" style="31" customWidth="1"/>
    <col min="15378" max="15378" width="14.33203125" style="31" customWidth="1"/>
    <col min="15379" max="15379" width="12.44140625" style="31" customWidth="1"/>
    <col min="15380" max="15613" width="9.33203125" style="31"/>
    <col min="15614" max="15614" width="2.44140625" style="31" customWidth="1"/>
    <col min="15615" max="15615" width="15.33203125" style="31" customWidth="1"/>
    <col min="15616" max="15616" width="17.33203125" style="31" customWidth="1"/>
    <col min="15617" max="15617" width="3.5546875" style="31" customWidth="1"/>
    <col min="15618" max="15618" width="17.33203125" style="31" customWidth="1"/>
    <col min="15619" max="15619" width="0.33203125" style="31" customWidth="1"/>
    <col min="15620" max="15620" width="4.6640625" style="31" customWidth="1"/>
    <col min="15621" max="15622" width="7.6640625" style="31" customWidth="1"/>
    <col min="15623" max="15628" width="8.6640625" style="31" customWidth="1"/>
    <col min="15629" max="15631" width="10.6640625" style="31" customWidth="1"/>
    <col min="15632" max="15632" width="25.5546875" style="31" customWidth="1"/>
    <col min="15633" max="15633" width="9.33203125" style="31" customWidth="1"/>
    <col min="15634" max="15634" width="14.33203125" style="31" customWidth="1"/>
    <col min="15635" max="15635" width="12.44140625" style="31" customWidth="1"/>
    <col min="15636" max="15869" width="9.33203125" style="31"/>
    <col min="15870" max="15870" width="2.44140625" style="31" customWidth="1"/>
    <col min="15871" max="15871" width="15.33203125" style="31" customWidth="1"/>
    <col min="15872" max="15872" width="17.33203125" style="31" customWidth="1"/>
    <col min="15873" max="15873" width="3.5546875" style="31" customWidth="1"/>
    <col min="15874" max="15874" width="17.33203125" style="31" customWidth="1"/>
    <col min="15875" max="15875" width="0.33203125" style="31" customWidth="1"/>
    <col min="15876" max="15876" width="4.6640625" style="31" customWidth="1"/>
    <col min="15877" max="15878" width="7.6640625" style="31" customWidth="1"/>
    <col min="15879" max="15884" width="8.6640625" style="31" customWidth="1"/>
    <col min="15885" max="15887" width="10.6640625" style="31" customWidth="1"/>
    <col min="15888" max="15888" width="25.5546875" style="31" customWidth="1"/>
    <col min="15889" max="15889" width="9.33203125" style="31" customWidth="1"/>
    <col min="15890" max="15890" width="14.33203125" style="31" customWidth="1"/>
    <col min="15891" max="15891" width="12.44140625" style="31" customWidth="1"/>
    <col min="15892" max="16125" width="9.33203125" style="31"/>
    <col min="16126" max="16126" width="2.44140625" style="31" customWidth="1"/>
    <col min="16127" max="16127" width="15.33203125" style="31" customWidth="1"/>
    <col min="16128" max="16128" width="17.33203125" style="31" customWidth="1"/>
    <col min="16129" max="16129" width="3.5546875" style="31" customWidth="1"/>
    <col min="16130" max="16130" width="17.33203125" style="31" customWidth="1"/>
    <col min="16131" max="16131" width="0.33203125" style="31" customWidth="1"/>
    <col min="16132" max="16132" width="4.6640625" style="31" customWidth="1"/>
    <col min="16133" max="16134" width="7.6640625" style="31" customWidth="1"/>
    <col min="16135" max="16140" width="8.6640625" style="31" customWidth="1"/>
    <col min="16141" max="16143" width="10.6640625" style="31" customWidth="1"/>
    <col min="16144" max="16144" width="25.5546875" style="31" customWidth="1"/>
    <col min="16145" max="16145" width="9.33203125" style="31" customWidth="1"/>
    <col min="16146" max="16146" width="14.33203125" style="31" customWidth="1"/>
    <col min="16147" max="16147" width="12.44140625" style="31" customWidth="1"/>
    <col min="16148" max="16383" width="9.33203125" style="31"/>
    <col min="16384" max="16384" width="9.33203125" style="31" customWidth="1"/>
  </cols>
  <sheetData>
    <row r="1" spans="1:15" ht="13.8" thickBot="1" x14ac:dyDescent="0.3">
      <c r="A1" s="38"/>
      <c r="G1" s="31"/>
      <c r="I1" s="31"/>
      <c r="J1" s="31"/>
      <c r="K1" s="49"/>
      <c r="L1" s="108"/>
      <c r="M1" s="49"/>
      <c r="N1" s="49"/>
      <c r="O1" s="37"/>
    </row>
    <row r="2" spans="1:15" ht="18" x14ac:dyDescent="0.35">
      <c r="E2" s="146" t="s">
        <v>177</v>
      </c>
      <c r="G2" s="67"/>
      <c r="J2" s="199" t="s">
        <v>1</v>
      </c>
      <c r="K2" s="243"/>
      <c r="L2" s="244"/>
      <c r="M2" s="68"/>
      <c r="N2" s="68"/>
      <c r="O2" s="69"/>
    </row>
    <row r="3" spans="1:15" ht="16.2" thickBot="1" x14ac:dyDescent="0.35">
      <c r="G3" s="31"/>
      <c r="J3" s="196" t="s">
        <v>2</v>
      </c>
      <c r="K3" s="188"/>
      <c r="L3" s="204"/>
      <c r="M3" s="48"/>
      <c r="N3" s="48"/>
      <c r="O3" s="37"/>
    </row>
    <row r="4" spans="1:15" x14ac:dyDescent="0.25">
      <c r="E4" s="125" t="str">
        <f>'BCN-VLC-ALG to W-E Africa'!F4</f>
        <v>VALIDEZ: 1 Abril 2026 hasta 30 Abril 2026</v>
      </c>
      <c r="F4" s="34"/>
      <c r="G4" s="34"/>
      <c r="H4" s="34"/>
      <c r="I4" s="31"/>
      <c r="J4" s="31"/>
      <c r="K4" s="31"/>
      <c r="L4" s="37"/>
      <c r="M4" s="31"/>
      <c r="N4" s="31"/>
      <c r="O4" s="37"/>
    </row>
    <row r="5" spans="1:15" ht="13.8" thickBot="1" x14ac:dyDescent="0.3">
      <c r="F5" s="73"/>
      <c r="G5" s="31"/>
      <c r="I5" s="31"/>
      <c r="J5" s="31"/>
      <c r="K5" s="31"/>
      <c r="L5" s="37"/>
      <c r="M5" s="31"/>
      <c r="N5" s="31"/>
      <c r="O5" s="37"/>
    </row>
    <row r="6" spans="1:15" ht="21.6" thickBot="1" x14ac:dyDescent="0.45">
      <c r="C6" s="418" t="s">
        <v>601</v>
      </c>
      <c r="D6" s="423"/>
      <c r="E6" s="420"/>
      <c r="F6" s="419"/>
      <c r="G6" s="419"/>
      <c r="H6" s="419"/>
      <c r="I6" s="424"/>
      <c r="J6" s="422"/>
      <c r="K6" s="31"/>
      <c r="L6" s="31"/>
      <c r="M6" s="31"/>
      <c r="N6" s="31"/>
      <c r="O6" s="37"/>
    </row>
    <row r="7" spans="1:15" ht="13.8" x14ac:dyDescent="0.25">
      <c r="E7" s="124"/>
      <c r="G7" s="31"/>
      <c r="H7" s="124"/>
      <c r="I7" s="31"/>
      <c r="J7" s="31"/>
      <c r="K7" s="49"/>
      <c r="L7" s="108"/>
      <c r="M7" s="49"/>
      <c r="N7" s="49"/>
      <c r="O7" s="57"/>
    </row>
    <row r="8" spans="1:15" s="34" customFormat="1" ht="22.5" customHeight="1" x14ac:dyDescent="0.25">
      <c r="B8" s="216" t="s">
        <v>3</v>
      </c>
      <c r="C8" s="217" t="s">
        <v>5</v>
      </c>
      <c r="D8" s="217" t="s">
        <v>6</v>
      </c>
      <c r="E8" s="217" t="s">
        <v>8</v>
      </c>
      <c r="F8" s="217" t="s">
        <v>9</v>
      </c>
      <c r="G8" s="218" t="s">
        <v>10</v>
      </c>
      <c r="H8" s="218" t="s">
        <v>11</v>
      </c>
      <c r="I8" s="218" t="s">
        <v>12</v>
      </c>
      <c r="J8" s="218" t="s">
        <v>62</v>
      </c>
      <c r="K8" s="218" t="s">
        <v>13</v>
      </c>
      <c r="L8" s="218" t="s">
        <v>603</v>
      </c>
      <c r="M8" s="218" t="s">
        <v>14</v>
      </c>
      <c r="N8" s="218" t="s">
        <v>15</v>
      </c>
      <c r="O8" s="219" t="s">
        <v>16</v>
      </c>
    </row>
    <row r="9" spans="1:15" ht="18" customHeight="1" x14ac:dyDescent="0.25">
      <c r="B9" s="177" t="s">
        <v>165</v>
      </c>
      <c r="C9" s="65" t="s">
        <v>179</v>
      </c>
      <c r="D9" s="65" t="s">
        <v>66</v>
      </c>
      <c r="E9" s="65" t="s">
        <v>506</v>
      </c>
      <c r="F9" s="65" t="s">
        <v>68</v>
      </c>
      <c r="G9" s="338" t="s">
        <v>510</v>
      </c>
      <c r="H9" s="338" t="s">
        <v>508</v>
      </c>
      <c r="I9" s="333">
        <v>1600</v>
      </c>
      <c r="J9" s="205" t="s">
        <v>511</v>
      </c>
      <c r="K9" s="205" t="s">
        <v>70</v>
      </c>
      <c r="L9" s="205">
        <v>60</v>
      </c>
      <c r="M9" s="205" t="s">
        <v>606</v>
      </c>
      <c r="N9" s="206" t="s">
        <v>175</v>
      </c>
      <c r="O9" s="207"/>
    </row>
    <row r="10" spans="1:15" ht="18" customHeight="1" x14ac:dyDescent="0.25">
      <c r="B10" s="177" t="s">
        <v>166</v>
      </c>
      <c r="C10" s="65" t="s">
        <v>179</v>
      </c>
      <c r="D10" s="65" t="s">
        <v>66</v>
      </c>
      <c r="E10" s="65" t="s">
        <v>507</v>
      </c>
      <c r="F10" s="65" t="s">
        <v>68</v>
      </c>
      <c r="G10" s="338" t="s">
        <v>510</v>
      </c>
      <c r="H10" s="338" t="s">
        <v>508</v>
      </c>
      <c r="I10" s="333">
        <v>1600</v>
      </c>
      <c r="J10" s="205" t="s">
        <v>511</v>
      </c>
      <c r="K10" s="205" t="s">
        <v>70</v>
      </c>
      <c r="L10" s="205">
        <f>$L$9</f>
        <v>60</v>
      </c>
      <c r="M10" s="205" t="str">
        <f>M9</f>
        <v>EBS/DOC/T3/ETS</v>
      </c>
      <c r="N10" s="206" t="s">
        <v>175</v>
      </c>
      <c r="O10" s="207"/>
    </row>
    <row r="11" spans="1:15" ht="18" customHeight="1" x14ac:dyDescent="0.25">
      <c r="B11" s="180" t="s">
        <v>164</v>
      </c>
      <c r="C11" s="121" t="s">
        <v>181</v>
      </c>
      <c r="D11" s="121" t="s">
        <v>66</v>
      </c>
      <c r="E11" s="121" t="s">
        <v>182</v>
      </c>
      <c r="F11" s="121" t="s">
        <v>68</v>
      </c>
      <c r="G11" s="451" t="s">
        <v>176</v>
      </c>
      <c r="H11" s="451"/>
      <c r="I11" s="451"/>
      <c r="J11" s="123" t="s">
        <v>511</v>
      </c>
      <c r="K11" s="123" t="s">
        <v>70</v>
      </c>
      <c r="L11" s="123">
        <f t="shared" ref="L11:L26" si="0">$L$9</f>
        <v>60</v>
      </c>
      <c r="M11" s="123" t="str">
        <f t="shared" ref="M11:M14" si="1">M10</f>
        <v>EBS/DOC/T3/ETS</v>
      </c>
      <c r="N11" s="122" t="s">
        <v>175</v>
      </c>
      <c r="O11" s="221"/>
    </row>
    <row r="12" spans="1:15" ht="18" customHeight="1" x14ac:dyDescent="0.25">
      <c r="B12" s="180" t="s">
        <v>164</v>
      </c>
      <c r="C12" s="121" t="s">
        <v>183</v>
      </c>
      <c r="D12" s="121" t="s">
        <v>66</v>
      </c>
      <c r="E12" s="121" t="s">
        <v>184</v>
      </c>
      <c r="F12" s="121" t="s">
        <v>68</v>
      </c>
      <c r="G12" s="451" t="s">
        <v>176</v>
      </c>
      <c r="H12" s="451"/>
      <c r="I12" s="451"/>
      <c r="J12" s="123" t="s">
        <v>511</v>
      </c>
      <c r="K12" s="123" t="s">
        <v>70</v>
      </c>
      <c r="L12" s="123">
        <f t="shared" si="0"/>
        <v>60</v>
      </c>
      <c r="M12" s="123" t="str">
        <f t="shared" si="1"/>
        <v>EBS/DOC/T3/ETS</v>
      </c>
      <c r="N12" s="122" t="s">
        <v>175</v>
      </c>
      <c r="O12" s="221"/>
    </row>
    <row r="13" spans="1:15" ht="18" customHeight="1" x14ac:dyDescent="0.25">
      <c r="B13" s="177" t="s">
        <v>165</v>
      </c>
      <c r="C13" s="65" t="s">
        <v>178</v>
      </c>
      <c r="D13" s="65" t="s">
        <v>66</v>
      </c>
      <c r="E13" s="65" t="s">
        <v>540</v>
      </c>
      <c r="F13" s="65" t="s">
        <v>68</v>
      </c>
      <c r="G13" s="338" t="s">
        <v>180</v>
      </c>
      <c r="H13" s="338" t="s">
        <v>23</v>
      </c>
      <c r="I13" s="333">
        <v>1850</v>
      </c>
      <c r="J13" s="205" t="s">
        <v>511</v>
      </c>
      <c r="K13" s="205" t="s">
        <v>70</v>
      </c>
      <c r="L13" s="205">
        <f t="shared" si="0"/>
        <v>60</v>
      </c>
      <c r="M13" s="205" t="str">
        <f t="shared" si="1"/>
        <v>EBS/DOC/T3/ETS</v>
      </c>
      <c r="N13" s="206" t="s">
        <v>175</v>
      </c>
      <c r="O13" s="207"/>
    </row>
    <row r="14" spans="1:15" ht="18" customHeight="1" x14ac:dyDescent="0.25">
      <c r="B14" s="177" t="s">
        <v>166</v>
      </c>
      <c r="C14" s="65" t="s">
        <v>178</v>
      </c>
      <c r="D14" s="65" t="s">
        <v>66</v>
      </c>
      <c r="E14" s="65" t="s">
        <v>537</v>
      </c>
      <c r="F14" s="65" t="s">
        <v>68</v>
      </c>
      <c r="G14" s="338" t="s">
        <v>180</v>
      </c>
      <c r="H14" s="338" t="s">
        <v>23</v>
      </c>
      <c r="I14" s="333">
        <v>1850</v>
      </c>
      <c r="J14" s="205" t="s">
        <v>511</v>
      </c>
      <c r="K14" s="205" t="s">
        <v>70</v>
      </c>
      <c r="L14" s="205">
        <f t="shared" si="0"/>
        <v>60</v>
      </c>
      <c r="M14" s="205" t="str">
        <f t="shared" si="1"/>
        <v>EBS/DOC/T3/ETS</v>
      </c>
      <c r="N14" s="206" t="s">
        <v>175</v>
      </c>
      <c r="O14" s="207"/>
    </row>
    <row r="15" spans="1:15" ht="18" customHeight="1" x14ac:dyDescent="0.25">
      <c r="B15" s="177" t="s">
        <v>64</v>
      </c>
      <c r="C15" s="65" t="s">
        <v>185</v>
      </c>
      <c r="D15" s="65" t="s">
        <v>66</v>
      </c>
      <c r="E15" s="65" t="s">
        <v>538</v>
      </c>
      <c r="F15" s="65" t="s">
        <v>68</v>
      </c>
      <c r="G15" s="451" t="s">
        <v>176</v>
      </c>
      <c r="H15" s="451"/>
      <c r="I15" s="451"/>
      <c r="J15" s="205" t="s">
        <v>511</v>
      </c>
      <c r="K15" s="205" t="s">
        <v>70</v>
      </c>
      <c r="L15" s="205">
        <f t="shared" si="0"/>
        <v>60</v>
      </c>
      <c r="M15" s="205" t="s">
        <v>615</v>
      </c>
      <c r="N15" s="206" t="s">
        <v>175</v>
      </c>
      <c r="O15" s="207" t="s">
        <v>517</v>
      </c>
    </row>
    <row r="16" spans="1:15" ht="18" customHeight="1" x14ac:dyDescent="0.25">
      <c r="B16" s="177" t="s">
        <v>165</v>
      </c>
      <c r="C16" s="65" t="s">
        <v>185</v>
      </c>
      <c r="D16" s="65" t="s">
        <v>66</v>
      </c>
      <c r="E16" s="65" t="s">
        <v>611</v>
      </c>
      <c r="F16" s="65" t="s">
        <v>68</v>
      </c>
      <c r="G16" s="451" t="s">
        <v>176</v>
      </c>
      <c r="H16" s="451"/>
      <c r="I16" s="451"/>
      <c r="J16" s="205" t="s">
        <v>511</v>
      </c>
      <c r="K16" s="205" t="s">
        <v>70</v>
      </c>
      <c r="L16" s="205">
        <f t="shared" si="0"/>
        <v>60</v>
      </c>
      <c r="M16" s="205" t="str">
        <f>M15</f>
        <v>EBS/RSM/DOC/T3/ETS</v>
      </c>
      <c r="N16" s="206" t="s">
        <v>175</v>
      </c>
      <c r="O16" s="207" t="s">
        <v>517</v>
      </c>
    </row>
    <row r="17" spans="1:17" ht="18" customHeight="1" x14ac:dyDescent="0.25">
      <c r="B17" s="177" t="s">
        <v>166</v>
      </c>
      <c r="C17" s="65" t="s">
        <v>185</v>
      </c>
      <c r="D17" s="65" t="s">
        <v>66</v>
      </c>
      <c r="E17" s="65" t="s">
        <v>612</v>
      </c>
      <c r="F17" s="65" t="s">
        <v>68</v>
      </c>
      <c r="G17" s="451" t="s">
        <v>176</v>
      </c>
      <c r="H17" s="451"/>
      <c r="I17" s="451"/>
      <c r="J17" s="205" t="s">
        <v>511</v>
      </c>
      <c r="K17" s="205" t="s">
        <v>70</v>
      </c>
      <c r="L17" s="205">
        <f t="shared" si="0"/>
        <v>60</v>
      </c>
      <c r="M17" s="205" t="str">
        <f>M15</f>
        <v>EBS/RSM/DOC/T3/ETS</v>
      </c>
      <c r="N17" s="206" t="s">
        <v>175</v>
      </c>
      <c r="O17" s="207" t="s">
        <v>517</v>
      </c>
    </row>
    <row r="18" spans="1:17" ht="18" customHeight="1" x14ac:dyDescent="0.25">
      <c r="B18" s="177" t="s">
        <v>165</v>
      </c>
      <c r="C18" s="65" t="s">
        <v>187</v>
      </c>
      <c r="D18" s="65" t="s">
        <v>66</v>
      </c>
      <c r="E18" s="65" t="s">
        <v>536</v>
      </c>
      <c r="F18" s="65" t="s">
        <v>68</v>
      </c>
      <c r="G18" s="338" t="s">
        <v>180</v>
      </c>
      <c r="H18" s="338" t="s">
        <v>23</v>
      </c>
      <c r="I18" s="333">
        <v>1850</v>
      </c>
      <c r="J18" s="205" t="s">
        <v>511</v>
      </c>
      <c r="K18" s="205" t="s">
        <v>70</v>
      </c>
      <c r="L18" s="205">
        <f t="shared" si="0"/>
        <v>60</v>
      </c>
      <c r="M18" s="205" t="str">
        <f>$M$14</f>
        <v>EBS/DOC/T3/ETS</v>
      </c>
      <c r="N18" s="206" t="s">
        <v>175</v>
      </c>
      <c r="O18" s="207"/>
    </row>
    <row r="19" spans="1:17" ht="18" customHeight="1" x14ac:dyDescent="0.25">
      <c r="B19" s="177" t="s">
        <v>166</v>
      </c>
      <c r="C19" s="65" t="s">
        <v>187</v>
      </c>
      <c r="D19" s="65" t="s">
        <v>66</v>
      </c>
      <c r="E19" s="65" t="s">
        <v>537</v>
      </c>
      <c r="F19" s="65" t="s">
        <v>68</v>
      </c>
      <c r="G19" s="338" t="s">
        <v>180</v>
      </c>
      <c r="H19" s="338" t="s">
        <v>23</v>
      </c>
      <c r="I19" s="333">
        <v>1850</v>
      </c>
      <c r="J19" s="205" t="s">
        <v>511</v>
      </c>
      <c r="K19" s="205" t="s">
        <v>70</v>
      </c>
      <c r="L19" s="205">
        <f t="shared" si="0"/>
        <v>60</v>
      </c>
      <c r="M19" s="205" t="str">
        <f t="shared" ref="M19:M26" si="2">$M$14</f>
        <v>EBS/DOC/T3/ETS</v>
      </c>
      <c r="N19" s="206" t="s">
        <v>175</v>
      </c>
      <c r="O19" s="207"/>
    </row>
    <row r="20" spans="1:17" s="110" customFormat="1" ht="18" customHeight="1" x14ac:dyDescent="0.25">
      <c r="B20" s="177" t="s">
        <v>64</v>
      </c>
      <c r="C20" s="65" t="s">
        <v>188</v>
      </c>
      <c r="D20" s="65" t="s">
        <v>66</v>
      </c>
      <c r="E20" s="65" t="s">
        <v>515</v>
      </c>
      <c r="F20" s="65" t="s">
        <v>68</v>
      </c>
      <c r="G20" s="338" t="s">
        <v>192</v>
      </c>
      <c r="H20" s="338" t="s">
        <v>186</v>
      </c>
      <c r="I20" s="333">
        <v>900</v>
      </c>
      <c r="J20" s="205" t="s">
        <v>511</v>
      </c>
      <c r="K20" s="205" t="s">
        <v>70</v>
      </c>
      <c r="L20" s="205">
        <f t="shared" si="0"/>
        <v>60</v>
      </c>
      <c r="M20" s="205" t="str">
        <f t="shared" si="2"/>
        <v>EBS/DOC/T3/ETS</v>
      </c>
      <c r="N20" s="206" t="s">
        <v>175</v>
      </c>
      <c r="O20" s="222"/>
    </row>
    <row r="21" spans="1:17" s="110" customFormat="1" ht="18" customHeight="1" x14ac:dyDescent="0.25">
      <c r="B21" s="177" t="s">
        <v>165</v>
      </c>
      <c r="C21" s="65" t="s">
        <v>188</v>
      </c>
      <c r="D21" s="65" t="s">
        <v>66</v>
      </c>
      <c r="E21" s="65" t="s">
        <v>539</v>
      </c>
      <c r="F21" s="65" t="s">
        <v>68</v>
      </c>
      <c r="G21" s="451" t="s">
        <v>176</v>
      </c>
      <c r="H21" s="451"/>
      <c r="I21" s="451"/>
      <c r="J21" s="205" t="s">
        <v>511</v>
      </c>
      <c r="K21" s="205" t="s">
        <v>70</v>
      </c>
      <c r="L21" s="205">
        <f t="shared" si="0"/>
        <v>60</v>
      </c>
      <c r="M21" s="205" t="str">
        <f t="shared" si="2"/>
        <v>EBS/DOC/T3/ETS</v>
      </c>
      <c r="N21" s="206" t="s">
        <v>175</v>
      </c>
      <c r="O21" s="222"/>
    </row>
    <row r="22" spans="1:17" ht="18" customHeight="1" x14ac:dyDescent="0.25">
      <c r="B22" s="177" t="s">
        <v>166</v>
      </c>
      <c r="C22" s="65" t="s">
        <v>188</v>
      </c>
      <c r="D22" s="65" t="s">
        <v>66</v>
      </c>
      <c r="E22" s="65" t="s">
        <v>613</v>
      </c>
      <c r="F22" s="65" t="s">
        <v>68</v>
      </c>
      <c r="G22" s="451" t="s">
        <v>176</v>
      </c>
      <c r="H22" s="451"/>
      <c r="I22" s="451"/>
      <c r="J22" s="205" t="s">
        <v>511</v>
      </c>
      <c r="K22" s="205" t="s">
        <v>70</v>
      </c>
      <c r="L22" s="205">
        <f t="shared" si="0"/>
        <v>60</v>
      </c>
      <c r="M22" s="205" t="str">
        <f t="shared" si="2"/>
        <v>EBS/DOC/T3/ETS</v>
      </c>
      <c r="N22" s="206" t="s">
        <v>175</v>
      </c>
      <c r="O22" s="207"/>
    </row>
    <row r="23" spans="1:17" ht="18" customHeight="1" x14ac:dyDescent="0.25">
      <c r="B23" s="177" t="s">
        <v>64</v>
      </c>
      <c r="C23" s="65" t="s">
        <v>189</v>
      </c>
      <c r="D23" s="65" t="s">
        <v>66</v>
      </c>
      <c r="E23" s="65" t="s">
        <v>514</v>
      </c>
      <c r="F23" s="65" t="s">
        <v>68</v>
      </c>
      <c r="G23" s="338" t="s">
        <v>192</v>
      </c>
      <c r="H23" s="338" t="s">
        <v>186</v>
      </c>
      <c r="I23" s="333">
        <v>900</v>
      </c>
      <c r="J23" s="205" t="s">
        <v>511</v>
      </c>
      <c r="K23" s="205" t="s">
        <v>70</v>
      </c>
      <c r="L23" s="205">
        <f t="shared" si="0"/>
        <v>60</v>
      </c>
      <c r="M23" s="205" t="str">
        <f t="shared" si="2"/>
        <v>EBS/DOC/T3/ETS</v>
      </c>
      <c r="N23" s="206" t="s">
        <v>175</v>
      </c>
      <c r="O23" s="207"/>
    </row>
    <row r="24" spans="1:17" ht="18" customHeight="1" x14ac:dyDescent="0.25">
      <c r="B24" s="177" t="s">
        <v>165</v>
      </c>
      <c r="C24" s="65" t="s">
        <v>189</v>
      </c>
      <c r="D24" s="65" t="s">
        <v>66</v>
      </c>
      <c r="E24" s="65" t="s">
        <v>613</v>
      </c>
      <c r="F24" s="65" t="s">
        <v>68</v>
      </c>
      <c r="G24" s="451" t="s">
        <v>176</v>
      </c>
      <c r="H24" s="451"/>
      <c r="I24" s="451"/>
      <c r="J24" s="205" t="s">
        <v>511</v>
      </c>
      <c r="K24" s="205" t="s">
        <v>70</v>
      </c>
      <c r="L24" s="205">
        <f t="shared" si="0"/>
        <v>60</v>
      </c>
      <c r="M24" s="205" t="str">
        <f t="shared" si="2"/>
        <v>EBS/DOC/T3/ETS</v>
      </c>
      <c r="N24" s="206" t="s">
        <v>175</v>
      </c>
      <c r="O24" s="207"/>
    </row>
    <row r="25" spans="1:17" ht="18" customHeight="1" x14ac:dyDescent="0.25">
      <c r="B25" s="177" t="s">
        <v>166</v>
      </c>
      <c r="C25" s="65" t="s">
        <v>189</v>
      </c>
      <c r="D25" s="65" t="s">
        <v>66</v>
      </c>
      <c r="E25" s="65" t="s">
        <v>614</v>
      </c>
      <c r="F25" s="65" t="s">
        <v>68</v>
      </c>
      <c r="G25" s="451" t="s">
        <v>176</v>
      </c>
      <c r="H25" s="451"/>
      <c r="I25" s="451"/>
      <c r="J25" s="205" t="s">
        <v>511</v>
      </c>
      <c r="K25" s="205" t="s">
        <v>70</v>
      </c>
      <c r="L25" s="205">
        <f t="shared" si="0"/>
        <v>60</v>
      </c>
      <c r="M25" s="205" t="str">
        <f t="shared" si="2"/>
        <v>EBS/DOC/T3/ETS</v>
      </c>
      <c r="N25" s="206" t="s">
        <v>175</v>
      </c>
      <c r="O25" s="207"/>
    </row>
    <row r="26" spans="1:17" ht="18" customHeight="1" x14ac:dyDescent="0.25">
      <c r="B26" s="391" t="s">
        <v>164</v>
      </c>
      <c r="C26" s="181" t="s">
        <v>190</v>
      </c>
      <c r="D26" s="181" t="s">
        <v>66</v>
      </c>
      <c r="E26" s="181" t="s">
        <v>191</v>
      </c>
      <c r="F26" s="181" t="s">
        <v>68</v>
      </c>
      <c r="G26" s="452" t="s">
        <v>176</v>
      </c>
      <c r="H26" s="452"/>
      <c r="I26" s="452"/>
      <c r="J26" s="182" t="s">
        <v>511</v>
      </c>
      <c r="K26" s="182" t="s">
        <v>70</v>
      </c>
      <c r="L26" s="182">
        <f t="shared" si="0"/>
        <v>60</v>
      </c>
      <c r="M26" s="182" t="str">
        <f t="shared" si="2"/>
        <v>EBS/DOC/T3/ETS</v>
      </c>
      <c r="N26" s="183" t="s">
        <v>175</v>
      </c>
      <c r="O26" s="392"/>
      <c r="P26" s="393"/>
      <c r="Q26" s="393"/>
    </row>
    <row r="27" spans="1:17" ht="27.75" customHeight="1" thickBot="1" x14ac:dyDescent="0.3">
      <c r="B27" s="46"/>
      <c r="C27" s="46"/>
      <c r="D27" s="46"/>
      <c r="E27" s="46"/>
      <c r="F27" s="46"/>
      <c r="H27" s="46"/>
      <c r="I27" s="50"/>
      <c r="J27" s="50"/>
      <c r="K27" s="51"/>
      <c r="L27" s="109"/>
      <c r="M27" s="51"/>
      <c r="N27" s="51"/>
    </row>
    <row r="28" spans="1:17" s="35" customFormat="1" ht="13.8" thickBot="1" x14ac:dyDescent="0.3">
      <c r="A28"/>
      <c r="B28" s="448" t="s">
        <v>41</v>
      </c>
      <c r="C28" s="449"/>
      <c r="D28" s="449"/>
      <c r="E28" s="449"/>
      <c r="F28" s="449"/>
      <c r="G28" s="449"/>
      <c r="H28" s="449"/>
      <c r="I28" s="449"/>
      <c r="J28" s="450"/>
      <c r="L28" s="118"/>
    </row>
    <row r="29" spans="1:17" customFormat="1" x14ac:dyDescent="0.25">
      <c r="B29" s="24" t="s">
        <v>141</v>
      </c>
      <c r="C29" s="75"/>
      <c r="D29" s="76"/>
      <c r="E29" s="76"/>
      <c r="F29" s="77"/>
      <c r="G29" s="21"/>
      <c r="H29" s="21"/>
      <c r="I29" s="21"/>
      <c r="J29" s="23"/>
      <c r="K29" s="35"/>
      <c r="L29" s="1"/>
    </row>
    <row r="30" spans="1:17" customFormat="1" x14ac:dyDescent="0.25">
      <c r="B30" s="25" t="s">
        <v>512</v>
      </c>
      <c r="C30" s="78"/>
      <c r="D30" s="79"/>
      <c r="E30" s="79"/>
      <c r="F30" s="80"/>
      <c r="G30" s="21"/>
      <c r="H30" s="21"/>
      <c r="I30" s="21"/>
      <c r="J30" s="23"/>
      <c r="K30" s="35"/>
      <c r="L30" s="39" t="s">
        <v>193</v>
      </c>
    </row>
    <row r="31" spans="1:17" customFormat="1" x14ac:dyDescent="0.25">
      <c r="B31" s="26" t="s">
        <v>143</v>
      </c>
      <c r="C31" s="78"/>
      <c r="D31" s="79"/>
      <c r="E31" s="79"/>
      <c r="F31" s="80"/>
      <c r="G31" s="21"/>
      <c r="H31" s="21"/>
      <c r="I31" s="21"/>
      <c r="J31" s="23"/>
      <c r="K31" s="35"/>
      <c r="L31" s="1"/>
    </row>
    <row r="32" spans="1:17" customFormat="1" x14ac:dyDescent="0.25">
      <c r="B32" s="4" t="s">
        <v>194</v>
      </c>
      <c r="C32" s="81"/>
      <c r="D32" s="82"/>
      <c r="E32" s="82"/>
      <c r="F32" s="83"/>
      <c r="G32" s="21"/>
      <c r="H32" s="21"/>
      <c r="I32" s="21"/>
      <c r="J32" s="23"/>
      <c r="K32" s="35"/>
      <c r="L32" s="1"/>
    </row>
    <row r="33" spans="2:13" customFormat="1" x14ac:dyDescent="0.25">
      <c r="B33" s="24" t="s">
        <v>145</v>
      </c>
      <c r="C33" s="84"/>
      <c r="D33" s="85"/>
      <c r="E33" s="85"/>
      <c r="F33" s="86"/>
      <c r="G33" s="21"/>
      <c r="H33" s="21"/>
      <c r="I33" s="21"/>
      <c r="J33" s="23"/>
      <c r="K33" s="35"/>
      <c r="L33" s="1"/>
    </row>
    <row r="34" spans="2:13" customFormat="1" x14ac:dyDescent="0.25">
      <c r="B34" s="13" t="s">
        <v>195</v>
      </c>
      <c r="C34" s="81"/>
      <c r="D34" s="82"/>
      <c r="E34" s="82"/>
      <c r="F34" s="83"/>
      <c r="G34" s="21"/>
      <c r="H34" s="21"/>
      <c r="I34" s="21"/>
      <c r="J34" s="23"/>
      <c r="K34" s="35"/>
      <c r="L34" s="1"/>
    </row>
    <row r="35" spans="2:13" customFormat="1" x14ac:dyDescent="0.25">
      <c r="B35" s="314" t="s">
        <v>595</v>
      </c>
      <c r="C35" s="315"/>
      <c r="D35" s="316"/>
      <c r="E35" s="316"/>
      <c r="F35" s="413"/>
      <c r="G35" s="21"/>
      <c r="H35" s="21"/>
      <c r="I35" s="21"/>
      <c r="J35" s="23"/>
      <c r="K35" s="35"/>
      <c r="L35" s="1"/>
    </row>
    <row r="36" spans="2:13" customFormat="1" x14ac:dyDescent="0.25">
      <c r="B36" s="314" t="s">
        <v>596</v>
      </c>
      <c r="C36" s="315"/>
      <c r="D36" s="316"/>
      <c r="E36" s="316"/>
      <c r="F36" s="413"/>
      <c r="G36" s="21"/>
      <c r="H36" s="21"/>
      <c r="I36" s="21"/>
      <c r="J36" s="23"/>
      <c r="K36" s="35"/>
      <c r="L36" s="1"/>
    </row>
    <row r="37" spans="2:13" customFormat="1" x14ac:dyDescent="0.25">
      <c r="B37" s="314" t="s">
        <v>573</v>
      </c>
      <c r="C37" s="315"/>
      <c r="D37" s="316"/>
      <c r="E37" s="316"/>
      <c r="F37" s="413"/>
      <c r="G37" s="394"/>
      <c r="H37" s="394"/>
      <c r="I37" s="394"/>
      <c r="J37" s="395"/>
      <c r="K37" s="35"/>
      <c r="L37" s="1"/>
    </row>
    <row r="38" spans="2:13" customFormat="1" x14ac:dyDescent="0.25">
      <c r="B38" s="4" t="s">
        <v>574</v>
      </c>
      <c r="C38" s="10"/>
      <c r="D38" s="11"/>
      <c r="E38" s="11"/>
      <c r="F38" s="11"/>
      <c r="G38" s="42"/>
      <c r="H38" s="5"/>
      <c r="I38" s="88"/>
      <c r="J38" s="44"/>
      <c r="K38" s="1"/>
      <c r="L38" s="119"/>
      <c r="M38" s="3"/>
    </row>
    <row r="39" spans="2:13" customFormat="1" x14ac:dyDescent="0.25">
      <c r="B39" s="202" t="s">
        <v>575</v>
      </c>
      <c r="C39" s="137"/>
      <c r="D39" s="138"/>
      <c r="E39" s="138"/>
      <c r="F39" s="87"/>
      <c r="G39" s="21"/>
      <c r="H39" s="21"/>
      <c r="I39" s="21"/>
      <c r="J39" s="23"/>
      <c r="K39" s="35"/>
      <c r="L39" s="1"/>
    </row>
    <row r="40" spans="2:13" customFormat="1" x14ac:dyDescent="0.25">
      <c r="B40" s="127" t="s">
        <v>580</v>
      </c>
      <c r="C40" s="89"/>
      <c r="D40" s="90"/>
      <c r="E40" s="90"/>
      <c r="F40" s="87"/>
      <c r="G40" s="21"/>
      <c r="H40" s="21"/>
      <c r="I40" s="21"/>
      <c r="J40" s="23"/>
      <c r="K40" s="35"/>
      <c r="L40" s="1"/>
    </row>
    <row r="41" spans="2:13" customFormat="1" x14ac:dyDescent="0.25">
      <c r="B41" s="99" t="s">
        <v>576</v>
      </c>
      <c r="D41" s="56"/>
      <c r="E41" s="56"/>
      <c r="F41" s="56"/>
      <c r="G41" s="1"/>
      <c r="H41" s="1"/>
      <c r="J41" s="100"/>
      <c r="K41" s="35"/>
      <c r="L41" s="1"/>
    </row>
    <row r="42" spans="2:13" customFormat="1" x14ac:dyDescent="0.25">
      <c r="B42" s="210" t="s">
        <v>577</v>
      </c>
      <c r="C42" s="137"/>
      <c r="D42" s="138"/>
      <c r="E42" s="138"/>
      <c r="F42" s="87"/>
      <c r="G42" s="21"/>
      <c r="H42" s="21"/>
      <c r="I42" s="21"/>
      <c r="J42" s="23"/>
      <c r="K42" s="35"/>
      <c r="L42" s="1"/>
    </row>
    <row r="43" spans="2:13" customFormat="1" x14ac:dyDescent="0.25">
      <c r="B43" s="210" t="s">
        <v>518</v>
      </c>
      <c r="C43" s="137"/>
      <c r="D43" s="138"/>
      <c r="E43" s="138"/>
      <c r="F43" s="87"/>
      <c r="G43" s="21"/>
      <c r="H43" s="21"/>
      <c r="I43" s="21"/>
      <c r="J43" s="23"/>
      <c r="K43" s="35"/>
      <c r="L43" s="1"/>
    </row>
    <row r="44" spans="2:13" customFormat="1" x14ac:dyDescent="0.25">
      <c r="B44" s="210" t="s">
        <v>519</v>
      </c>
      <c r="C44" s="137"/>
      <c r="D44" s="138"/>
      <c r="E44" s="138"/>
      <c r="F44" s="87"/>
      <c r="G44" s="21"/>
      <c r="H44" s="21"/>
      <c r="I44" s="21"/>
      <c r="J44" s="23"/>
      <c r="K44" s="35"/>
      <c r="L44" s="1"/>
    </row>
    <row r="45" spans="2:13" customFormat="1" x14ac:dyDescent="0.25">
      <c r="B45" s="127" t="s">
        <v>616</v>
      </c>
      <c r="C45" s="127"/>
      <c r="D45" s="127"/>
      <c r="E45" s="127"/>
      <c r="F45" s="297" t="s">
        <v>557</v>
      </c>
      <c r="G45" s="21"/>
      <c r="H45" s="148"/>
      <c r="I45" s="148"/>
      <c r="J45" s="23"/>
      <c r="K45" s="1"/>
      <c r="M45" s="3"/>
    </row>
    <row r="46" spans="2:13" customFormat="1" ht="14.4" x14ac:dyDescent="0.25">
      <c r="B46" s="117"/>
      <c r="C46" s="91"/>
      <c r="D46" s="92"/>
      <c r="E46" s="92"/>
      <c r="F46" s="93"/>
      <c r="G46" s="21"/>
      <c r="H46" s="21"/>
      <c r="I46" s="21"/>
      <c r="J46" s="23"/>
      <c r="K46" s="35"/>
      <c r="L46" s="1"/>
    </row>
    <row r="47" spans="2:13" customFormat="1" x14ac:dyDescent="0.25">
      <c r="B47" s="27" t="s">
        <v>152</v>
      </c>
      <c r="C47" s="91"/>
      <c r="D47" s="92"/>
      <c r="E47" s="92"/>
      <c r="F47" s="93"/>
      <c r="G47" s="21"/>
      <c r="H47" s="21"/>
      <c r="I47" s="21"/>
      <c r="J47" s="23"/>
      <c r="K47" s="35"/>
      <c r="L47" s="1"/>
    </row>
    <row r="48" spans="2:13" customFormat="1" x14ac:dyDescent="0.25">
      <c r="B48" s="28" t="s">
        <v>153</v>
      </c>
      <c r="C48" s="91"/>
      <c r="D48" s="92"/>
      <c r="E48" s="92"/>
      <c r="F48" s="93"/>
      <c r="G48" s="21"/>
      <c r="H48" s="21"/>
      <c r="I48" s="21"/>
      <c r="J48" s="23"/>
      <c r="K48" s="35"/>
      <c r="L48" s="1"/>
    </row>
    <row r="49" spans="1:12" customFormat="1" ht="14.4" x14ac:dyDescent="0.25">
      <c r="B49" s="117" t="s">
        <v>154</v>
      </c>
      <c r="C49" s="91"/>
      <c r="D49" s="92"/>
      <c r="E49" s="92"/>
      <c r="F49" s="93"/>
      <c r="G49" s="21"/>
      <c r="H49" s="21"/>
      <c r="I49" s="21"/>
      <c r="J49" s="23"/>
      <c r="K49" s="35"/>
      <c r="L49" s="1"/>
    </row>
    <row r="50" spans="1:12" customFormat="1" ht="14.4" x14ac:dyDescent="0.25">
      <c r="B50" s="117" t="s">
        <v>155</v>
      </c>
      <c r="C50" s="91"/>
      <c r="D50" s="92"/>
      <c r="E50" s="92"/>
      <c r="F50" s="93"/>
      <c r="G50" s="21"/>
      <c r="H50" s="21"/>
      <c r="I50" s="21"/>
      <c r="J50" s="23"/>
      <c r="K50" s="35"/>
      <c r="L50" s="1"/>
    </row>
    <row r="51" spans="1:12" customFormat="1" ht="14.4" x14ac:dyDescent="0.25">
      <c r="B51" s="117" t="s">
        <v>156</v>
      </c>
      <c r="C51" s="91"/>
      <c r="D51" s="92"/>
      <c r="E51" s="92"/>
      <c r="F51" s="93"/>
      <c r="G51" s="21"/>
      <c r="H51" s="21"/>
      <c r="I51" s="21"/>
      <c r="J51" s="23"/>
      <c r="K51" s="35"/>
      <c r="L51" s="1"/>
    </row>
    <row r="52" spans="1:12" customFormat="1" ht="14.4" x14ac:dyDescent="0.25">
      <c r="B52" s="117" t="s">
        <v>157</v>
      </c>
      <c r="C52" s="91"/>
      <c r="D52" s="92"/>
      <c r="E52" s="92"/>
      <c r="F52" s="93"/>
      <c r="G52" s="21"/>
      <c r="H52" s="21"/>
      <c r="I52" s="21"/>
      <c r="J52" s="23"/>
      <c r="K52" s="35"/>
      <c r="L52" s="1"/>
    </row>
    <row r="53" spans="1:12" customFormat="1" ht="14.4" x14ac:dyDescent="0.25">
      <c r="B53" s="117" t="s">
        <v>158</v>
      </c>
      <c r="C53" s="91"/>
      <c r="D53" s="92"/>
      <c r="E53" s="92"/>
      <c r="F53" s="93"/>
      <c r="G53" s="21"/>
      <c r="H53" s="21"/>
      <c r="I53" s="21"/>
      <c r="J53" s="23"/>
      <c r="K53" s="35"/>
      <c r="L53" s="1"/>
    </row>
    <row r="54" spans="1:12" customFormat="1" ht="14.4" x14ac:dyDescent="0.25">
      <c r="B54" s="117" t="s">
        <v>159</v>
      </c>
      <c r="C54" s="91"/>
      <c r="D54" s="92"/>
      <c r="E54" s="92"/>
      <c r="F54" s="93"/>
      <c r="G54" s="21"/>
      <c r="H54" s="21"/>
      <c r="I54" s="21"/>
      <c r="J54" s="23"/>
      <c r="K54" s="35"/>
      <c r="L54" s="1"/>
    </row>
    <row r="55" spans="1:12" customFormat="1" ht="14.4" x14ac:dyDescent="0.25">
      <c r="B55" s="117" t="s">
        <v>160</v>
      </c>
      <c r="C55" s="91"/>
      <c r="D55" s="92"/>
      <c r="E55" s="92"/>
      <c r="F55" s="93"/>
      <c r="G55" s="21"/>
      <c r="H55" s="21"/>
      <c r="I55" s="21"/>
      <c r="J55" s="23"/>
      <c r="K55" s="35"/>
      <c r="L55" s="1"/>
    </row>
    <row r="56" spans="1:12" customFormat="1" ht="14.4" x14ac:dyDescent="0.25">
      <c r="B56" s="117" t="s">
        <v>161</v>
      </c>
      <c r="C56" s="91"/>
      <c r="D56" s="92"/>
      <c r="E56" s="92"/>
      <c r="F56" s="93"/>
      <c r="G56" s="21"/>
      <c r="H56" s="21"/>
      <c r="I56" s="21"/>
      <c r="J56" s="23"/>
      <c r="K56" s="35"/>
      <c r="L56" s="1"/>
    </row>
    <row r="57" spans="1:12" customFormat="1" x14ac:dyDescent="0.25">
      <c r="B57" s="28" t="s">
        <v>162</v>
      </c>
      <c r="C57" s="81"/>
      <c r="D57" s="82"/>
      <c r="E57" s="82"/>
      <c r="F57" s="83"/>
      <c r="G57" s="21"/>
      <c r="H57" s="21"/>
      <c r="I57" s="21"/>
      <c r="J57" s="23"/>
      <c r="K57" s="35"/>
      <c r="L57" s="1"/>
    </row>
    <row r="58" spans="1:12" customFormat="1" ht="14.4" x14ac:dyDescent="0.3">
      <c r="B58" s="101" t="s">
        <v>525</v>
      </c>
      <c r="C58" s="94"/>
      <c r="D58" s="95"/>
      <c r="E58" s="95"/>
      <c r="F58" s="96"/>
      <c r="G58" s="97"/>
      <c r="H58" s="97"/>
      <c r="I58" s="21"/>
      <c r="J58" s="23"/>
      <c r="K58" s="35"/>
      <c r="L58" s="1"/>
    </row>
    <row r="59" spans="1:12" customFormat="1" x14ac:dyDescent="0.25">
      <c r="A59" s="35"/>
      <c r="B59" s="28" t="s">
        <v>50</v>
      </c>
      <c r="C59" s="91"/>
      <c r="D59" s="92"/>
      <c r="E59" s="92"/>
      <c r="F59" s="93"/>
      <c r="G59" s="1"/>
      <c r="H59" s="1"/>
      <c r="I59" s="21"/>
      <c r="J59" s="23"/>
      <c r="K59" s="35"/>
      <c r="L59" s="1"/>
    </row>
    <row r="60" spans="1:12" customFormat="1" ht="14.4" x14ac:dyDescent="0.25">
      <c r="A60" s="35"/>
      <c r="B60" s="29" t="s">
        <v>51</v>
      </c>
      <c r="C60" s="81"/>
      <c r="D60" s="81"/>
      <c r="E60" s="81"/>
      <c r="F60" s="81"/>
      <c r="G60" s="21"/>
      <c r="H60" s="21"/>
      <c r="I60" s="21"/>
      <c r="J60" s="23"/>
      <c r="K60" s="35"/>
      <c r="L60" s="1"/>
    </row>
    <row r="61" spans="1:12" customFormat="1" ht="15" thickBot="1" x14ac:dyDescent="0.3">
      <c r="A61" s="35"/>
      <c r="B61" s="30" t="s">
        <v>52</v>
      </c>
      <c r="C61" s="32"/>
      <c r="D61" s="32"/>
      <c r="E61" s="32"/>
      <c r="F61" s="32"/>
      <c r="G61" s="55"/>
      <c r="H61" s="55"/>
      <c r="I61" s="32"/>
      <c r="J61" s="102"/>
      <c r="K61" s="35"/>
      <c r="L61" s="1"/>
    </row>
    <row r="62" spans="1:12" customFormat="1" x14ac:dyDescent="0.25">
      <c r="L62" s="1"/>
    </row>
    <row r="63" spans="1:12" customFormat="1" x14ac:dyDescent="0.25">
      <c r="L63" s="1"/>
    </row>
    <row r="64" spans="1:12" customFormat="1" x14ac:dyDescent="0.25">
      <c r="L64" s="1"/>
    </row>
  </sheetData>
  <autoFilter ref="B8:N26" xr:uid="{00000000-0001-0000-0400-000000000000}"/>
  <mergeCells count="11">
    <mergeCell ref="B28:J28"/>
    <mergeCell ref="G11:I11"/>
    <mergeCell ref="G12:I12"/>
    <mergeCell ref="G26:I26"/>
    <mergeCell ref="G15:I15"/>
    <mergeCell ref="G16:I16"/>
    <mergeCell ref="G17:I17"/>
    <mergeCell ref="G21:I21"/>
    <mergeCell ref="G22:I22"/>
    <mergeCell ref="G24:I24"/>
    <mergeCell ref="G25:I25"/>
  </mergeCells>
  <conditionalFormatting sqref="B32">
    <cfRule type="duplicateValues" dxfId="26" priority="13" stopIfTrue="1"/>
  </conditionalFormatting>
  <conditionalFormatting sqref="B34">
    <cfRule type="duplicateValues" dxfId="25" priority="8" stopIfTrue="1"/>
  </conditionalFormatting>
  <conditionalFormatting sqref="B38">
    <cfRule type="duplicateValues" dxfId="24" priority="9" stopIfTrue="1"/>
  </conditionalFormatting>
  <conditionalFormatting sqref="B40">
    <cfRule type="duplicateValues" dxfId="23" priority="5" stopIfTrue="1"/>
  </conditionalFormatting>
  <conditionalFormatting sqref="B42:B44">
    <cfRule type="duplicateValues" dxfId="22" priority="3" stopIfTrue="1"/>
  </conditionalFormatting>
  <conditionalFormatting sqref="B45:E45">
    <cfRule type="duplicateValues" dxfId="21" priority="2" stopIfTrue="1"/>
  </conditionalFormatting>
  <conditionalFormatting sqref="C35">
    <cfRule type="duplicateValues" dxfId="20" priority="11"/>
  </conditionalFormatting>
  <conditionalFormatting sqref="C39">
    <cfRule type="duplicateValues" dxfId="19" priority="10"/>
  </conditionalFormatting>
  <conditionalFormatting sqref="C40">
    <cfRule type="duplicateValues" dxfId="18" priority="6"/>
  </conditionalFormatting>
  <conditionalFormatting sqref="C42:C44">
    <cfRule type="duplicateValues" dxfId="17" priority="4"/>
  </conditionalFormatting>
  <conditionalFormatting sqref="C46">
    <cfRule type="duplicateValues" dxfId="16" priority="1"/>
  </conditionalFormatting>
  <conditionalFormatting sqref="C47 C29:C34 C57:C61 C36:C37">
    <cfRule type="duplicateValues" dxfId="15" priority="12"/>
  </conditionalFormatting>
  <conditionalFormatting sqref="C48:C56">
    <cfRule type="duplicateValues" dxfId="14" priority="7"/>
  </conditionalFormatting>
  <conditionalFormatting sqref="D27:E27">
    <cfRule type="duplicateValues" dxfId="13" priority="79" stopIfTrue="1"/>
  </conditionalFormatting>
  <hyperlinks>
    <hyperlink ref="B60" r:id="rId1" xr:uid="{00000000-0004-0000-0400-000000000000}"/>
    <hyperlink ref="B61" r:id="rId2" xr:uid="{00000000-0004-0000-0400-000001000000}"/>
    <hyperlink ref="F45" r:id="rId3" display="https://moc.oocl.com/wls_prs_rp/public/ruleTariff/OOLL-100/T-53/display/20260323" xr:uid="{8AB98AC1-EBC8-4885-BC6A-ED29110086DC}"/>
  </hyperlinks>
  <pageMargins left="0.75" right="0.75" top="1" bottom="1" header="0.5" footer="0.5"/>
  <pageSetup paperSize="9" orientation="portrait" r:id="rId4"/>
  <customProperties>
    <customPr name="EpmWorksheetKeyString_GUID" r:id="rId5"/>
  </customProperties>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47088-3153-412B-9E5B-2B00B909A583}">
  <sheetPr codeName="Sheet2"/>
  <dimension ref="B1:P51"/>
  <sheetViews>
    <sheetView topLeftCell="A6" workbookViewId="0">
      <selection activeCell="E14" sqref="E14"/>
    </sheetView>
  </sheetViews>
  <sheetFormatPr baseColWidth="10" defaultColWidth="8.88671875" defaultRowHeight="13.2" x14ac:dyDescent="0.25"/>
  <cols>
    <col min="1" max="1" width="3.6640625" style="31" customWidth="1"/>
    <col min="2" max="2" width="14.6640625" style="31" customWidth="1"/>
    <col min="3" max="3" width="24" style="31" customWidth="1"/>
    <col min="4" max="4" width="7.5546875" style="31" customWidth="1"/>
    <col min="5" max="5" width="8.33203125" style="31" customWidth="1"/>
    <col min="6" max="6" width="12.33203125" style="31" customWidth="1"/>
    <col min="7" max="7" width="11.5546875" style="21" customWidth="1"/>
    <col min="8" max="8" width="12.33203125" style="21" customWidth="1"/>
    <col min="9" max="9" width="7.44140625" style="31" customWidth="1"/>
    <col min="10" max="10" width="10.33203125" style="21" customWidth="1"/>
    <col min="11" max="11" width="42.33203125" style="21" customWidth="1"/>
    <col min="12" max="12" width="13.33203125" style="54" customWidth="1"/>
    <col min="13" max="13" width="8.109375" style="54" customWidth="1"/>
    <col min="14" max="14" width="28.33203125" style="54" customWidth="1"/>
    <col min="15" max="15" width="18.44140625" style="54" bestFit="1" customWidth="1"/>
    <col min="16" max="16" width="29.6640625" style="21" bestFit="1" customWidth="1"/>
    <col min="17" max="17" width="19.44140625" style="31" customWidth="1"/>
    <col min="18" max="18" width="9.33203125" style="31" customWidth="1"/>
    <col min="19" max="19" width="14.33203125" style="31" customWidth="1"/>
    <col min="20" max="20" width="12.44140625" style="31" customWidth="1"/>
    <col min="21" max="254" width="8.6640625" style="31"/>
    <col min="255" max="255" width="2.44140625" style="31" customWidth="1"/>
    <col min="256" max="256" width="15.33203125" style="31" customWidth="1"/>
    <col min="257" max="257" width="17.33203125" style="31" customWidth="1"/>
    <col min="258" max="258" width="3.5546875" style="31" customWidth="1"/>
    <col min="259" max="259" width="17.33203125" style="31" customWidth="1"/>
    <col min="260" max="260" width="0.33203125" style="31" customWidth="1"/>
    <col min="261" max="261" width="4.6640625" style="31" customWidth="1"/>
    <col min="262" max="263" width="7.6640625" style="31" customWidth="1"/>
    <col min="264" max="269" width="8.6640625" style="31" customWidth="1"/>
    <col min="270" max="272" width="10.6640625" style="31" customWidth="1"/>
    <col min="273" max="273" width="25.5546875" style="31" customWidth="1"/>
    <col min="274" max="274" width="9.33203125" style="31" customWidth="1"/>
    <col min="275" max="275" width="14.33203125" style="31" customWidth="1"/>
    <col min="276" max="276" width="12.44140625" style="31" customWidth="1"/>
    <col min="277" max="510" width="8.6640625" style="31"/>
    <col min="511" max="511" width="2.44140625" style="31" customWidth="1"/>
    <col min="512" max="512" width="15.33203125" style="31" customWidth="1"/>
    <col min="513" max="513" width="17.33203125" style="31" customWidth="1"/>
    <col min="514" max="514" width="3.5546875" style="31" customWidth="1"/>
    <col min="515" max="515" width="17.33203125" style="31" customWidth="1"/>
    <col min="516" max="516" width="0.33203125" style="31" customWidth="1"/>
    <col min="517" max="517" width="4.6640625" style="31" customWidth="1"/>
    <col min="518" max="519" width="7.6640625" style="31" customWidth="1"/>
    <col min="520" max="525" width="8.6640625" style="31" customWidth="1"/>
    <col min="526" max="528" width="10.6640625" style="31" customWidth="1"/>
    <col min="529" max="529" width="25.5546875" style="31" customWidth="1"/>
    <col min="530" max="530" width="9.33203125" style="31" customWidth="1"/>
    <col min="531" max="531" width="14.33203125" style="31" customWidth="1"/>
    <col min="532" max="532" width="12.44140625" style="31" customWidth="1"/>
    <col min="533" max="766" width="8.6640625" style="31"/>
    <col min="767" max="767" width="2.44140625" style="31" customWidth="1"/>
    <col min="768" max="768" width="15.33203125" style="31" customWidth="1"/>
    <col min="769" max="769" width="17.33203125" style="31" customWidth="1"/>
    <col min="770" max="770" width="3.5546875" style="31" customWidth="1"/>
    <col min="771" max="771" width="17.33203125" style="31" customWidth="1"/>
    <col min="772" max="772" width="0.33203125" style="31" customWidth="1"/>
    <col min="773" max="773" width="4.6640625" style="31" customWidth="1"/>
    <col min="774" max="775" width="7.6640625" style="31" customWidth="1"/>
    <col min="776" max="781" width="8.6640625" style="31" customWidth="1"/>
    <col min="782" max="784" width="10.6640625" style="31" customWidth="1"/>
    <col min="785" max="785" width="25.5546875" style="31" customWidth="1"/>
    <col min="786" max="786" width="9.33203125" style="31" customWidth="1"/>
    <col min="787" max="787" width="14.33203125" style="31" customWidth="1"/>
    <col min="788" max="788" width="12.44140625" style="31" customWidth="1"/>
    <col min="789" max="1022" width="8.6640625" style="31"/>
    <col min="1023" max="1023" width="2.44140625" style="31" customWidth="1"/>
    <col min="1024" max="1024" width="15.33203125" style="31" customWidth="1"/>
    <col min="1025" max="1025" width="17.33203125" style="31" customWidth="1"/>
    <col min="1026" max="1026" width="3.5546875" style="31" customWidth="1"/>
    <col min="1027" max="1027" width="17.33203125" style="31" customWidth="1"/>
    <col min="1028" max="1028" width="0.33203125" style="31" customWidth="1"/>
    <col min="1029" max="1029" width="4.6640625" style="31" customWidth="1"/>
    <col min="1030" max="1031" width="7.6640625" style="31" customWidth="1"/>
    <col min="1032" max="1037" width="8.6640625" style="31" customWidth="1"/>
    <col min="1038" max="1040" width="10.6640625" style="31" customWidth="1"/>
    <col min="1041" max="1041" width="25.5546875" style="31" customWidth="1"/>
    <col min="1042" max="1042" width="9.33203125" style="31" customWidth="1"/>
    <col min="1043" max="1043" width="14.33203125" style="31" customWidth="1"/>
    <col min="1044" max="1044" width="12.44140625" style="31" customWidth="1"/>
    <col min="1045" max="1278" width="8.6640625" style="31"/>
    <col min="1279" max="1279" width="2.44140625" style="31" customWidth="1"/>
    <col min="1280" max="1280" width="15.33203125" style="31" customWidth="1"/>
    <col min="1281" max="1281" width="17.33203125" style="31" customWidth="1"/>
    <col min="1282" max="1282" width="3.5546875" style="31" customWidth="1"/>
    <col min="1283" max="1283" width="17.33203125" style="31" customWidth="1"/>
    <col min="1284" max="1284" width="0.33203125" style="31" customWidth="1"/>
    <col min="1285" max="1285" width="4.6640625" style="31" customWidth="1"/>
    <col min="1286" max="1287" width="7.6640625" style="31" customWidth="1"/>
    <col min="1288" max="1293" width="8.6640625" style="31" customWidth="1"/>
    <col min="1294" max="1296" width="10.6640625" style="31" customWidth="1"/>
    <col min="1297" max="1297" width="25.5546875" style="31" customWidth="1"/>
    <col min="1298" max="1298" width="9.33203125" style="31" customWidth="1"/>
    <col min="1299" max="1299" width="14.33203125" style="31" customWidth="1"/>
    <col min="1300" max="1300" width="12.44140625" style="31" customWidth="1"/>
    <col min="1301" max="1534" width="8.6640625" style="31"/>
    <col min="1535" max="1535" width="2.44140625" style="31" customWidth="1"/>
    <col min="1536" max="1536" width="15.33203125" style="31" customWidth="1"/>
    <col min="1537" max="1537" width="17.33203125" style="31" customWidth="1"/>
    <col min="1538" max="1538" width="3.5546875" style="31" customWidth="1"/>
    <col min="1539" max="1539" width="17.33203125" style="31" customWidth="1"/>
    <col min="1540" max="1540" width="0.33203125" style="31" customWidth="1"/>
    <col min="1541" max="1541" width="4.6640625" style="31" customWidth="1"/>
    <col min="1542" max="1543" width="7.6640625" style="31" customWidth="1"/>
    <col min="1544" max="1549" width="8.6640625" style="31" customWidth="1"/>
    <col min="1550" max="1552" width="10.6640625" style="31" customWidth="1"/>
    <col min="1553" max="1553" width="25.5546875" style="31" customWidth="1"/>
    <col min="1554" max="1554" width="9.33203125" style="31" customWidth="1"/>
    <col min="1555" max="1555" width="14.33203125" style="31" customWidth="1"/>
    <col min="1556" max="1556" width="12.44140625" style="31" customWidth="1"/>
    <col min="1557" max="1790" width="8.6640625" style="31"/>
    <col min="1791" max="1791" width="2.44140625" style="31" customWidth="1"/>
    <col min="1792" max="1792" width="15.33203125" style="31" customWidth="1"/>
    <col min="1793" max="1793" width="17.33203125" style="31" customWidth="1"/>
    <col min="1794" max="1794" width="3.5546875" style="31" customWidth="1"/>
    <col min="1795" max="1795" width="17.33203125" style="31" customWidth="1"/>
    <col min="1796" max="1796" width="0.33203125" style="31" customWidth="1"/>
    <col min="1797" max="1797" width="4.6640625" style="31" customWidth="1"/>
    <col min="1798" max="1799" width="7.6640625" style="31" customWidth="1"/>
    <col min="1800" max="1805" width="8.6640625" style="31" customWidth="1"/>
    <col min="1806" max="1808" width="10.6640625" style="31" customWidth="1"/>
    <col min="1809" max="1809" width="25.5546875" style="31" customWidth="1"/>
    <col min="1810" max="1810" width="9.33203125" style="31" customWidth="1"/>
    <col min="1811" max="1811" width="14.33203125" style="31" customWidth="1"/>
    <col min="1812" max="1812" width="12.44140625" style="31" customWidth="1"/>
    <col min="1813" max="2046" width="8.6640625" style="31"/>
    <col min="2047" max="2047" width="2.44140625" style="31" customWidth="1"/>
    <col min="2048" max="2048" width="15.33203125" style="31" customWidth="1"/>
    <col min="2049" max="2049" width="17.33203125" style="31" customWidth="1"/>
    <col min="2050" max="2050" width="3.5546875" style="31" customWidth="1"/>
    <col min="2051" max="2051" width="17.33203125" style="31" customWidth="1"/>
    <col min="2052" max="2052" width="0.33203125" style="31" customWidth="1"/>
    <col min="2053" max="2053" width="4.6640625" style="31" customWidth="1"/>
    <col min="2054" max="2055" width="7.6640625" style="31" customWidth="1"/>
    <col min="2056" max="2061" width="8.6640625" style="31" customWidth="1"/>
    <col min="2062" max="2064" width="10.6640625" style="31" customWidth="1"/>
    <col min="2065" max="2065" width="25.5546875" style="31" customWidth="1"/>
    <col min="2066" max="2066" width="9.33203125" style="31" customWidth="1"/>
    <col min="2067" max="2067" width="14.33203125" style="31" customWidth="1"/>
    <col min="2068" max="2068" width="12.44140625" style="31" customWidth="1"/>
    <col min="2069" max="2302" width="8.6640625" style="31"/>
    <col min="2303" max="2303" width="2.44140625" style="31" customWidth="1"/>
    <col min="2304" max="2304" width="15.33203125" style="31" customWidth="1"/>
    <col min="2305" max="2305" width="17.33203125" style="31" customWidth="1"/>
    <col min="2306" max="2306" width="3.5546875" style="31" customWidth="1"/>
    <col min="2307" max="2307" width="17.33203125" style="31" customWidth="1"/>
    <col min="2308" max="2308" width="0.33203125" style="31" customWidth="1"/>
    <col min="2309" max="2309" width="4.6640625" style="31" customWidth="1"/>
    <col min="2310" max="2311" width="7.6640625" style="31" customWidth="1"/>
    <col min="2312" max="2317" width="8.6640625" style="31" customWidth="1"/>
    <col min="2318" max="2320" width="10.6640625" style="31" customWidth="1"/>
    <col min="2321" max="2321" width="25.5546875" style="31" customWidth="1"/>
    <col min="2322" max="2322" width="9.33203125" style="31" customWidth="1"/>
    <col min="2323" max="2323" width="14.33203125" style="31" customWidth="1"/>
    <col min="2324" max="2324" width="12.44140625" style="31" customWidth="1"/>
    <col min="2325" max="2558" width="8.6640625" style="31"/>
    <col min="2559" max="2559" width="2.44140625" style="31" customWidth="1"/>
    <col min="2560" max="2560" width="15.33203125" style="31" customWidth="1"/>
    <col min="2561" max="2561" width="17.33203125" style="31" customWidth="1"/>
    <col min="2562" max="2562" width="3.5546875" style="31" customWidth="1"/>
    <col min="2563" max="2563" width="17.33203125" style="31" customWidth="1"/>
    <col min="2564" max="2564" width="0.33203125" style="31" customWidth="1"/>
    <col min="2565" max="2565" width="4.6640625" style="31" customWidth="1"/>
    <col min="2566" max="2567" width="7.6640625" style="31" customWidth="1"/>
    <col min="2568" max="2573" width="8.6640625" style="31" customWidth="1"/>
    <col min="2574" max="2576" width="10.6640625" style="31" customWidth="1"/>
    <col min="2577" max="2577" width="25.5546875" style="31" customWidth="1"/>
    <col min="2578" max="2578" width="9.33203125" style="31" customWidth="1"/>
    <col min="2579" max="2579" width="14.33203125" style="31" customWidth="1"/>
    <col min="2580" max="2580" width="12.44140625" style="31" customWidth="1"/>
    <col min="2581" max="2814" width="8.6640625" style="31"/>
    <col min="2815" max="2815" width="2.44140625" style="31" customWidth="1"/>
    <col min="2816" max="2816" width="15.33203125" style="31" customWidth="1"/>
    <col min="2817" max="2817" width="17.33203125" style="31" customWidth="1"/>
    <col min="2818" max="2818" width="3.5546875" style="31" customWidth="1"/>
    <col min="2819" max="2819" width="17.33203125" style="31" customWidth="1"/>
    <col min="2820" max="2820" width="0.33203125" style="31" customWidth="1"/>
    <col min="2821" max="2821" width="4.6640625" style="31" customWidth="1"/>
    <col min="2822" max="2823" width="7.6640625" style="31" customWidth="1"/>
    <col min="2824" max="2829" width="8.6640625" style="31" customWidth="1"/>
    <col min="2830" max="2832" width="10.6640625" style="31" customWidth="1"/>
    <col min="2833" max="2833" width="25.5546875" style="31" customWidth="1"/>
    <col min="2834" max="2834" width="9.33203125" style="31" customWidth="1"/>
    <col min="2835" max="2835" width="14.33203125" style="31" customWidth="1"/>
    <col min="2836" max="2836" width="12.44140625" style="31" customWidth="1"/>
    <col min="2837" max="3070" width="8.6640625" style="31"/>
    <col min="3071" max="3071" width="2.44140625" style="31" customWidth="1"/>
    <col min="3072" max="3072" width="15.33203125" style="31" customWidth="1"/>
    <col min="3073" max="3073" width="17.33203125" style="31" customWidth="1"/>
    <col min="3074" max="3074" width="3.5546875" style="31" customWidth="1"/>
    <col min="3075" max="3075" width="17.33203125" style="31" customWidth="1"/>
    <col min="3076" max="3076" width="0.33203125" style="31" customWidth="1"/>
    <col min="3077" max="3077" width="4.6640625" style="31" customWidth="1"/>
    <col min="3078" max="3079" width="7.6640625" style="31" customWidth="1"/>
    <col min="3080" max="3085" width="8.6640625" style="31" customWidth="1"/>
    <col min="3086" max="3088" width="10.6640625" style="31" customWidth="1"/>
    <col min="3089" max="3089" width="25.5546875" style="31" customWidth="1"/>
    <col min="3090" max="3090" width="9.33203125" style="31" customWidth="1"/>
    <col min="3091" max="3091" width="14.33203125" style="31" customWidth="1"/>
    <col min="3092" max="3092" width="12.44140625" style="31" customWidth="1"/>
    <col min="3093" max="3326" width="8.6640625" style="31"/>
    <col min="3327" max="3327" width="2.44140625" style="31" customWidth="1"/>
    <col min="3328" max="3328" width="15.33203125" style="31" customWidth="1"/>
    <col min="3329" max="3329" width="17.33203125" style="31" customWidth="1"/>
    <col min="3330" max="3330" width="3.5546875" style="31" customWidth="1"/>
    <col min="3331" max="3331" width="17.33203125" style="31" customWidth="1"/>
    <col min="3332" max="3332" width="0.33203125" style="31" customWidth="1"/>
    <col min="3333" max="3333" width="4.6640625" style="31" customWidth="1"/>
    <col min="3334" max="3335" width="7.6640625" style="31" customWidth="1"/>
    <col min="3336" max="3341" width="8.6640625" style="31" customWidth="1"/>
    <col min="3342" max="3344" width="10.6640625" style="31" customWidth="1"/>
    <col min="3345" max="3345" width="25.5546875" style="31" customWidth="1"/>
    <col min="3346" max="3346" width="9.33203125" style="31" customWidth="1"/>
    <col min="3347" max="3347" width="14.33203125" style="31" customWidth="1"/>
    <col min="3348" max="3348" width="12.44140625" style="31" customWidth="1"/>
    <col min="3349" max="3582" width="8.6640625" style="31"/>
    <col min="3583" max="3583" width="2.44140625" style="31" customWidth="1"/>
    <col min="3584" max="3584" width="15.33203125" style="31" customWidth="1"/>
    <col min="3585" max="3585" width="17.33203125" style="31" customWidth="1"/>
    <col min="3586" max="3586" width="3.5546875" style="31" customWidth="1"/>
    <col min="3587" max="3587" width="17.33203125" style="31" customWidth="1"/>
    <col min="3588" max="3588" width="0.33203125" style="31" customWidth="1"/>
    <col min="3589" max="3589" width="4.6640625" style="31" customWidth="1"/>
    <col min="3590" max="3591" width="7.6640625" style="31" customWidth="1"/>
    <col min="3592" max="3597" width="8.6640625" style="31" customWidth="1"/>
    <col min="3598" max="3600" width="10.6640625" style="31" customWidth="1"/>
    <col min="3601" max="3601" width="25.5546875" style="31" customWidth="1"/>
    <col min="3602" max="3602" width="9.33203125" style="31" customWidth="1"/>
    <col min="3603" max="3603" width="14.33203125" style="31" customWidth="1"/>
    <col min="3604" max="3604" width="12.44140625" style="31" customWidth="1"/>
    <col min="3605" max="3838" width="8.6640625" style="31"/>
    <col min="3839" max="3839" width="2.44140625" style="31" customWidth="1"/>
    <col min="3840" max="3840" width="15.33203125" style="31" customWidth="1"/>
    <col min="3841" max="3841" width="17.33203125" style="31" customWidth="1"/>
    <col min="3842" max="3842" width="3.5546875" style="31" customWidth="1"/>
    <col min="3843" max="3843" width="17.33203125" style="31" customWidth="1"/>
    <col min="3844" max="3844" width="0.33203125" style="31" customWidth="1"/>
    <col min="3845" max="3845" width="4.6640625" style="31" customWidth="1"/>
    <col min="3846" max="3847" width="7.6640625" style="31" customWidth="1"/>
    <col min="3848" max="3853" width="8.6640625" style="31" customWidth="1"/>
    <col min="3854" max="3856" width="10.6640625" style="31" customWidth="1"/>
    <col min="3857" max="3857" width="25.5546875" style="31" customWidth="1"/>
    <col min="3858" max="3858" width="9.33203125" style="31" customWidth="1"/>
    <col min="3859" max="3859" width="14.33203125" style="31" customWidth="1"/>
    <col min="3860" max="3860" width="12.44140625" style="31" customWidth="1"/>
    <col min="3861" max="4094" width="8.6640625" style="31"/>
    <col min="4095" max="4095" width="2.44140625" style="31" customWidth="1"/>
    <col min="4096" max="4096" width="15.33203125" style="31" customWidth="1"/>
    <col min="4097" max="4097" width="17.33203125" style="31" customWidth="1"/>
    <col min="4098" max="4098" width="3.5546875" style="31" customWidth="1"/>
    <col min="4099" max="4099" width="17.33203125" style="31" customWidth="1"/>
    <col min="4100" max="4100" width="0.33203125" style="31" customWidth="1"/>
    <col min="4101" max="4101" width="4.6640625" style="31" customWidth="1"/>
    <col min="4102" max="4103" width="7.6640625" style="31" customWidth="1"/>
    <col min="4104" max="4109" width="8.6640625" style="31" customWidth="1"/>
    <col min="4110" max="4112" width="10.6640625" style="31" customWidth="1"/>
    <col min="4113" max="4113" width="25.5546875" style="31" customWidth="1"/>
    <col min="4114" max="4114" width="9.33203125" style="31" customWidth="1"/>
    <col min="4115" max="4115" width="14.33203125" style="31" customWidth="1"/>
    <col min="4116" max="4116" width="12.44140625" style="31" customWidth="1"/>
    <col min="4117" max="4350" width="8.6640625" style="31"/>
    <col min="4351" max="4351" width="2.44140625" style="31" customWidth="1"/>
    <col min="4352" max="4352" width="15.33203125" style="31" customWidth="1"/>
    <col min="4353" max="4353" width="17.33203125" style="31" customWidth="1"/>
    <col min="4354" max="4354" width="3.5546875" style="31" customWidth="1"/>
    <col min="4355" max="4355" width="17.33203125" style="31" customWidth="1"/>
    <col min="4356" max="4356" width="0.33203125" style="31" customWidth="1"/>
    <col min="4357" max="4357" width="4.6640625" style="31" customWidth="1"/>
    <col min="4358" max="4359" width="7.6640625" style="31" customWidth="1"/>
    <col min="4360" max="4365" width="8.6640625" style="31" customWidth="1"/>
    <col min="4366" max="4368" width="10.6640625" style="31" customWidth="1"/>
    <col min="4369" max="4369" width="25.5546875" style="31" customWidth="1"/>
    <col min="4370" max="4370" width="9.33203125" style="31" customWidth="1"/>
    <col min="4371" max="4371" width="14.33203125" style="31" customWidth="1"/>
    <col min="4372" max="4372" width="12.44140625" style="31" customWidth="1"/>
    <col min="4373" max="4606" width="8.6640625" style="31"/>
    <col min="4607" max="4607" width="2.44140625" style="31" customWidth="1"/>
    <col min="4608" max="4608" width="15.33203125" style="31" customWidth="1"/>
    <col min="4609" max="4609" width="17.33203125" style="31" customWidth="1"/>
    <col min="4610" max="4610" width="3.5546875" style="31" customWidth="1"/>
    <col min="4611" max="4611" width="17.33203125" style="31" customWidth="1"/>
    <col min="4612" max="4612" width="0.33203125" style="31" customWidth="1"/>
    <col min="4613" max="4613" width="4.6640625" style="31" customWidth="1"/>
    <col min="4614" max="4615" width="7.6640625" style="31" customWidth="1"/>
    <col min="4616" max="4621" width="8.6640625" style="31" customWidth="1"/>
    <col min="4622" max="4624" width="10.6640625" style="31" customWidth="1"/>
    <col min="4625" max="4625" width="25.5546875" style="31" customWidth="1"/>
    <col min="4626" max="4626" width="9.33203125" style="31" customWidth="1"/>
    <col min="4627" max="4627" width="14.33203125" style="31" customWidth="1"/>
    <col min="4628" max="4628" width="12.44140625" style="31" customWidth="1"/>
    <col min="4629" max="4862" width="8.6640625" style="31"/>
    <col min="4863" max="4863" width="2.44140625" style="31" customWidth="1"/>
    <col min="4864" max="4864" width="15.33203125" style="31" customWidth="1"/>
    <col min="4865" max="4865" width="17.33203125" style="31" customWidth="1"/>
    <col min="4866" max="4866" width="3.5546875" style="31" customWidth="1"/>
    <col min="4867" max="4867" width="17.33203125" style="31" customWidth="1"/>
    <col min="4868" max="4868" width="0.33203125" style="31" customWidth="1"/>
    <col min="4869" max="4869" width="4.6640625" style="31" customWidth="1"/>
    <col min="4870" max="4871" width="7.6640625" style="31" customWidth="1"/>
    <col min="4872" max="4877" width="8.6640625" style="31" customWidth="1"/>
    <col min="4878" max="4880" width="10.6640625" style="31" customWidth="1"/>
    <col min="4881" max="4881" width="25.5546875" style="31" customWidth="1"/>
    <col min="4882" max="4882" width="9.33203125" style="31" customWidth="1"/>
    <col min="4883" max="4883" width="14.33203125" style="31" customWidth="1"/>
    <col min="4884" max="4884" width="12.44140625" style="31" customWidth="1"/>
    <col min="4885" max="5118" width="8.6640625" style="31"/>
    <col min="5119" max="5119" width="2.44140625" style="31" customWidth="1"/>
    <col min="5120" max="5120" width="15.33203125" style="31" customWidth="1"/>
    <col min="5121" max="5121" width="17.33203125" style="31" customWidth="1"/>
    <col min="5122" max="5122" width="3.5546875" style="31" customWidth="1"/>
    <col min="5123" max="5123" width="17.33203125" style="31" customWidth="1"/>
    <col min="5124" max="5124" width="0.33203125" style="31" customWidth="1"/>
    <col min="5125" max="5125" width="4.6640625" style="31" customWidth="1"/>
    <col min="5126" max="5127" width="7.6640625" style="31" customWidth="1"/>
    <col min="5128" max="5133" width="8.6640625" style="31" customWidth="1"/>
    <col min="5134" max="5136" width="10.6640625" style="31" customWidth="1"/>
    <col min="5137" max="5137" width="25.5546875" style="31" customWidth="1"/>
    <col min="5138" max="5138" width="9.33203125" style="31" customWidth="1"/>
    <col min="5139" max="5139" width="14.33203125" style="31" customWidth="1"/>
    <col min="5140" max="5140" width="12.44140625" style="31" customWidth="1"/>
    <col min="5141" max="5374" width="8.6640625" style="31"/>
    <col min="5375" max="5375" width="2.44140625" style="31" customWidth="1"/>
    <col min="5376" max="5376" width="15.33203125" style="31" customWidth="1"/>
    <col min="5377" max="5377" width="17.33203125" style="31" customWidth="1"/>
    <col min="5378" max="5378" width="3.5546875" style="31" customWidth="1"/>
    <col min="5379" max="5379" width="17.33203125" style="31" customWidth="1"/>
    <col min="5380" max="5380" width="0.33203125" style="31" customWidth="1"/>
    <col min="5381" max="5381" width="4.6640625" style="31" customWidth="1"/>
    <col min="5382" max="5383" width="7.6640625" style="31" customWidth="1"/>
    <col min="5384" max="5389" width="8.6640625" style="31" customWidth="1"/>
    <col min="5390" max="5392" width="10.6640625" style="31" customWidth="1"/>
    <col min="5393" max="5393" width="25.5546875" style="31" customWidth="1"/>
    <col min="5394" max="5394" width="9.33203125" style="31" customWidth="1"/>
    <col min="5395" max="5395" width="14.33203125" style="31" customWidth="1"/>
    <col min="5396" max="5396" width="12.44140625" style="31" customWidth="1"/>
    <col min="5397" max="5630" width="8.6640625" style="31"/>
    <col min="5631" max="5631" width="2.44140625" style="31" customWidth="1"/>
    <col min="5632" max="5632" width="15.33203125" style="31" customWidth="1"/>
    <col min="5633" max="5633" width="17.33203125" style="31" customWidth="1"/>
    <col min="5634" max="5634" width="3.5546875" style="31" customWidth="1"/>
    <col min="5635" max="5635" width="17.33203125" style="31" customWidth="1"/>
    <col min="5636" max="5636" width="0.33203125" style="31" customWidth="1"/>
    <col min="5637" max="5637" width="4.6640625" style="31" customWidth="1"/>
    <col min="5638" max="5639" width="7.6640625" style="31" customWidth="1"/>
    <col min="5640" max="5645" width="8.6640625" style="31" customWidth="1"/>
    <col min="5646" max="5648" width="10.6640625" style="31" customWidth="1"/>
    <col min="5649" max="5649" width="25.5546875" style="31" customWidth="1"/>
    <col min="5650" max="5650" width="9.33203125" style="31" customWidth="1"/>
    <col min="5651" max="5651" width="14.33203125" style="31" customWidth="1"/>
    <col min="5652" max="5652" width="12.44140625" style="31" customWidth="1"/>
    <col min="5653" max="5886" width="8.6640625" style="31"/>
    <col min="5887" max="5887" width="2.44140625" style="31" customWidth="1"/>
    <col min="5888" max="5888" width="15.33203125" style="31" customWidth="1"/>
    <col min="5889" max="5889" width="17.33203125" style="31" customWidth="1"/>
    <col min="5890" max="5890" width="3.5546875" style="31" customWidth="1"/>
    <col min="5891" max="5891" width="17.33203125" style="31" customWidth="1"/>
    <col min="5892" max="5892" width="0.33203125" style="31" customWidth="1"/>
    <col min="5893" max="5893" width="4.6640625" style="31" customWidth="1"/>
    <col min="5894" max="5895" width="7.6640625" style="31" customWidth="1"/>
    <col min="5896" max="5901" width="8.6640625" style="31" customWidth="1"/>
    <col min="5902" max="5904" width="10.6640625" style="31" customWidth="1"/>
    <col min="5905" max="5905" width="25.5546875" style="31" customWidth="1"/>
    <col min="5906" max="5906" width="9.33203125" style="31" customWidth="1"/>
    <col min="5907" max="5907" width="14.33203125" style="31" customWidth="1"/>
    <col min="5908" max="5908" width="12.44140625" style="31" customWidth="1"/>
    <col min="5909" max="6142" width="8.6640625" style="31"/>
    <col min="6143" max="6143" width="2.44140625" style="31" customWidth="1"/>
    <col min="6144" max="6144" width="15.33203125" style="31" customWidth="1"/>
    <col min="6145" max="6145" width="17.33203125" style="31" customWidth="1"/>
    <col min="6146" max="6146" width="3.5546875" style="31" customWidth="1"/>
    <col min="6147" max="6147" width="17.33203125" style="31" customWidth="1"/>
    <col min="6148" max="6148" width="0.33203125" style="31" customWidth="1"/>
    <col min="6149" max="6149" width="4.6640625" style="31" customWidth="1"/>
    <col min="6150" max="6151" width="7.6640625" style="31" customWidth="1"/>
    <col min="6152" max="6157" width="8.6640625" style="31" customWidth="1"/>
    <col min="6158" max="6160" width="10.6640625" style="31" customWidth="1"/>
    <col min="6161" max="6161" width="25.5546875" style="31" customWidth="1"/>
    <col min="6162" max="6162" width="9.33203125" style="31" customWidth="1"/>
    <col min="6163" max="6163" width="14.33203125" style="31" customWidth="1"/>
    <col min="6164" max="6164" width="12.44140625" style="31" customWidth="1"/>
    <col min="6165" max="6398" width="8.6640625" style="31"/>
    <col min="6399" max="6399" width="2.44140625" style="31" customWidth="1"/>
    <col min="6400" max="6400" width="15.33203125" style="31" customWidth="1"/>
    <col min="6401" max="6401" width="17.33203125" style="31" customWidth="1"/>
    <col min="6402" max="6402" width="3.5546875" style="31" customWidth="1"/>
    <col min="6403" max="6403" width="17.33203125" style="31" customWidth="1"/>
    <col min="6404" max="6404" width="0.33203125" style="31" customWidth="1"/>
    <col min="6405" max="6405" width="4.6640625" style="31" customWidth="1"/>
    <col min="6406" max="6407" width="7.6640625" style="31" customWidth="1"/>
    <col min="6408" max="6413" width="8.6640625" style="31" customWidth="1"/>
    <col min="6414" max="6416" width="10.6640625" style="31" customWidth="1"/>
    <col min="6417" max="6417" width="25.5546875" style="31" customWidth="1"/>
    <col min="6418" max="6418" width="9.33203125" style="31" customWidth="1"/>
    <col min="6419" max="6419" width="14.33203125" style="31" customWidth="1"/>
    <col min="6420" max="6420" width="12.44140625" style="31" customWidth="1"/>
    <col min="6421" max="6654" width="8.6640625" style="31"/>
    <col min="6655" max="6655" width="2.44140625" style="31" customWidth="1"/>
    <col min="6656" max="6656" width="15.33203125" style="31" customWidth="1"/>
    <col min="6657" max="6657" width="17.33203125" style="31" customWidth="1"/>
    <col min="6658" max="6658" width="3.5546875" style="31" customWidth="1"/>
    <col min="6659" max="6659" width="17.33203125" style="31" customWidth="1"/>
    <col min="6660" max="6660" width="0.33203125" style="31" customWidth="1"/>
    <col min="6661" max="6661" width="4.6640625" style="31" customWidth="1"/>
    <col min="6662" max="6663" width="7.6640625" style="31" customWidth="1"/>
    <col min="6664" max="6669" width="8.6640625" style="31" customWidth="1"/>
    <col min="6670" max="6672" width="10.6640625" style="31" customWidth="1"/>
    <col min="6673" max="6673" width="25.5546875" style="31" customWidth="1"/>
    <col min="6674" max="6674" width="9.33203125" style="31" customWidth="1"/>
    <col min="6675" max="6675" width="14.33203125" style="31" customWidth="1"/>
    <col min="6676" max="6676" width="12.44140625" style="31" customWidth="1"/>
    <col min="6677" max="6910" width="8.6640625" style="31"/>
    <col min="6911" max="6911" width="2.44140625" style="31" customWidth="1"/>
    <col min="6912" max="6912" width="15.33203125" style="31" customWidth="1"/>
    <col min="6913" max="6913" width="17.33203125" style="31" customWidth="1"/>
    <col min="6914" max="6914" width="3.5546875" style="31" customWidth="1"/>
    <col min="6915" max="6915" width="17.33203125" style="31" customWidth="1"/>
    <col min="6916" max="6916" width="0.33203125" style="31" customWidth="1"/>
    <col min="6917" max="6917" width="4.6640625" style="31" customWidth="1"/>
    <col min="6918" max="6919" width="7.6640625" style="31" customWidth="1"/>
    <col min="6920" max="6925" width="8.6640625" style="31" customWidth="1"/>
    <col min="6926" max="6928" width="10.6640625" style="31" customWidth="1"/>
    <col min="6929" max="6929" width="25.5546875" style="31" customWidth="1"/>
    <col min="6930" max="6930" width="9.33203125" style="31" customWidth="1"/>
    <col min="6931" max="6931" width="14.33203125" style="31" customWidth="1"/>
    <col min="6932" max="6932" width="12.44140625" style="31" customWidth="1"/>
    <col min="6933" max="7166" width="8.6640625" style="31"/>
    <col min="7167" max="7167" width="2.44140625" style="31" customWidth="1"/>
    <col min="7168" max="7168" width="15.33203125" style="31" customWidth="1"/>
    <col min="7169" max="7169" width="17.33203125" style="31" customWidth="1"/>
    <col min="7170" max="7170" width="3.5546875" style="31" customWidth="1"/>
    <col min="7171" max="7171" width="17.33203125" style="31" customWidth="1"/>
    <col min="7172" max="7172" width="0.33203125" style="31" customWidth="1"/>
    <col min="7173" max="7173" width="4.6640625" style="31" customWidth="1"/>
    <col min="7174" max="7175" width="7.6640625" style="31" customWidth="1"/>
    <col min="7176" max="7181" width="8.6640625" style="31" customWidth="1"/>
    <col min="7182" max="7184" width="10.6640625" style="31" customWidth="1"/>
    <col min="7185" max="7185" width="25.5546875" style="31" customWidth="1"/>
    <col min="7186" max="7186" width="9.33203125" style="31" customWidth="1"/>
    <col min="7187" max="7187" width="14.33203125" style="31" customWidth="1"/>
    <col min="7188" max="7188" width="12.44140625" style="31" customWidth="1"/>
    <col min="7189" max="7422" width="8.6640625" style="31"/>
    <col min="7423" max="7423" width="2.44140625" style="31" customWidth="1"/>
    <col min="7424" max="7424" width="15.33203125" style="31" customWidth="1"/>
    <col min="7425" max="7425" width="17.33203125" style="31" customWidth="1"/>
    <col min="7426" max="7426" width="3.5546875" style="31" customWidth="1"/>
    <col min="7427" max="7427" width="17.33203125" style="31" customWidth="1"/>
    <col min="7428" max="7428" width="0.33203125" style="31" customWidth="1"/>
    <col min="7429" max="7429" width="4.6640625" style="31" customWidth="1"/>
    <col min="7430" max="7431" width="7.6640625" style="31" customWidth="1"/>
    <col min="7432" max="7437" width="8.6640625" style="31" customWidth="1"/>
    <col min="7438" max="7440" width="10.6640625" style="31" customWidth="1"/>
    <col min="7441" max="7441" width="25.5546875" style="31" customWidth="1"/>
    <col min="7442" max="7442" width="9.33203125" style="31" customWidth="1"/>
    <col min="7443" max="7443" width="14.33203125" style="31" customWidth="1"/>
    <col min="7444" max="7444" width="12.44140625" style="31" customWidth="1"/>
    <col min="7445" max="7678" width="8.6640625" style="31"/>
    <col min="7679" max="7679" width="2.44140625" style="31" customWidth="1"/>
    <col min="7680" max="7680" width="15.33203125" style="31" customWidth="1"/>
    <col min="7681" max="7681" width="17.33203125" style="31" customWidth="1"/>
    <col min="7682" max="7682" width="3.5546875" style="31" customWidth="1"/>
    <col min="7683" max="7683" width="17.33203125" style="31" customWidth="1"/>
    <col min="7684" max="7684" width="0.33203125" style="31" customWidth="1"/>
    <col min="7685" max="7685" width="4.6640625" style="31" customWidth="1"/>
    <col min="7686" max="7687" width="7.6640625" style="31" customWidth="1"/>
    <col min="7688" max="7693" width="8.6640625" style="31" customWidth="1"/>
    <col min="7694" max="7696" width="10.6640625" style="31" customWidth="1"/>
    <col min="7697" max="7697" width="25.5546875" style="31" customWidth="1"/>
    <col min="7698" max="7698" width="9.33203125" style="31" customWidth="1"/>
    <col min="7699" max="7699" width="14.33203125" style="31" customWidth="1"/>
    <col min="7700" max="7700" width="12.44140625" style="31" customWidth="1"/>
    <col min="7701" max="7934" width="8.6640625" style="31"/>
    <col min="7935" max="7935" width="2.44140625" style="31" customWidth="1"/>
    <col min="7936" max="7936" width="15.33203125" style="31" customWidth="1"/>
    <col min="7937" max="7937" width="17.33203125" style="31" customWidth="1"/>
    <col min="7938" max="7938" width="3.5546875" style="31" customWidth="1"/>
    <col min="7939" max="7939" width="17.33203125" style="31" customWidth="1"/>
    <col min="7940" max="7940" width="0.33203125" style="31" customWidth="1"/>
    <col min="7941" max="7941" width="4.6640625" style="31" customWidth="1"/>
    <col min="7942" max="7943" width="7.6640625" style="31" customWidth="1"/>
    <col min="7944" max="7949" width="8.6640625" style="31" customWidth="1"/>
    <col min="7950" max="7952" width="10.6640625" style="31" customWidth="1"/>
    <col min="7953" max="7953" width="25.5546875" style="31" customWidth="1"/>
    <col min="7954" max="7954" width="9.33203125" style="31" customWidth="1"/>
    <col min="7955" max="7955" width="14.33203125" style="31" customWidth="1"/>
    <col min="7956" max="7956" width="12.44140625" style="31" customWidth="1"/>
    <col min="7957" max="8190" width="8.6640625" style="31"/>
    <col min="8191" max="8191" width="2.44140625" style="31" customWidth="1"/>
    <col min="8192" max="8192" width="15.33203125" style="31" customWidth="1"/>
    <col min="8193" max="8193" width="17.33203125" style="31" customWidth="1"/>
    <col min="8194" max="8194" width="3.5546875" style="31" customWidth="1"/>
    <col min="8195" max="8195" width="17.33203125" style="31" customWidth="1"/>
    <col min="8196" max="8196" width="0.33203125" style="31" customWidth="1"/>
    <col min="8197" max="8197" width="4.6640625" style="31" customWidth="1"/>
    <col min="8198" max="8199" width="7.6640625" style="31" customWidth="1"/>
    <col min="8200" max="8205" width="8.6640625" style="31" customWidth="1"/>
    <col min="8206" max="8208" width="10.6640625" style="31" customWidth="1"/>
    <col min="8209" max="8209" width="25.5546875" style="31" customWidth="1"/>
    <col min="8210" max="8210" width="9.33203125" style="31" customWidth="1"/>
    <col min="8211" max="8211" width="14.33203125" style="31" customWidth="1"/>
    <col min="8212" max="8212" width="12.44140625" style="31" customWidth="1"/>
    <col min="8213" max="8446" width="8.6640625" style="31"/>
    <col min="8447" max="8447" width="2.44140625" style="31" customWidth="1"/>
    <col min="8448" max="8448" width="15.33203125" style="31" customWidth="1"/>
    <col min="8449" max="8449" width="17.33203125" style="31" customWidth="1"/>
    <col min="8450" max="8450" width="3.5546875" style="31" customWidth="1"/>
    <col min="8451" max="8451" width="17.33203125" style="31" customWidth="1"/>
    <col min="8452" max="8452" width="0.33203125" style="31" customWidth="1"/>
    <col min="8453" max="8453" width="4.6640625" style="31" customWidth="1"/>
    <col min="8454" max="8455" width="7.6640625" style="31" customWidth="1"/>
    <col min="8456" max="8461" width="8.6640625" style="31" customWidth="1"/>
    <col min="8462" max="8464" width="10.6640625" style="31" customWidth="1"/>
    <col min="8465" max="8465" width="25.5546875" style="31" customWidth="1"/>
    <col min="8466" max="8466" width="9.33203125" style="31" customWidth="1"/>
    <col min="8467" max="8467" width="14.33203125" style="31" customWidth="1"/>
    <col min="8468" max="8468" width="12.44140625" style="31" customWidth="1"/>
    <col min="8469" max="8702" width="8.6640625" style="31"/>
    <col min="8703" max="8703" width="2.44140625" style="31" customWidth="1"/>
    <col min="8704" max="8704" width="15.33203125" style="31" customWidth="1"/>
    <col min="8705" max="8705" width="17.33203125" style="31" customWidth="1"/>
    <col min="8706" max="8706" width="3.5546875" style="31" customWidth="1"/>
    <col min="8707" max="8707" width="17.33203125" style="31" customWidth="1"/>
    <col min="8708" max="8708" width="0.33203125" style="31" customWidth="1"/>
    <col min="8709" max="8709" width="4.6640625" style="31" customWidth="1"/>
    <col min="8710" max="8711" width="7.6640625" style="31" customWidth="1"/>
    <col min="8712" max="8717" width="8.6640625" style="31" customWidth="1"/>
    <col min="8718" max="8720" width="10.6640625" style="31" customWidth="1"/>
    <col min="8721" max="8721" width="25.5546875" style="31" customWidth="1"/>
    <col min="8722" max="8722" width="9.33203125" style="31" customWidth="1"/>
    <col min="8723" max="8723" width="14.33203125" style="31" customWidth="1"/>
    <col min="8724" max="8724" width="12.44140625" style="31" customWidth="1"/>
    <col min="8725" max="8958" width="8.6640625" style="31"/>
    <col min="8959" max="8959" width="2.44140625" style="31" customWidth="1"/>
    <col min="8960" max="8960" width="15.33203125" style="31" customWidth="1"/>
    <col min="8961" max="8961" width="17.33203125" style="31" customWidth="1"/>
    <col min="8962" max="8962" width="3.5546875" style="31" customWidth="1"/>
    <col min="8963" max="8963" width="17.33203125" style="31" customWidth="1"/>
    <col min="8964" max="8964" width="0.33203125" style="31" customWidth="1"/>
    <col min="8965" max="8965" width="4.6640625" style="31" customWidth="1"/>
    <col min="8966" max="8967" width="7.6640625" style="31" customWidth="1"/>
    <col min="8968" max="8973" width="8.6640625" style="31" customWidth="1"/>
    <col min="8974" max="8976" width="10.6640625" style="31" customWidth="1"/>
    <col min="8977" max="8977" width="25.5546875" style="31" customWidth="1"/>
    <col min="8978" max="8978" width="9.33203125" style="31" customWidth="1"/>
    <col min="8979" max="8979" width="14.33203125" style="31" customWidth="1"/>
    <col min="8980" max="8980" width="12.44140625" style="31" customWidth="1"/>
    <col min="8981" max="9214" width="8.6640625" style="31"/>
    <col min="9215" max="9215" width="2.44140625" style="31" customWidth="1"/>
    <col min="9216" max="9216" width="15.33203125" style="31" customWidth="1"/>
    <col min="9217" max="9217" width="17.33203125" style="31" customWidth="1"/>
    <col min="9218" max="9218" width="3.5546875" style="31" customWidth="1"/>
    <col min="9219" max="9219" width="17.33203125" style="31" customWidth="1"/>
    <col min="9220" max="9220" width="0.33203125" style="31" customWidth="1"/>
    <col min="9221" max="9221" width="4.6640625" style="31" customWidth="1"/>
    <col min="9222" max="9223" width="7.6640625" style="31" customWidth="1"/>
    <col min="9224" max="9229" width="8.6640625" style="31" customWidth="1"/>
    <col min="9230" max="9232" width="10.6640625" style="31" customWidth="1"/>
    <col min="9233" max="9233" width="25.5546875" style="31" customWidth="1"/>
    <col min="9234" max="9234" width="9.33203125" style="31" customWidth="1"/>
    <col min="9235" max="9235" width="14.33203125" style="31" customWidth="1"/>
    <col min="9236" max="9236" width="12.44140625" style="31" customWidth="1"/>
    <col min="9237" max="9470" width="8.6640625" style="31"/>
    <col min="9471" max="9471" width="2.44140625" style="31" customWidth="1"/>
    <col min="9472" max="9472" width="15.33203125" style="31" customWidth="1"/>
    <col min="9473" max="9473" width="17.33203125" style="31" customWidth="1"/>
    <col min="9474" max="9474" width="3.5546875" style="31" customWidth="1"/>
    <col min="9475" max="9475" width="17.33203125" style="31" customWidth="1"/>
    <col min="9476" max="9476" width="0.33203125" style="31" customWidth="1"/>
    <col min="9477" max="9477" width="4.6640625" style="31" customWidth="1"/>
    <col min="9478" max="9479" width="7.6640625" style="31" customWidth="1"/>
    <col min="9480" max="9485" width="8.6640625" style="31" customWidth="1"/>
    <col min="9486" max="9488" width="10.6640625" style="31" customWidth="1"/>
    <col min="9489" max="9489" width="25.5546875" style="31" customWidth="1"/>
    <col min="9490" max="9490" width="9.33203125" style="31" customWidth="1"/>
    <col min="9491" max="9491" width="14.33203125" style="31" customWidth="1"/>
    <col min="9492" max="9492" width="12.44140625" style="31" customWidth="1"/>
    <col min="9493" max="9726" width="8.6640625" style="31"/>
    <col min="9727" max="9727" width="2.44140625" style="31" customWidth="1"/>
    <col min="9728" max="9728" width="15.33203125" style="31" customWidth="1"/>
    <col min="9729" max="9729" width="17.33203125" style="31" customWidth="1"/>
    <col min="9730" max="9730" width="3.5546875" style="31" customWidth="1"/>
    <col min="9731" max="9731" width="17.33203125" style="31" customWidth="1"/>
    <col min="9732" max="9732" width="0.33203125" style="31" customWidth="1"/>
    <col min="9733" max="9733" width="4.6640625" style="31" customWidth="1"/>
    <col min="9734" max="9735" width="7.6640625" style="31" customWidth="1"/>
    <col min="9736" max="9741" width="8.6640625" style="31" customWidth="1"/>
    <col min="9742" max="9744" width="10.6640625" style="31" customWidth="1"/>
    <col min="9745" max="9745" width="25.5546875" style="31" customWidth="1"/>
    <col min="9746" max="9746" width="9.33203125" style="31" customWidth="1"/>
    <col min="9747" max="9747" width="14.33203125" style="31" customWidth="1"/>
    <col min="9748" max="9748" width="12.44140625" style="31" customWidth="1"/>
    <col min="9749" max="9982" width="8.6640625" style="31"/>
    <col min="9983" max="9983" width="2.44140625" style="31" customWidth="1"/>
    <col min="9984" max="9984" width="15.33203125" style="31" customWidth="1"/>
    <col min="9985" max="9985" width="17.33203125" style="31" customWidth="1"/>
    <col min="9986" max="9986" width="3.5546875" style="31" customWidth="1"/>
    <col min="9987" max="9987" width="17.33203125" style="31" customWidth="1"/>
    <col min="9988" max="9988" width="0.33203125" style="31" customWidth="1"/>
    <col min="9989" max="9989" width="4.6640625" style="31" customWidth="1"/>
    <col min="9990" max="9991" width="7.6640625" style="31" customWidth="1"/>
    <col min="9992" max="9997" width="8.6640625" style="31" customWidth="1"/>
    <col min="9998" max="10000" width="10.6640625" style="31" customWidth="1"/>
    <col min="10001" max="10001" width="25.5546875" style="31" customWidth="1"/>
    <col min="10002" max="10002" width="9.33203125" style="31" customWidth="1"/>
    <col min="10003" max="10003" width="14.33203125" style="31" customWidth="1"/>
    <col min="10004" max="10004" width="12.44140625" style="31" customWidth="1"/>
    <col min="10005" max="10238" width="8.6640625" style="31"/>
    <col min="10239" max="10239" width="2.44140625" style="31" customWidth="1"/>
    <col min="10240" max="10240" width="15.33203125" style="31" customWidth="1"/>
    <col min="10241" max="10241" width="17.33203125" style="31" customWidth="1"/>
    <col min="10242" max="10242" width="3.5546875" style="31" customWidth="1"/>
    <col min="10243" max="10243" width="17.33203125" style="31" customWidth="1"/>
    <col min="10244" max="10244" width="0.33203125" style="31" customWidth="1"/>
    <col min="10245" max="10245" width="4.6640625" style="31" customWidth="1"/>
    <col min="10246" max="10247" width="7.6640625" style="31" customWidth="1"/>
    <col min="10248" max="10253" width="8.6640625" style="31" customWidth="1"/>
    <col min="10254" max="10256" width="10.6640625" style="31" customWidth="1"/>
    <col min="10257" max="10257" width="25.5546875" style="31" customWidth="1"/>
    <col min="10258" max="10258" width="9.33203125" style="31" customWidth="1"/>
    <col min="10259" max="10259" width="14.33203125" style="31" customWidth="1"/>
    <col min="10260" max="10260" width="12.44140625" style="31" customWidth="1"/>
    <col min="10261" max="10494" width="8.6640625" style="31"/>
    <col min="10495" max="10495" width="2.44140625" style="31" customWidth="1"/>
    <col min="10496" max="10496" width="15.33203125" style="31" customWidth="1"/>
    <col min="10497" max="10497" width="17.33203125" style="31" customWidth="1"/>
    <col min="10498" max="10498" width="3.5546875" style="31" customWidth="1"/>
    <col min="10499" max="10499" width="17.33203125" style="31" customWidth="1"/>
    <col min="10500" max="10500" width="0.33203125" style="31" customWidth="1"/>
    <col min="10501" max="10501" width="4.6640625" style="31" customWidth="1"/>
    <col min="10502" max="10503" width="7.6640625" style="31" customWidth="1"/>
    <col min="10504" max="10509" width="8.6640625" style="31" customWidth="1"/>
    <col min="10510" max="10512" width="10.6640625" style="31" customWidth="1"/>
    <col min="10513" max="10513" width="25.5546875" style="31" customWidth="1"/>
    <col min="10514" max="10514" width="9.33203125" style="31" customWidth="1"/>
    <col min="10515" max="10515" width="14.33203125" style="31" customWidth="1"/>
    <col min="10516" max="10516" width="12.44140625" style="31" customWidth="1"/>
    <col min="10517" max="10750" width="8.6640625" style="31"/>
    <col min="10751" max="10751" width="2.44140625" style="31" customWidth="1"/>
    <col min="10752" max="10752" width="15.33203125" style="31" customWidth="1"/>
    <col min="10753" max="10753" width="17.33203125" style="31" customWidth="1"/>
    <col min="10754" max="10754" width="3.5546875" style="31" customWidth="1"/>
    <col min="10755" max="10755" width="17.33203125" style="31" customWidth="1"/>
    <col min="10756" max="10756" width="0.33203125" style="31" customWidth="1"/>
    <col min="10757" max="10757" width="4.6640625" style="31" customWidth="1"/>
    <col min="10758" max="10759" width="7.6640625" style="31" customWidth="1"/>
    <col min="10760" max="10765" width="8.6640625" style="31" customWidth="1"/>
    <col min="10766" max="10768" width="10.6640625" style="31" customWidth="1"/>
    <col min="10769" max="10769" width="25.5546875" style="31" customWidth="1"/>
    <col min="10770" max="10770" width="9.33203125" style="31" customWidth="1"/>
    <col min="10771" max="10771" width="14.33203125" style="31" customWidth="1"/>
    <col min="10772" max="10772" width="12.44140625" style="31" customWidth="1"/>
    <col min="10773" max="11006" width="8.6640625" style="31"/>
    <col min="11007" max="11007" width="2.44140625" style="31" customWidth="1"/>
    <col min="11008" max="11008" width="15.33203125" style="31" customWidth="1"/>
    <col min="11009" max="11009" width="17.33203125" style="31" customWidth="1"/>
    <col min="11010" max="11010" width="3.5546875" style="31" customWidth="1"/>
    <col min="11011" max="11011" width="17.33203125" style="31" customWidth="1"/>
    <col min="11012" max="11012" width="0.33203125" style="31" customWidth="1"/>
    <col min="11013" max="11013" width="4.6640625" style="31" customWidth="1"/>
    <col min="11014" max="11015" width="7.6640625" style="31" customWidth="1"/>
    <col min="11016" max="11021" width="8.6640625" style="31" customWidth="1"/>
    <col min="11022" max="11024" width="10.6640625" style="31" customWidth="1"/>
    <col min="11025" max="11025" width="25.5546875" style="31" customWidth="1"/>
    <col min="11026" max="11026" width="9.33203125" style="31" customWidth="1"/>
    <col min="11027" max="11027" width="14.33203125" style="31" customWidth="1"/>
    <col min="11028" max="11028" width="12.44140625" style="31" customWidth="1"/>
    <col min="11029" max="11262" width="8.6640625" style="31"/>
    <col min="11263" max="11263" width="2.44140625" style="31" customWidth="1"/>
    <col min="11264" max="11264" width="15.33203125" style="31" customWidth="1"/>
    <col min="11265" max="11265" width="17.33203125" style="31" customWidth="1"/>
    <col min="11266" max="11266" width="3.5546875" style="31" customWidth="1"/>
    <col min="11267" max="11267" width="17.33203125" style="31" customWidth="1"/>
    <col min="11268" max="11268" width="0.33203125" style="31" customWidth="1"/>
    <col min="11269" max="11269" width="4.6640625" style="31" customWidth="1"/>
    <col min="11270" max="11271" width="7.6640625" style="31" customWidth="1"/>
    <col min="11272" max="11277" width="8.6640625" style="31" customWidth="1"/>
    <col min="11278" max="11280" width="10.6640625" style="31" customWidth="1"/>
    <col min="11281" max="11281" width="25.5546875" style="31" customWidth="1"/>
    <col min="11282" max="11282" width="9.33203125" style="31" customWidth="1"/>
    <col min="11283" max="11283" width="14.33203125" style="31" customWidth="1"/>
    <col min="11284" max="11284" width="12.44140625" style="31" customWidth="1"/>
    <col min="11285" max="11518" width="8.6640625" style="31"/>
    <col min="11519" max="11519" width="2.44140625" style="31" customWidth="1"/>
    <col min="11520" max="11520" width="15.33203125" style="31" customWidth="1"/>
    <col min="11521" max="11521" width="17.33203125" style="31" customWidth="1"/>
    <col min="11522" max="11522" width="3.5546875" style="31" customWidth="1"/>
    <col min="11523" max="11523" width="17.33203125" style="31" customWidth="1"/>
    <col min="11524" max="11524" width="0.33203125" style="31" customWidth="1"/>
    <col min="11525" max="11525" width="4.6640625" style="31" customWidth="1"/>
    <col min="11526" max="11527" width="7.6640625" style="31" customWidth="1"/>
    <col min="11528" max="11533" width="8.6640625" style="31" customWidth="1"/>
    <col min="11534" max="11536" width="10.6640625" style="31" customWidth="1"/>
    <col min="11537" max="11537" width="25.5546875" style="31" customWidth="1"/>
    <col min="11538" max="11538" width="9.33203125" style="31" customWidth="1"/>
    <col min="11539" max="11539" width="14.33203125" style="31" customWidth="1"/>
    <col min="11540" max="11540" width="12.44140625" style="31" customWidth="1"/>
    <col min="11541" max="11774" width="8.6640625" style="31"/>
    <col min="11775" max="11775" width="2.44140625" style="31" customWidth="1"/>
    <col min="11776" max="11776" width="15.33203125" style="31" customWidth="1"/>
    <col min="11777" max="11777" width="17.33203125" style="31" customWidth="1"/>
    <col min="11778" max="11778" width="3.5546875" style="31" customWidth="1"/>
    <col min="11779" max="11779" width="17.33203125" style="31" customWidth="1"/>
    <col min="11780" max="11780" width="0.33203125" style="31" customWidth="1"/>
    <col min="11781" max="11781" width="4.6640625" style="31" customWidth="1"/>
    <col min="11782" max="11783" width="7.6640625" style="31" customWidth="1"/>
    <col min="11784" max="11789" width="8.6640625" style="31" customWidth="1"/>
    <col min="11790" max="11792" width="10.6640625" style="31" customWidth="1"/>
    <col min="11793" max="11793" width="25.5546875" style="31" customWidth="1"/>
    <col min="11794" max="11794" width="9.33203125" style="31" customWidth="1"/>
    <col min="11795" max="11795" width="14.33203125" style="31" customWidth="1"/>
    <col min="11796" max="11796" width="12.44140625" style="31" customWidth="1"/>
    <col min="11797" max="12030" width="8.6640625" style="31"/>
    <col min="12031" max="12031" width="2.44140625" style="31" customWidth="1"/>
    <col min="12032" max="12032" width="15.33203125" style="31" customWidth="1"/>
    <col min="12033" max="12033" width="17.33203125" style="31" customWidth="1"/>
    <col min="12034" max="12034" width="3.5546875" style="31" customWidth="1"/>
    <col min="12035" max="12035" width="17.33203125" style="31" customWidth="1"/>
    <col min="12036" max="12036" width="0.33203125" style="31" customWidth="1"/>
    <col min="12037" max="12037" width="4.6640625" style="31" customWidth="1"/>
    <col min="12038" max="12039" width="7.6640625" style="31" customWidth="1"/>
    <col min="12040" max="12045" width="8.6640625" style="31" customWidth="1"/>
    <col min="12046" max="12048" width="10.6640625" style="31" customWidth="1"/>
    <col min="12049" max="12049" width="25.5546875" style="31" customWidth="1"/>
    <col min="12050" max="12050" width="9.33203125" style="31" customWidth="1"/>
    <col min="12051" max="12051" width="14.33203125" style="31" customWidth="1"/>
    <col min="12052" max="12052" width="12.44140625" style="31" customWidth="1"/>
    <col min="12053" max="12286" width="8.6640625" style="31"/>
    <col min="12287" max="12287" width="2.44140625" style="31" customWidth="1"/>
    <col min="12288" max="12288" width="15.33203125" style="31" customWidth="1"/>
    <col min="12289" max="12289" width="17.33203125" style="31" customWidth="1"/>
    <col min="12290" max="12290" width="3.5546875" style="31" customWidth="1"/>
    <col min="12291" max="12291" width="17.33203125" style="31" customWidth="1"/>
    <col min="12292" max="12292" width="0.33203125" style="31" customWidth="1"/>
    <col min="12293" max="12293" width="4.6640625" style="31" customWidth="1"/>
    <col min="12294" max="12295" width="7.6640625" style="31" customWidth="1"/>
    <col min="12296" max="12301" width="8.6640625" style="31" customWidth="1"/>
    <col min="12302" max="12304" width="10.6640625" style="31" customWidth="1"/>
    <col min="12305" max="12305" width="25.5546875" style="31" customWidth="1"/>
    <col min="12306" max="12306" width="9.33203125" style="31" customWidth="1"/>
    <col min="12307" max="12307" width="14.33203125" style="31" customWidth="1"/>
    <col min="12308" max="12308" width="12.44140625" style="31" customWidth="1"/>
    <col min="12309" max="12542" width="8.6640625" style="31"/>
    <col min="12543" max="12543" width="2.44140625" style="31" customWidth="1"/>
    <col min="12544" max="12544" width="15.33203125" style="31" customWidth="1"/>
    <col min="12545" max="12545" width="17.33203125" style="31" customWidth="1"/>
    <col min="12546" max="12546" width="3.5546875" style="31" customWidth="1"/>
    <col min="12547" max="12547" width="17.33203125" style="31" customWidth="1"/>
    <col min="12548" max="12548" width="0.33203125" style="31" customWidth="1"/>
    <col min="12549" max="12549" width="4.6640625" style="31" customWidth="1"/>
    <col min="12550" max="12551" width="7.6640625" style="31" customWidth="1"/>
    <col min="12552" max="12557" width="8.6640625" style="31" customWidth="1"/>
    <col min="12558" max="12560" width="10.6640625" style="31" customWidth="1"/>
    <col min="12561" max="12561" width="25.5546875" style="31" customWidth="1"/>
    <col min="12562" max="12562" width="9.33203125" style="31" customWidth="1"/>
    <col min="12563" max="12563" width="14.33203125" style="31" customWidth="1"/>
    <col min="12564" max="12564" width="12.44140625" style="31" customWidth="1"/>
    <col min="12565" max="12798" width="8.6640625" style="31"/>
    <col min="12799" max="12799" width="2.44140625" style="31" customWidth="1"/>
    <col min="12800" max="12800" width="15.33203125" style="31" customWidth="1"/>
    <col min="12801" max="12801" width="17.33203125" style="31" customWidth="1"/>
    <col min="12802" max="12802" width="3.5546875" style="31" customWidth="1"/>
    <col min="12803" max="12803" width="17.33203125" style="31" customWidth="1"/>
    <col min="12804" max="12804" width="0.33203125" style="31" customWidth="1"/>
    <col min="12805" max="12805" width="4.6640625" style="31" customWidth="1"/>
    <col min="12806" max="12807" width="7.6640625" style="31" customWidth="1"/>
    <col min="12808" max="12813" width="8.6640625" style="31" customWidth="1"/>
    <col min="12814" max="12816" width="10.6640625" style="31" customWidth="1"/>
    <col min="12817" max="12817" width="25.5546875" style="31" customWidth="1"/>
    <col min="12818" max="12818" width="9.33203125" style="31" customWidth="1"/>
    <col min="12819" max="12819" width="14.33203125" style="31" customWidth="1"/>
    <col min="12820" max="12820" width="12.44140625" style="31" customWidth="1"/>
    <col min="12821" max="13054" width="8.6640625" style="31"/>
    <col min="13055" max="13055" width="2.44140625" style="31" customWidth="1"/>
    <col min="13056" max="13056" width="15.33203125" style="31" customWidth="1"/>
    <col min="13057" max="13057" width="17.33203125" style="31" customWidth="1"/>
    <col min="13058" max="13058" width="3.5546875" style="31" customWidth="1"/>
    <col min="13059" max="13059" width="17.33203125" style="31" customWidth="1"/>
    <col min="13060" max="13060" width="0.33203125" style="31" customWidth="1"/>
    <col min="13061" max="13061" width="4.6640625" style="31" customWidth="1"/>
    <col min="13062" max="13063" width="7.6640625" style="31" customWidth="1"/>
    <col min="13064" max="13069" width="8.6640625" style="31" customWidth="1"/>
    <col min="13070" max="13072" width="10.6640625" style="31" customWidth="1"/>
    <col min="13073" max="13073" width="25.5546875" style="31" customWidth="1"/>
    <col min="13074" max="13074" width="9.33203125" style="31" customWidth="1"/>
    <col min="13075" max="13075" width="14.33203125" style="31" customWidth="1"/>
    <col min="13076" max="13076" width="12.44140625" style="31" customWidth="1"/>
    <col min="13077" max="13310" width="8.6640625" style="31"/>
    <col min="13311" max="13311" width="2.44140625" style="31" customWidth="1"/>
    <col min="13312" max="13312" width="15.33203125" style="31" customWidth="1"/>
    <col min="13313" max="13313" width="17.33203125" style="31" customWidth="1"/>
    <col min="13314" max="13314" width="3.5546875" style="31" customWidth="1"/>
    <col min="13315" max="13315" width="17.33203125" style="31" customWidth="1"/>
    <col min="13316" max="13316" width="0.33203125" style="31" customWidth="1"/>
    <col min="13317" max="13317" width="4.6640625" style="31" customWidth="1"/>
    <col min="13318" max="13319" width="7.6640625" style="31" customWidth="1"/>
    <col min="13320" max="13325" width="8.6640625" style="31" customWidth="1"/>
    <col min="13326" max="13328" width="10.6640625" style="31" customWidth="1"/>
    <col min="13329" max="13329" width="25.5546875" style="31" customWidth="1"/>
    <col min="13330" max="13330" width="9.33203125" style="31" customWidth="1"/>
    <col min="13331" max="13331" width="14.33203125" style="31" customWidth="1"/>
    <col min="13332" max="13332" width="12.44140625" style="31" customWidth="1"/>
    <col min="13333" max="13566" width="8.6640625" style="31"/>
    <col min="13567" max="13567" width="2.44140625" style="31" customWidth="1"/>
    <col min="13568" max="13568" width="15.33203125" style="31" customWidth="1"/>
    <col min="13569" max="13569" width="17.33203125" style="31" customWidth="1"/>
    <col min="13570" max="13570" width="3.5546875" style="31" customWidth="1"/>
    <col min="13571" max="13571" width="17.33203125" style="31" customWidth="1"/>
    <col min="13572" max="13572" width="0.33203125" style="31" customWidth="1"/>
    <col min="13573" max="13573" width="4.6640625" style="31" customWidth="1"/>
    <col min="13574" max="13575" width="7.6640625" style="31" customWidth="1"/>
    <col min="13576" max="13581" width="8.6640625" style="31" customWidth="1"/>
    <col min="13582" max="13584" width="10.6640625" style="31" customWidth="1"/>
    <col min="13585" max="13585" width="25.5546875" style="31" customWidth="1"/>
    <col min="13586" max="13586" width="9.33203125" style="31" customWidth="1"/>
    <col min="13587" max="13587" width="14.33203125" style="31" customWidth="1"/>
    <col min="13588" max="13588" width="12.44140625" style="31" customWidth="1"/>
    <col min="13589" max="13822" width="8.6640625" style="31"/>
    <col min="13823" max="13823" width="2.44140625" style="31" customWidth="1"/>
    <col min="13824" max="13824" width="15.33203125" style="31" customWidth="1"/>
    <col min="13825" max="13825" width="17.33203125" style="31" customWidth="1"/>
    <col min="13826" max="13826" width="3.5546875" style="31" customWidth="1"/>
    <col min="13827" max="13827" width="17.33203125" style="31" customWidth="1"/>
    <col min="13828" max="13828" width="0.33203125" style="31" customWidth="1"/>
    <col min="13829" max="13829" width="4.6640625" style="31" customWidth="1"/>
    <col min="13830" max="13831" width="7.6640625" style="31" customWidth="1"/>
    <col min="13832" max="13837" width="8.6640625" style="31" customWidth="1"/>
    <col min="13838" max="13840" width="10.6640625" style="31" customWidth="1"/>
    <col min="13841" max="13841" width="25.5546875" style="31" customWidth="1"/>
    <col min="13842" max="13842" width="9.33203125" style="31" customWidth="1"/>
    <col min="13843" max="13843" width="14.33203125" style="31" customWidth="1"/>
    <col min="13844" max="13844" width="12.44140625" style="31" customWidth="1"/>
    <col min="13845" max="14078" width="8.6640625" style="31"/>
    <col min="14079" max="14079" width="2.44140625" style="31" customWidth="1"/>
    <col min="14080" max="14080" width="15.33203125" style="31" customWidth="1"/>
    <col min="14081" max="14081" width="17.33203125" style="31" customWidth="1"/>
    <col min="14082" max="14082" width="3.5546875" style="31" customWidth="1"/>
    <col min="14083" max="14083" width="17.33203125" style="31" customWidth="1"/>
    <col min="14084" max="14084" width="0.33203125" style="31" customWidth="1"/>
    <col min="14085" max="14085" width="4.6640625" style="31" customWidth="1"/>
    <col min="14086" max="14087" width="7.6640625" style="31" customWidth="1"/>
    <col min="14088" max="14093" width="8.6640625" style="31" customWidth="1"/>
    <col min="14094" max="14096" width="10.6640625" style="31" customWidth="1"/>
    <col min="14097" max="14097" width="25.5546875" style="31" customWidth="1"/>
    <col min="14098" max="14098" width="9.33203125" style="31" customWidth="1"/>
    <col min="14099" max="14099" width="14.33203125" style="31" customWidth="1"/>
    <col min="14100" max="14100" width="12.44140625" style="31" customWidth="1"/>
    <col min="14101" max="14334" width="8.6640625" style="31"/>
    <col min="14335" max="14335" width="2.44140625" style="31" customWidth="1"/>
    <col min="14336" max="14336" width="15.33203125" style="31" customWidth="1"/>
    <col min="14337" max="14337" width="17.33203125" style="31" customWidth="1"/>
    <col min="14338" max="14338" width="3.5546875" style="31" customWidth="1"/>
    <col min="14339" max="14339" width="17.33203125" style="31" customWidth="1"/>
    <col min="14340" max="14340" width="0.33203125" style="31" customWidth="1"/>
    <col min="14341" max="14341" width="4.6640625" style="31" customWidth="1"/>
    <col min="14342" max="14343" width="7.6640625" style="31" customWidth="1"/>
    <col min="14344" max="14349" width="8.6640625" style="31" customWidth="1"/>
    <col min="14350" max="14352" width="10.6640625" style="31" customWidth="1"/>
    <col min="14353" max="14353" width="25.5546875" style="31" customWidth="1"/>
    <col min="14354" max="14354" width="9.33203125" style="31" customWidth="1"/>
    <col min="14355" max="14355" width="14.33203125" style="31" customWidth="1"/>
    <col min="14356" max="14356" width="12.44140625" style="31" customWidth="1"/>
    <col min="14357" max="14590" width="8.6640625" style="31"/>
    <col min="14591" max="14591" width="2.44140625" style="31" customWidth="1"/>
    <col min="14592" max="14592" width="15.33203125" style="31" customWidth="1"/>
    <col min="14593" max="14593" width="17.33203125" style="31" customWidth="1"/>
    <col min="14594" max="14594" width="3.5546875" style="31" customWidth="1"/>
    <col min="14595" max="14595" width="17.33203125" style="31" customWidth="1"/>
    <col min="14596" max="14596" width="0.33203125" style="31" customWidth="1"/>
    <col min="14597" max="14597" width="4.6640625" style="31" customWidth="1"/>
    <col min="14598" max="14599" width="7.6640625" style="31" customWidth="1"/>
    <col min="14600" max="14605" width="8.6640625" style="31" customWidth="1"/>
    <col min="14606" max="14608" width="10.6640625" style="31" customWidth="1"/>
    <col min="14609" max="14609" width="25.5546875" style="31" customWidth="1"/>
    <col min="14610" max="14610" width="9.33203125" style="31" customWidth="1"/>
    <col min="14611" max="14611" width="14.33203125" style="31" customWidth="1"/>
    <col min="14612" max="14612" width="12.44140625" style="31" customWidth="1"/>
    <col min="14613" max="14846" width="8.6640625" style="31"/>
    <col min="14847" max="14847" width="2.44140625" style="31" customWidth="1"/>
    <col min="14848" max="14848" width="15.33203125" style="31" customWidth="1"/>
    <col min="14849" max="14849" width="17.33203125" style="31" customWidth="1"/>
    <col min="14850" max="14850" width="3.5546875" style="31" customWidth="1"/>
    <col min="14851" max="14851" width="17.33203125" style="31" customWidth="1"/>
    <col min="14852" max="14852" width="0.33203125" style="31" customWidth="1"/>
    <col min="14853" max="14853" width="4.6640625" style="31" customWidth="1"/>
    <col min="14854" max="14855" width="7.6640625" style="31" customWidth="1"/>
    <col min="14856" max="14861" width="8.6640625" style="31" customWidth="1"/>
    <col min="14862" max="14864" width="10.6640625" style="31" customWidth="1"/>
    <col min="14865" max="14865" width="25.5546875" style="31" customWidth="1"/>
    <col min="14866" max="14866" width="9.33203125" style="31" customWidth="1"/>
    <col min="14867" max="14867" width="14.33203125" style="31" customWidth="1"/>
    <col min="14868" max="14868" width="12.44140625" style="31" customWidth="1"/>
    <col min="14869" max="15102" width="8.6640625" style="31"/>
    <col min="15103" max="15103" width="2.44140625" style="31" customWidth="1"/>
    <col min="15104" max="15104" width="15.33203125" style="31" customWidth="1"/>
    <col min="15105" max="15105" width="17.33203125" style="31" customWidth="1"/>
    <col min="15106" max="15106" width="3.5546875" style="31" customWidth="1"/>
    <col min="15107" max="15107" width="17.33203125" style="31" customWidth="1"/>
    <col min="15108" max="15108" width="0.33203125" style="31" customWidth="1"/>
    <col min="15109" max="15109" width="4.6640625" style="31" customWidth="1"/>
    <col min="15110" max="15111" width="7.6640625" style="31" customWidth="1"/>
    <col min="15112" max="15117" width="8.6640625" style="31" customWidth="1"/>
    <col min="15118" max="15120" width="10.6640625" style="31" customWidth="1"/>
    <col min="15121" max="15121" width="25.5546875" style="31" customWidth="1"/>
    <col min="15122" max="15122" width="9.33203125" style="31" customWidth="1"/>
    <col min="15123" max="15123" width="14.33203125" style="31" customWidth="1"/>
    <col min="15124" max="15124" width="12.44140625" style="31" customWidth="1"/>
    <col min="15125" max="15358" width="8.6640625" style="31"/>
    <col min="15359" max="15359" width="2.44140625" style="31" customWidth="1"/>
    <col min="15360" max="15360" width="15.33203125" style="31" customWidth="1"/>
    <col min="15361" max="15361" width="17.33203125" style="31" customWidth="1"/>
    <col min="15362" max="15362" width="3.5546875" style="31" customWidth="1"/>
    <col min="15363" max="15363" width="17.33203125" style="31" customWidth="1"/>
    <col min="15364" max="15364" width="0.33203125" style="31" customWidth="1"/>
    <col min="15365" max="15365" width="4.6640625" style="31" customWidth="1"/>
    <col min="15366" max="15367" width="7.6640625" style="31" customWidth="1"/>
    <col min="15368" max="15373" width="8.6640625" style="31" customWidth="1"/>
    <col min="15374" max="15376" width="10.6640625" style="31" customWidth="1"/>
    <col min="15377" max="15377" width="25.5546875" style="31" customWidth="1"/>
    <col min="15378" max="15378" width="9.33203125" style="31" customWidth="1"/>
    <col min="15379" max="15379" width="14.33203125" style="31" customWidth="1"/>
    <col min="15380" max="15380" width="12.44140625" style="31" customWidth="1"/>
    <col min="15381" max="15614" width="8.6640625" style="31"/>
    <col min="15615" max="15615" width="2.44140625" style="31" customWidth="1"/>
    <col min="15616" max="15616" width="15.33203125" style="31" customWidth="1"/>
    <col min="15617" max="15617" width="17.33203125" style="31" customWidth="1"/>
    <col min="15618" max="15618" width="3.5546875" style="31" customWidth="1"/>
    <col min="15619" max="15619" width="17.33203125" style="31" customWidth="1"/>
    <col min="15620" max="15620" width="0.33203125" style="31" customWidth="1"/>
    <col min="15621" max="15621" width="4.6640625" style="31" customWidth="1"/>
    <col min="15622" max="15623" width="7.6640625" style="31" customWidth="1"/>
    <col min="15624" max="15629" width="8.6640625" style="31" customWidth="1"/>
    <col min="15630" max="15632" width="10.6640625" style="31" customWidth="1"/>
    <col min="15633" max="15633" width="25.5546875" style="31" customWidth="1"/>
    <col min="15634" max="15634" width="9.33203125" style="31" customWidth="1"/>
    <col min="15635" max="15635" width="14.33203125" style="31" customWidth="1"/>
    <col min="15636" max="15636" width="12.44140625" style="31" customWidth="1"/>
    <col min="15637" max="15870" width="8.6640625" style="31"/>
    <col min="15871" max="15871" width="2.44140625" style="31" customWidth="1"/>
    <col min="15872" max="15872" width="15.33203125" style="31" customWidth="1"/>
    <col min="15873" max="15873" width="17.33203125" style="31" customWidth="1"/>
    <col min="15874" max="15874" width="3.5546875" style="31" customWidth="1"/>
    <col min="15875" max="15875" width="17.33203125" style="31" customWidth="1"/>
    <col min="15876" max="15876" width="0.33203125" style="31" customWidth="1"/>
    <col min="15877" max="15877" width="4.6640625" style="31" customWidth="1"/>
    <col min="15878" max="15879" width="7.6640625" style="31" customWidth="1"/>
    <col min="15880" max="15885" width="8.6640625" style="31" customWidth="1"/>
    <col min="15886" max="15888" width="10.6640625" style="31" customWidth="1"/>
    <col min="15889" max="15889" width="25.5546875" style="31" customWidth="1"/>
    <col min="15890" max="15890" width="9.33203125" style="31" customWidth="1"/>
    <col min="15891" max="15891" width="14.33203125" style="31" customWidth="1"/>
    <col min="15892" max="15892" width="12.44140625" style="31" customWidth="1"/>
    <col min="15893" max="16126" width="8.6640625" style="31"/>
    <col min="16127" max="16127" width="2.44140625" style="31" customWidth="1"/>
    <col min="16128" max="16128" width="15.33203125" style="31" customWidth="1"/>
    <col min="16129" max="16129" width="17.33203125" style="31" customWidth="1"/>
    <col min="16130" max="16130" width="3.5546875" style="31" customWidth="1"/>
    <col min="16131" max="16131" width="17.33203125" style="31" customWidth="1"/>
    <col min="16132" max="16132" width="0.33203125" style="31" customWidth="1"/>
    <col min="16133" max="16133" width="4.6640625" style="31" customWidth="1"/>
    <col min="16134" max="16135" width="7.6640625" style="31" customWidth="1"/>
    <col min="16136" max="16141" width="8.6640625" style="31" customWidth="1"/>
    <col min="16142" max="16144" width="10.6640625" style="31" customWidth="1"/>
    <col min="16145" max="16145" width="25.5546875" style="31" customWidth="1"/>
    <col min="16146" max="16146" width="9.33203125" style="31" customWidth="1"/>
    <col min="16147" max="16147" width="14.33203125" style="31" customWidth="1"/>
    <col min="16148" max="16148" width="12.44140625" style="31" customWidth="1"/>
    <col min="16149" max="16384" width="8.6640625" style="31"/>
  </cols>
  <sheetData>
    <row r="1" spans="2:16" ht="13.8" thickBot="1" x14ac:dyDescent="0.3">
      <c r="G1" s="31"/>
      <c r="H1" s="31"/>
      <c r="J1" s="31"/>
      <c r="K1" s="31"/>
      <c r="L1" s="49"/>
      <c r="M1" s="108"/>
      <c r="N1" s="49"/>
      <c r="O1" s="49"/>
      <c r="P1" s="37"/>
    </row>
    <row r="2" spans="2:16" ht="18" x14ac:dyDescent="0.35">
      <c r="E2" s="145" t="s">
        <v>315</v>
      </c>
      <c r="G2" s="67"/>
      <c r="H2" s="67"/>
      <c r="I2" s="34"/>
      <c r="K2" s="190" t="s">
        <v>1</v>
      </c>
      <c r="L2" s="191"/>
      <c r="M2" s="192"/>
      <c r="N2" s="193"/>
      <c r="O2" s="68"/>
      <c r="P2" s="69"/>
    </row>
    <row r="3" spans="2:16" ht="15.6" x14ac:dyDescent="0.3">
      <c r="G3" s="31"/>
      <c r="H3" s="31"/>
      <c r="K3" s="194" t="s">
        <v>2</v>
      </c>
      <c r="L3" s="31"/>
      <c r="N3" s="195"/>
      <c r="O3" s="111"/>
      <c r="P3" s="37"/>
    </row>
    <row r="4" spans="2:16" ht="13.8" thickBot="1" x14ac:dyDescent="0.3">
      <c r="E4" s="125" t="str">
        <f>'BCN-VLC-ALG to W-E Africa'!F4</f>
        <v>VALIDEZ: 1 Abril 2026 hasta 30 Abril 2026</v>
      </c>
      <c r="G4" s="31"/>
      <c r="H4" s="31"/>
      <c r="K4" s="403" t="s">
        <v>583</v>
      </c>
      <c r="L4" s="143"/>
      <c r="M4" s="188"/>
      <c r="N4" s="172"/>
      <c r="O4" s="31"/>
      <c r="P4" s="37"/>
    </row>
    <row r="5" spans="2:16" ht="10.199999999999999" customHeight="1" thickBot="1" x14ac:dyDescent="0.3">
      <c r="E5" s="73"/>
      <c r="G5" s="31"/>
      <c r="H5" s="31"/>
      <c r="J5" s="31"/>
      <c r="K5" s="31"/>
      <c r="L5" s="31"/>
      <c r="M5" s="37"/>
      <c r="N5" s="31"/>
      <c r="O5" s="31"/>
      <c r="P5" s="37"/>
    </row>
    <row r="6" spans="2:16" ht="21.6" thickBot="1" x14ac:dyDescent="0.45">
      <c r="D6" s="418" t="s">
        <v>617</v>
      </c>
      <c r="E6" s="423"/>
      <c r="F6" s="420"/>
      <c r="G6" s="419"/>
      <c r="H6" s="419"/>
      <c r="I6" s="419"/>
      <c r="J6" s="424"/>
      <c r="K6" s="422"/>
      <c r="L6" s="421"/>
      <c r="M6" s="422"/>
      <c r="N6" s="31"/>
      <c r="O6" s="31"/>
      <c r="P6" s="37"/>
    </row>
    <row r="7" spans="2:16" ht="13.8" x14ac:dyDescent="0.25">
      <c r="E7" s="124"/>
      <c r="G7" s="31"/>
      <c r="H7" s="31"/>
      <c r="I7" s="124"/>
      <c r="J7" s="31"/>
      <c r="K7" s="31"/>
      <c r="L7" s="49"/>
      <c r="M7" s="108"/>
      <c r="N7" s="49"/>
      <c r="O7" s="49"/>
      <c r="P7" s="57"/>
    </row>
    <row r="8" spans="2:16" s="34" customFormat="1" ht="22.5" customHeight="1" x14ac:dyDescent="0.25">
      <c r="B8" s="227" t="s">
        <v>3</v>
      </c>
      <c r="C8" s="228" t="s">
        <v>5</v>
      </c>
      <c r="D8" s="228" t="s">
        <v>6</v>
      </c>
      <c r="E8" s="228" t="s">
        <v>7</v>
      </c>
      <c r="F8" s="228" t="s">
        <v>8</v>
      </c>
      <c r="G8" s="228" t="s">
        <v>9</v>
      </c>
      <c r="H8" s="228" t="s">
        <v>10</v>
      </c>
      <c r="I8" s="228" t="s">
        <v>11</v>
      </c>
      <c r="J8" s="228" t="s">
        <v>12</v>
      </c>
      <c r="K8" s="228" t="s">
        <v>62</v>
      </c>
      <c r="L8" s="228" t="s">
        <v>200</v>
      </c>
      <c r="M8" s="228" t="s">
        <v>603</v>
      </c>
      <c r="N8" s="228" t="s">
        <v>14</v>
      </c>
      <c r="O8" s="228" t="s">
        <v>15</v>
      </c>
      <c r="P8" s="229" t="s">
        <v>16</v>
      </c>
    </row>
    <row r="9" spans="2:16" ht="28.5" customHeight="1" x14ac:dyDescent="0.25">
      <c r="B9" s="223" t="s">
        <v>205</v>
      </c>
      <c r="C9" s="224" t="s">
        <v>316</v>
      </c>
      <c r="D9" s="224" t="s">
        <v>20</v>
      </c>
      <c r="E9" s="230">
        <v>24</v>
      </c>
      <c r="F9" s="224" t="s">
        <v>317</v>
      </c>
      <c r="G9" s="224" t="s">
        <v>22</v>
      </c>
      <c r="H9" s="429">
        <v>575</v>
      </c>
      <c r="I9" s="429">
        <v>700</v>
      </c>
      <c r="J9" s="429">
        <v>675</v>
      </c>
      <c r="K9" s="231" t="s">
        <v>594</v>
      </c>
      <c r="L9" s="231" t="s">
        <v>174</v>
      </c>
      <c r="M9" s="231">
        <v>75</v>
      </c>
      <c r="N9" s="231" t="s">
        <v>618</v>
      </c>
      <c r="O9" s="232" t="s">
        <v>318</v>
      </c>
      <c r="P9" s="233"/>
    </row>
    <row r="10" spans="2:16" ht="28.2" customHeight="1" x14ac:dyDescent="0.25">
      <c r="B10" s="223" t="s">
        <v>205</v>
      </c>
      <c r="C10" s="224" t="s">
        <v>586</v>
      </c>
      <c r="D10" s="224" t="s">
        <v>20</v>
      </c>
      <c r="E10" s="230">
        <v>39</v>
      </c>
      <c r="F10" s="224" t="s">
        <v>317</v>
      </c>
      <c r="G10" s="224" t="s">
        <v>22</v>
      </c>
      <c r="H10" s="428" t="s">
        <v>321</v>
      </c>
      <c r="I10" s="428" t="s">
        <v>587</v>
      </c>
      <c r="J10" s="429">
        <v>925</v>
      </c>
      <c r="K10" s="231" t="s">
        <v>594</v>
      </c>
      <c r="L10" s="231" t="s">
        <v>174</v>
      </c>
      <c r="M10" s="231">
        <f>$M$9</f>
        <v>75</v>
      </c>
      <c r="N10" s="231" t="s">
        <v>619</v>
      </c>
      <c r="O10" s="232" t="s">
        <v>318</v>
      </c>
      <c r="P10" s="396"/>
    </row>
    <row r="11" spans="2:16" ht="28.2" customHeight="1" x14ac:dyDescent="0.25">
      <c r="B11" s="223" t="s">
        <v>205</v>
      </c>
      <c r="C11" s="224" t="s">
        <v>319</v>
      </c>
      <c r="D11" s="224" t="s">
        <v>20</v>
      </c>
      <c r="E11" s="230">
        <v>20</v>
      </c>
      <c r="F11" s="224" t="s">
        <v>317</v>
      </c>
      <c r="G11" s="224" t="s">
        <v>22</v>
      </c>
      <c r="H11" s="428" t="s">
        <v>637</v>
      </c>
      <c r="I11" s="428" t="s">
        <v>320</v>
      </c>
      <c r="J11" s="429">
        <v>825</v>
      </c>
      <c r="K11" s="231" t="s">
        <v>594</v>
      </c>
      <c r="L11" s="231" t="s">
        <v>174</v>
      </c>
      <c r="M11" s="231">
        <f t="shared" ref="M11:M26" si="0">$M$9</f>
        <v>75</v>
      </c>
      <c r="N11" s="231" t="str">
        <f>$N$10</f>
        <v>EBS;THD;DOC;T3;ETS;TCM</v>
      </c>
      <c r="O11" s="232" t="s">
        <v>318</v>
      </c>
      <c r="P11" s="233"/>
    </row>
    <row r="12" spans="2:16" ht="28.2" customHeight="1" x14ac:dyDescent="0.25">
      <c r="B12" s="223" t="s">
        <v>205</v>
      </c>
      <c r="C12" s="224" t="s">
        <v>322</v>
      </c>
      <c r="D12" s="224" t="s">
        <v>20</v>
      </c>
      <c r="E12" s="230">
        <v>32</v>
      </c>
      <c r="F12" s="224" t="s">
        <v>317</v>
      </c>
      <c r="G12" s="224" t="s">
        <v>22</v>
      </c>
      <c r="H12" s="428" t="s">
        <v>321</v>
      </c>
      <c r="I12" s="428" t="s">
        <v>520</v>
      </c>
      <c r="J12" s="429">
        <v>1100</v>
      </c>
      <c r="K12" s="231" t="s">
        <v>594</v>
      </c>
      <c r="L12" s="231" t="s">
        <v>174</v>
      </c>
      <c r="M12" s="231">
        <f t="shared" si="0"/>
        <v>75</v>
      </c>
      <c r="N12" s="231" t="str">
        <f t="shared" ref="N12:N26" si="1">$N$10</f>
        <v>EBS;THD;DOC;T3;ETS;TCM</v>
      </c>
      <c r="O12" s="232" t="s">
        <v>318</v>
      </c>
      <c r="P12" s="233"/>
    </row>
    <row r="13" spans="2:16" ht="28.2" customHeight="1" x14ac:dyDescent="0.25">
      <c r="B13" s="223" t="s">
        <v>205</v>
      </c>
      <c r="C13" s="224" t="s">
        <v>323</v>
      </c>
      <c r="D13" s="224" t="s">
        <v>20</v>
      </c>
      <c r="E13" s="230">
        <v>18</v>
      </c>
      <c r="F13" s="224" t="s">
        <v>317</v>
      </c>
      <c r="G13" s="224" t="s">
        <v>22</v>
      </c>
      <c r="H13" s="428" t="s">
        <v>638</v>
      </c>
      <c r="I13" s="428" t="s">
        <v>639</v>
      </c>
      <c r="J13" s="429">
        <v>650</v>
      </c>
      <c r="K13" s="231" t="s">
        <v>594</v>
      </c>
      <c r="L13" s="231" t="s">
        <v>174</v>
      </c>
      <c r="M13" s="231">
        <f t="shared" si="0"/>
        <v>75</v>
      </c>
      <c r="N13" s="231" t="str">
        <f t="shared" si="1"/>
        <v>EBS;THD;DOC;T3;ETS;TCM</v>
      </c>
      <c r="O13" s="232" t="s">
        <v>318</v>
      </c>
      <c r="P13" s="233"/>
    </row>
    <row r="14" spans="2:16" ht="28.2" customHeight="1" x14ac:dyDescent="0.25">
      <c r="B14" s="223" t="s">
        <v>205</v>
      </c>
      <c r="C14" s="224" t="s">
        <v>324</v>
      </c>
      <c r="D14" s="224" t="s">
        <v>20</v>
      </c>
      <c r="E14" s="230">
        <v>23</v>
      </c>
      <c r="F14" s="224" t="s">
        <v>317</v>
      </c>
      <c r="G14" s="224" t="s">
        <v>22</v>
      </c>
      <c r="H14" s="428" t="s">
        <v>533</v>
      </c>
      <c r="I14" s="428" t="s">
        <v>639</v>
      </c>
      <c r="J14" s="429">
        <v>850</v>
      </c>
      <c r="K14" s="231" t="s">
        <v>594</v>
      </c>
      <c r="L14" s="231" t="s">
        <v>174</v>
      </c>
      <c r="M14" s="231">
        <f t="shared" si="0"/>
        <v>75</v>
      </c>
      <c r="N14" s="231" t="str">
        <f t="shared" si="1"/>
        <v>EBS;THD;DOC;T3;ETS;TCM</v>
      </c>
      <c r="O14" s="232" t="s">
        <v>318</v>
      </c>
      <c r="P14" s="233"/>
    </row>
    <row r="15" spans="2:16" ht="28.2" customHeight="1" x14ac:dyDescent="0.25">
      <c r="B15" s="223" t="s">
        <v>17</v>
      </c>
      <c r="C15" s="224" t="s">
        <v>316</v>
      </c>
      <c r="D15" s="224" t="s">
        <v>20</v>
      </c>
      <c r="E15" s="230">
        <v>34</v>
      </c>
      <c r="F15" s="224" t="s">
        <v>317</v>
      </c>
      <c r="G15" s="224" t="s">
        <v>22</v>
      </c>
      <c r="H15" s="429">
        <v>700</v>
      </c>
      <c r="I15" s="429">
        <v>900</v>
      </c>
      <c r="J15" s="429">
        <v>875</v>
      </c>
      <c r="K15" s="231" t="s">
        <v>594</v>
      </c>
      <c r="L15" s="231" t="s">
        <v>174</v>
      </c>
      <c r="M15" s="231">
        <f t="shared" si="0"/>
        <v>75</v>
      </c>
      <c r="N15" s="231" t="str">
        <f>$N$9</f>
        <v>EBS;RCT;THD;DOC;T3;ETS;TCM</v>
      </c>
      <c r="O15" s="232" t="s">
        <v>318</v>
      </c>
      <c r="P15" s="233"/>
    </row>
    <row r="16" spans="2:16" ht="28.2" customHeight="1" x14ac:dyDescent="0.25">
      <c r="B16" s="223" t="s">
        <v>17</v>
      </c>
      <c r="C16" s="224" t="s">
        <v>586</v>
      </c>
      <c r="D16" s="224" t="s">
        <v>20</v>
      </c>
      <c r="E16" s="230">
        <v>39</v>
      </c>
      <c r="F16" s="224" t="s">
        <v>317</v>
      </c>
      <c r="G16" s="224" t="s">
        <v>22</v>
      </c>
      <c r="H16" s="428" t="s">
        <v>516</v>
      </c>
      <c r="I16" s="428" t="s">
        <v>640</v>
      </c>
      <c r="J16" s="429">
        <v>1025</v>
      </c>
      <c r="K16" s="231" t="s">
        <v>594</v>
      </c>
      <c r="L16" s="231" t="s">
        <v>174</v>
      </c>
      <c r="M16" s="231">
        <f t="shared" si="0"/>
        <v>75</v>
      </c>
      <c r="N16" s="231" t="str">
        <f t="shared" si="1"/>
        <v>EBS;THD;DOC;T3;ETS;TCM</v>
      </c>
      <c r="O16" s="232" t="s">
        <v>318</v>
      </c>
      <c r="P16" s="396"/>
    </row>
    <row r="17" spans="2:16" ht="28.2" customHeight="1" x14ac:dyDescent="0.25">
      <c r="B17" s="223" t="s">
        <v>17</v>
      </c>
      <c r="C17" s="224" t="s">
        <v>319</v>
      </c>
      <c r="D17" s="224" t="s">
        <v>20</v>
      </c>
      <c r="E17" s="230">
        <v>30</v>
      </c>
      <c r="F17" s="224" t="s">
        <v>317</v>
      </c>
      <c r="G17" s="224" t="s">
        <v>22</v>
      </c>
      <c r="H17" s="428" t="s">
        <v>635</v>
      </c>
      <c r="I17" s="428" t="s">
        <v>636</v>
      </c>
      <c r="J17" s="429">
        <v>1325</v>
      </c>
      <c r="K17" s="231" t="s">
        <v>594</v>
      </c>
      <c r="L17" s="231" t="s">
        <v>174</v>
      </c>
      <c r="M17" s="231">
        <f t="shared" si="0"/>
        <v>75</v>
      </c>
      <c r="N17" s="231" t="str">
        <f t="shared" si="1"/>
        <v>EBS;THD;DOC;T3;ETS;TCM</v>
      </c>
      <c r="O17" s="232" t="s">
        <v>318</v>
      </c>
      <c r="P17" s="233"/>
    </row>
    <row r="18" spans="2:16" ht="28.2" customHeight="1" x14ac:dyDescent="0.25">
      <c r="B18" s="223" t="s">
        <v>17</v>
      </c>
      <c r="C18" s="224" t="s">
        <v>322</v>
      </c>
      <c r="D18" s="224" t="s">
        <v>20</v>
      </c>
      <c r="E18" s="230">
        <v>32</v>
      </c>
      <c r="F18" s="224" t="s">
        <v>317</v>
      </c>
      <c r="G18" s="224" t="s">
        <v>22</v>
      </c>
      <c r="H18" s="428" t="s">
        <v>516</v>
      </c>
      <c r="I18" s="428" t="s">
        <v>633</v>
      </c>
      <c r="J18" s="429">
        <v>1200</v>
      </c>
      <c r="K18" s="231" t="s">
        <v>594</v>
      </c>
      <c r="L18" s="231" t="s">
        <v>174</v>
      </c>
      <c r="M18" s="231">
        <f t="shared" si="0"/>
        <v>75</v>
      </c>
      <c r="N18" s="231" t="str">
        <f t="shared" si="1"/>
        <v>EBS;THD;DOC;T3;ETS;TCM</v>
      </c>
      <c r="O18" s="232" t="s">
        <v>318</v>
      </c>
      <c r="P18" s="233"/>
    </row>
    <row r="19" spans="2:16" ht="28.2" customHeight="1" x14ac:dyDescent="0.25">
      <c r="B19" s="223" t="s">
        <v>17</v>
      </c>
      <c r="C19" s="224" t="s">
        <v>323</v>
      </c>
      <c r="D19" s="224" t="s">
        <v>20</v>
      </c>
      <c r="E19" s="230">
        <v>28</v>
      </c>
      <c r="F19" s="224" t="s">
        <v>317</v>
      </c>
      <c r="G19" s="224" t="s">
        <v>22</v>
      </c>
      <c r="H19" s="428" t="s">
        <v>186</v>
      </c>
      <c r="I19" s="428" t="s">
        <v>633</v>
      </c>
      <c r="J19" s="429">
        <v>1150</v>
      </c>
      <c r="K19" s="231" t="s">
        <v>594</v>
      </c>
      <c r="L19" s="231" t="s">
        <v>174</v>
      </c>
      <c r="M19" s="231">
        <f t="shared" si="0"/>
        <v>75</v>
      </c>
      <c r="N19" s="231" t="str">
        <f t="shared" si="1"/>
        <v>EBS;THD;DOC;T3;ETS;TCM</v>
      </c>
      <c r="O19" s="232" t="s">
        <v>318</v>
      </c>
      <c r="P19" s="233"/>
    </row>
    <row r="20" spans="2:16" ht="28.2" customHeight="1" x14ac:dyDescent="0.25">
      <c r="B20" s="223" t="s">
        <v>17</v>
      </c>
      <c r="C20" s="224" t="s">
        <v>324</v>
      </c>
      <c r="D20" s="224" t="s">
        <v>20</v>
      </c>
      <c r="E20" s="230">
        <v>41</v>
      </c>
      <c r="F20" s="224" t="s">
        <v>317</v>
      </c>
      <c r="G20" s="224" t="s">
        <v>22</v>
      </c>
      <c r="H20" s="428" t="s">
        <v>634</v>
      </c>
      <c r="I20" s="428" t="s">
        <v>633</v>
      </c>
      <c r="J20" s="429">
        <v>1350</v>
      </c>
      <c r="K20" s="231" t="s">
        <v>594</v>
      </c>
      <c r="L20" s="231" t="s">
        <v>174</v>
      </c>
      <c r="M20" s="231">
        <f t="shared" si="0"/>
        <v>75</v>
      </c>
      <c r="N20" s="231" t="str">
        <f t="shared" si="1"/>
        <v>EBS;THD;DOC;T3;ETS;TCM</v>
      </c>
      <c r="O20" s="232" t="s">
        <v>318</v>
      </c>
      <c r="P20" s="233"/>
    </row>
    <row r="21" spans="2:16" ht="28.2" customHeight="1" x14ac:dyDescent="0.25">
      <c r="B21" s="223" t="s">
        <v>209</v>
      </c>
      <c r="C21" s="224" t="s">
        <v>316</v>
      </c>
      <c r="D21" s="224" t="s">
        <v>20</v>
      </c>
      <c r="E21" s="230">
        <v>18</v>
      </c>
      <c r="F21" s="224" t="s">
        <v>33</v>
      </c>
      <c r="G21" s="224" t="s">
        <v>22</v>
      </c>
      <c r="H21" s="428" t="s">
        <v>628</v>
      </c>
      <c r="I21" s="428" t="s">
        <v>629</v>
      </c>
      <c r="J21" s="429">
        <v>200</v>
      </c>
      <c r="K21" s="231" t="s">
        <v>594</v>
      </c>
      <c r="L21" s="231" t="s">
        <v>174</v>
      </c>
      <c r="M21" s="231">
        <f t="shared" si="0"/>
        <v>75</v>
      </c>
      <c r="N21" s="231" t="str">
        <f>$N$9</f>
        <v>EBS;RCT;THD;DOC;T3;ETS;TCM</v>
      </c>
      <c r="O21" s="232" t="s">
        <v>318</v>
      </c>
      <c r="P21" s="233"/>
    </row>
    <row r="22" spans="2:16" ht="28.2" customHeight="1" x14ac:dyDescent="0.25">
      <c r="B22" s="223" t="s">
        <v>209</v>
      </c>
      <c r="C22" s="224" t="s">
        <v>586</v>
      </c>
      <c r="D22" s="224" t="s">
        <v>20</v>
      </c>
      <c r="E22" s="230">
        <v>27</v>
      </c>
      <c r="F22" s="224" t="s">
        <v>33</v>
      </c>
      <c r="G22" s="224" t="s">
        <v>22</v>
      </c>
      <c r="H22" s="428" t="s">
        <v>325</v>
      </c>
      <c r="I22" s="428" t="s">
        <v>529</v>
      </c>
      <c r="J22" s="429">
        <v>350</v>
      </c>
      <c r="K22" s="231" t="s">
        <v>594</v>
      </c>
      <c r="L22" s="231" t="s">
        <v>174</v>
      </c>
      <c r="M22" s="231">
        <f t="shared" si="0"/>
        <v>75</v>
      </c>
      <c r="N22" s="231" t="str">
        <f t="shared" si="1"/>
        <v>EBS;THD;DOC;T3;ETS;TCM</v>
      </c>
      <c r="O22" s="232" t="s">
        <v>318</v>
      </c>
      <c r="P22" s="396"/>
    </row>
    <row r="23" spans="2:16" ht="28.2" customHeight="1" x14ac:dyDescent="0.25">
      <c r="B23" s="223" t="s">
        <v>209</v>
      </c>
      <c r="C23" s="224" t="s">
        <v>319</v>
      </c>
      <c r="D23" s="224" t="s">
        <v>20</v>
      </c>
      <c r="E23" s="230">
        <v>14</v>
      </c>
      <c r="F23" s="224" t="s">
        <v>33</v>
      </c>
      <c r="G23" s="224" t="s">
        <v>22</v>
      </c>
      <c r="H23" s="428" t="s">
        <v>529</v>
      </c>
      <c r="I23" s="428" t="s">
        <v>631</v>
      </c>
      <c r="J23" s="429">
        <v>375</v>
      </c>
      <c r="K23" s="231" t="s">
        <v>594</v>
      </c>
      <c r="L23" s="231" t="s">
        <v>174</v>
      </c>
      <c r="M23" s="231">
        <f t="shared" si="0"/>
        <v>75</v>
      </c>
      <c r="N23" s="231" t="str">
        <f t="shared" si="1"/>
        <v>EBS;THD;DOC;T3;ETS;TCM</v>
      </c>
      <c r="O23" s="232" t="s">
        <v>318</v>
      </c>
      <c r="P23" s="233"/>
    </row>
    <row r="24" spans="2:16" ht="28.2" customHeight="1" x14ac:dyDescent="0.25">
      <c r="B24" s="223" t="s">
        <v>209</v>
      </c>
      <c r="C24" s="224" t="s">
        <v>322</v>
      </c>
      <c r="D24" s="224" t="s">
        <v>20</v>
      </c>
      <c r="E24" s="230">
        <v>26</v>
      </c>
      <c r="F24" s="224" t="s">
        <v>33</v>
      </c>
      <c r="G24" s="224" t="s">
        <v>22</v>
      </c>
      <c r="H24" s="428" t="s">
        <v>325</v>
      </c>
      <c r="I24" s="428" t="s">
        <v>529</v>
      </c>
      <c r="J24" s="429">
        <v>350</v>
      </c>
      <c r="K24" s="231" t="s">
        <v>594</v>
      </c>
      <c r="L24" s="231" t="s">
        <v>174</v>
      </c>
      <c r="M24" s="231">
        <f t="shared" si="0"/>
        <v>75</v>
      </c>
      <c r="N24" s="231" t="str">
        <f t="shared" si="1"/>
        <v>EBS;THD;DOC;T3;ETS;TCM</v>
      </c>
      <c r="O24" s="232" t="s">
        <v>318</v>
      </c>
      <c r="P24" s="233"/>
    </row>
    <row r="25" spans="2:16" ht="28.2" customHeight="1" x14ac:dyDescent="0.25">
      <c r="B25" s="223" t="s">
        <v>209</v>
      </c>
      <c r="C25" s="224" t="s">
        <v>323</v>
      </c>
      <c r="D25" s="224" t="s">
        <v>20</v>
      </c>
      <c r="E25" s="230">
        <v>12</v>
      </c>
      <c r="F25" s="224" t="s">
        <v>33</v>
      </c>
      <c r="G25" s="224" t="s">
        <v>22</v>
      </c>
      <c r="H25" s="434" t="s">
        <v>632</v>
      </c>
      <c r="I25" s="434" t="s">
        <v>532</v>
      </c>
      <c r="J25" s="429">
        <v>275</v>
      </c>
      <c r="K25" s="288" t="s">
        <v>594</v>
      </c>
      <c r="L25" s="288" t="s">
        <v>174</v>
      </c>
      <c r="M25" s="288">
        <f t="shared" si="0"/>
        <v>75</v>
      </c>
      <c r="N25" s="288" t="str">
        <f t="shared" si="1"/>
        <v>EBS;THD;DOC;T3;ETS;TCM</v>
      </c>
      <c r="O25" s="289" t="s">
        <v>318</v>
      </c>
      <c r="P25" s="233"/>
    </row>
    <row r="26" spans="2:16" ht="28.2" customHeight="1" x14ac:dyDescent="0.25">
      <c r="B26" s="225" t="s">
        <v>209</v>
      </c>
      <c r="C26" s="226" t="s">
        <v>324</v>
      </c>
      <c r="D26" s="226" t="s">
        <v>20</v>
      </c>
      <c r="E26" s="234">
        <v>17</v>
      </c>
      <c r="F26" s="226" t="s">
        <v>33</v>
      </c>
      <c r="G26" s="286" t="s">
        <v>22</v>
      </c>
      <c r="H26" s="430" t="s">
        <v>630</v>
      </c>
      <c r="I26" s="430" t="s">
        <v>533</v>
      </c>
      <c r="J26" s="430" t="s">
        <v>532</v>
      </c>
      <c r="K26" s="235" t="s">
        <v>594</v>
      </c>
      <c r="L26" s="235" t="s">
        <v>174</v>
      </c>
      <c r="M26" s="235">
        <f t="shared" si="0"/>
        <v>75</v>
      </c>
      <c r="N26" s="235" t="str">
        <f t="shared" si="1"/>
        <v>EBS;THD;DOC;T3;ETS;TCM</v>
      </c>
      <c r="O26" s="236" t="s">
        <v>318</v>
      </c>
      <c r="P26" s="287"/>
    </row>
    <row r="27" spans="2:16" ht="27.75" customHeight="1" x14ac:dyDescent="0.25">
      <c r="B27" s="46"/>
      <c r="C27" s="46"/>
      <c r="D27" s="46"/>
      <c r="E27" s="46"/>
      <c r="F27" s="46"/>
      <c r="I27" s="46"/>
      <c r="J27" s="50"/>
      <c r="K27" s="50"/>
      <c r="L27" s="51"/>
      <c r="M27" s="109"/>
      <c r="N27" s="51"/>
      <c r="O27" s="51"/>
    </row>
    <row r="28" spans="2:16" ht="13.8" thickBot="1" x14ac:dyDescent="0.3">
      <c r="B28" s="46"/>
      <c r="C28" s="46"/>
      <c r="D28" s="46"/>
      <c r="E28" s="46"/>
      <c r="F28" s="46"/>
      <c r="G28" s="41"/>
      <c r="H28" s="41"/>
      <c r="I28" s="41"/>
      <c r="J28" s="112"/>
      <c r="K28" s="41"/>
      <c r="L28" s="31"/>
      <c r="M28" s="37"/>
      <c r="N28" s="31"/>
      <c r="O28" s="31"/>
      <c r="P28" s="31"/>
    </row>
    <row r="29" spans="2:16" ht="13.8" thickBot="1" x14ac:dyDescent="0.3">
      <c r="B29" s="445" t="s">
        <v>41</v>
      </c>
      <c r="C29" s="446"/>
      <c r="D29" s="446"/>
      <c r="E29" s="446"/>
      <c r="F29" s="446"/>
      <c r="G29" s="446"/>
      <c r="H29" s="446"/>
      <c r="I29" s="446"/>
      <c r="J29" s="446"/>
      <c r="K29" s="173"/>
      <c r="L29" s="453"/>
      <c r="M29" s="453"/>
      <c r="N29" s="453"/>
      <c r="O29" s="31"/>
      <c r="P29" s="31"/>
    </row>
    <row r="30" spans="2:16" x14ac:dyDescent="0.25">
      <c r="B30" s="4" t="s">
        <v>42</v>
      </c>
      <c r="C30" s="103"/>
      <c r="D30" s="104"/>
      <c r="E30" s="104"/>
      <c r="F30" s="104"/>
      <c r="G30" s="105"/>
      <c r="H30" s="5"/>
      <c r="I30" s="5"/>
      <c r="J30" s="31"/>
      <c r="K30" s="168"/>
      <c r="L30" s="453"/>
      <c r="M30" s="453"/>
      <c r="N30" s="453"/>
      <c r="O30" s="31"/>
      <c r="P30" s="31"/>
    </row>
    <row r="31" spans="2:16" x14ac:dyDescent="0.25">
      <c r="B31" s="141" t="s">
        <v>588</v>
      </c>
      <c r="C31" s="174"/>
      <c r="D31" s="175"/>
      <c r="E31" s="8"/>
      <c r="F31" s="8"/>
      <c r="G31" s="165"/>
      <c r="H31" s="165"/>
      <c r="I31" s="165"/>
      <c r="J31" s="31"/>
      <c r="K31" s="168"/>
      <c r="L31" s="453"/>
      <c r="M31" s="453"/>
      <c r="N31" s="453"/>
      <c r="O31" s="31"/>
      <c r="P31" s="31"/>
    </row>
    <row r="32" spans="2:16" x14ac:dyDescent="0.25">
      <c r="B32" s="141" t="s">
        <v>326</v>
      </c>
      <c r="C32" s="7"/>
      <c r="D32" s="8"/>
      <c r="E32" s="8"/>
      <c r="F32" s="8"/>
      <c r="G32" s="165"/>
      <c r="H32" s="165"/>
      <c r="I32" s="165"/>
      <c r="J32" s="31"/>
      <c r="K32" s="168"/>
      <c r="L32" s="453"/>
      <c r="M32" s="453"/>
      <c r="N32" s="453"/>
      <c r="O32" s="31"/>
      <c r="P32" s="31"/>
    </row>
    <row r="33" spans="2:16" x14ac:dyDescent="0.25">
      <c r="B33" s="141" t="s">
        <v>327</v>
      </c>
      <c r="C33" s="274"/>
      <c r="D33" s="275"/>
      <c r="E33" s="8"/>
      <c r="F33" s="8"/>
      <c r="G33" s="165"/>
      <c r="H33" s="165"/>
      <c r="I33" s="165"/>
      <c r="J33" s="31"/>
      <c r="K33" s="168"/>
      <c r="L33" s="453"/>
      <c r="M33" s="453"/>
      <c r="N33" s="453"/>
      <c r="O33" s="31"/>
      <c r="P33" s="31"/>
    </row>
    <row r="34" spans="2:16" customFormat="1" x14ac:dyDescent="0.25">
      <c r="B34" s="127" t="s">
        <v>582</v>
      </c>
      <c r="C34" s="89"/>
      <c r="D34" s="90"/>
      <c r="E34" s="138"/>
      <c r="F34" s="87"/>
      <c r="G34" s="21"/>
      <c r="H34" s="21"/>
      <c r="I34" s="21"/>
      <c r="J34" s="21"/>
      <c r="K34" s="169"/>
      <c r="L34" s="1"/>
    </row>
    <row r="35" spans="2:16" x14ac:dyDescent="0.25">
      <c r="B35" s="52" t="s">
        <v>44</v>
      </c>
      <c r="C35" s="7"/>
      <c r="D35" s="8"/>
      <c r="E35" s="8"/>
      <c r="F35" s="8"/>
      <c r="G35" s="165"/>
      <c r="H35" s="165"/>
      <c r="I35" s="165"/>
      <c r="J35" s="31"/>
      <c r="K35" s="170"/>
      <c r="L35" s="453"/>
      <c r="M35" s="453"/>
      <c r="N35" s="453"/>
      <c r="O35" s="31"/>
      <c r="P35" s="31"/>
    </row>
    <row r="36" spans="2:16" x14ac:dyDescent="0.25">
      <c r="B36" s="52" t="s">
        <v>528</v>
      </c>
      <c r="C36" s="7"/>
      <c r="D36" s="8"/>
      <c r="E36" s="8"/>
      <c r="F36" s="8"/>
      <c r="G36" s="165"/>
      <c r="H36" s="165"/>
      <c r="I36" s="165"/>
      <c r="J36" s="31"/>
      <c r="K36" s="170"/>
      <c r="L36" s="453"/>
      <c r="M36" s="453"/>
      <c r="N36" s="453"/>
      <c r="O36" s="31"/>
      <c r="P36" s="31"/>
    </row>
    <row r="37" spans="2:16" x14ac:dyDescent="0.25">
      <c r="B37" s="52" t="s">
        <v>328</v>
      </c>
      <c r="C37" s="7"/>
      <c r="D37" s="8"/>
      <c r="E37" s="8"/>
      <c r="F37" s="8"/>
      <c r="G37" s="165"/>
      <c r="H37" s="165"/>
      <c r="I37" s="165"/>
      <c r="J37" s="31"/>
      <c r="K37" s="170"/>
      <c r="L37" s="453"/>
      <c r="M37" s="453"/>
      <c r="N37" s="453"/>
      <c r="O37" s="31"/>
      <c r="P37" s="31"/>
    </row>
    <row r="38" spans="2:16" x14ac:dyDescent="0.25">
      <c r="B38" s="4" t="s">
        <v>329</v>
      </c>
      <c r="C38" s="10"/>
      <c r="D38" s="11"/>
      <c r="E38" s="11"/>
      <c r="F38" s="11"/>
      <c r="G38" s="149"/>
      <c r="H38" s="42"/>
      <c r="I38" s="5"/>
      <c r="J38" s="31"/>
      <c r="K38" s="114"/>
      <c r="L38" s="113"/>
      <c r="M38" s="37"/>
      <c r="N38" s="31"/>
      <c r="O38" s="31"/>
      <c r="P38" s="31"/>
    </row>
    <row r="39" spans="2:16" x14ac:dyDescent="0.25">
      <c r="B39" s="13" t="s">
        <v>330</v>
      </c>
      <c r="C39" s="153"/>
      <c r="D39" s="154"/>
      <c r="E39" s="154"/>
      <c r="F39" s="154"/>
      <c r="G39" s="155"/>
      <c r="H39" s="156"/>
      <c r="I39" s="43"/>
      <c r="J39" s="31"/>
      <c r="K39" s="114"/>
      <c r="L39" s="113"/>
      <c r="M39" s="120"/>
      <c r="N39" s="31"/>
      <c r="O39" s="31"/>
      <c r="P39" s="31"/>
    </row>
    <row r="40" spans="2:16" x14ac:dyDescent="0.25">
      <c r="B40" s="4" t="s">
        <v>331</v>
      </c>
      <c r="C40" s="10"/>
      <c r="D40" s="11"/>
      <c r="E40" s="11"/>
      <c r="F40" s="11"/>
      <c r="G40" s="149"/>
      <c r="H40" s="42"/>
      <c r="I40" s="5"/>
      <c r="J40" s="37"/>
      <c r="K40" s="114"/>
      <c r="L40" s="113"/>
      <c r="M40" s="37"/>
      <c r="N40" s="31"/>
      <c r="O40" s="31"/>
      <c r="P40" s="31"/>
    </row>
    <row r="41" spans="2:16" x14ac:dyDescent="0.25">
      <c r="B41" s="4" t="s">
        <v>332</v>
      </c>
      <c r="C41" s="10"/>
      <c r="D41" s="11"/>
      <c r="E41" s="11"/>
      <c r="F41" s="11"/>
      <c r="G41" s="149"/>
      <c r="H41" s="42"/>
      <c r="I41" s="5"/>
      <c r="J41" s="37"/>
      <c r="K41" s="114"/>
      <c r="L41" s="113"/>
      <c r="M41" s="37"/>
      <c r="N41" s="31"/>
      <c r="O41" s="31"/>
      <c r="P41" s="31"/>
    </row>
    <row r="42" spans="2:16" x14ac:dyDescent="0.25">
      <c r="B42" s="4" t="s">
        <v>333</v>
      </c>
      <c r="C42" s="10"/>
      <c r="D42" s="11"/>
      <c r="E42" s="11"/>
      <c r="F42" s="11"/>
      <c r="G42" s="149"/>
      <c r="H42" s="42"/>
      <c r="I42" s="5"/>
      <c r="J42" s="37"/>
      <c r="K42" s="114"/>
      <c r="L42" s="113"/>
      <c r="M42" s="37"/>
      <c r="N42" s="31"/>
      <c r="O42" s="31"/>
      <c r="P42" s="31"/>
    </row>
    <row r="43" spans="2:16" x14ac:dyDescent="0.25">
      <c r="B43" s="4" t="s">
        <v>589</v>
      </c>
      <c r="C43" s="10"/>
      <c r="D43" s="11"/>
      <c r="E43" s="11"/>
      <c r="F43" s="11"/>
      <c r="G43" s="149"/>
      <c r="H43" s="42"/>
      <c r="I43" s="5"/>
      <c r="J43" s="37"/>
      <c r="K43" s="114"/>
      <c r="L43" s="113"/>
      <c r="M43" s="37"/>
      <c r="N43" s="31"/>
      <c r="O43" s="31"/>
      <c r="P43" s="31"/>
    </row>
    <row r="44" spans="2:16" x14ac:dyDescent="0.25">
      <c r="B44" s="36" t="s">
        <v>590</v>
      </c>
      <c r="C44" s="153"/>
      <c r="D44" s="154"/>
      <c r="E44" s="154"/>
      <c r="F44" s="154"/>
      <c r="G44" s="155"/>
      <c r="H44" s="148"/>
      <c r="I44" s="148"/>
      <c r="J44" s="31"/>
      <c r="K44" s="114"/>
      <c r="L44" s="31"/>
      <c r="M44" s="37"/>
      <c r="N44" s="31"/>
      <c r="O44" s="31"/>
      <c r="P44" s="31"/>
    </row>
    <row r="45" spans="2:16" x14ac:dyDescent="0.25">
      <c r="B45" s="4" t="s">
        <v>591</v>
      </c>
      <c r="C45" s="153"/>
      <c r="D45" s="154"/>
      <c r="E45" s="154"/>
      <c r="F45" s="154"/>
      <c r="G45" s="155"/>
      <c r="H45" s="148"/>
      <c r="I45" s="148"/>
      <c r="J45" s="31"/>
      <c r="K45" s="114"/>
      <c r="L45" s="31"/>
      <c r="M45" s="37"/>
      <c r="N45" s="31"/>
      <c r="O45" s="31"/>
      <c r="P45" s="31"/>
    </row>
    <row r="46" spans="2:16" customFormat="1" x14ac:dyDescent="0.25">
      <c r="B46" s="127" t="s">
        <v>620</v>
      </c>
      <c r="C46" s="89"/>
      <c r="D46" s="89"/>
      <c r="E46" s="89"/>
      <c r="F46" s="89"/>
      <c r="G46" s="89"/>
      <c r="H46" s="297" t="s">
        <v>557</v>
      </c>
      <c r="I46" s="156"/>
      <c r="J46" s="179"/>
      <c r="K46" s="114"/>
      <c r="L46" s="31"/>
      <c r="M46" s="37"/>
    </row>
    <row r="47" spans="2:16" x14ac:dyDescent="0.25">
      <c r="B47" s="4"/>
      <c r="C47" s="153"/>
      <c r="D47" s="154"/>
      <c r="E47" s="154"/>
      <c r="F47" s="154"/>
      <c r="G47" s="155"/>
      <c r="H47" s="148"/>
      <c r="I47" s="148"/>
      <c r="J47" s="31"/>
      <c r="K47" s="114"/>
      <c r="L47" s="31"/>
      <c r="M47" s="37"/>
      <c r="N47" s="31"/>
      <c r="O47" s="31"/>
      <c r="P47" s="31"/>
    </row>
    <row r="48" spans="2:16" ht="13.8" x14ac:dyDescent="0.25">
      <c r="B48" s="171" t="s">
        <v>50</v>
      </c>
      <c r="C48" s="167"/>
      <c r="D48" s="15"/>
      <c r="E48" s="15"/>
      <c r="F48" s="15"/>
      <c r="G48" s="147"/>
      <c r="H48" s="148"/>
      <c r="I48" s="148"/>
      <c r="J48" s="31"/>
      <c r="K48" s="114"/>
      <c r="L48" s="31"/>
      <c r="M48" s="37"/>
      <c r="N48" s="31"/>
      <c r="O48" s="31"/>
      <c r="P48" s="31"/>
    </row>
    <row r="49" spans="2:16" ht="14.4" x14ac:dyDescent="0.3">
      <c r="B49" s="16" t="s">
        <v>51</v>
      </c>
      <c r="C49" s="166"/>
      <c r="D49" s="11"/>
      <c r="E49" s="11"/>
      <c r="F49" s="11"/>
      <c r="G49" s="149"/>
      <c r="H49" s="42"/>
      <c r="I49" s="42"/>
      <c r="J49" s="31"/>
      <c r="K49" s="114"/>
      <c r="L49" s="31"/>
      <c r="M49" s="37"/>
      <c r="N49" s="31"/>
      <c r="O49" s="31"/>
      <c r="P49" s="31"/>
    </row>
    <row r="50" spans="2:16" ht="15" thickBot="1" x14ac:dyDescent="0.35">
      <c r="B50" s="17" t="s">
        <v>52</v>
      </c>
      <c r="C50" s="115"/>
      <c r="D50" s="18"/>
      <c r="E50" s="18"/>
      <c r="F50" s="18"/>
      <c r="G50" s="45"/>
      <c r="H50" s="45"/>
      <c r="I50" s="45"/>
      <c r="J50" s="143"/>
      <c r="K50" s="172"/>
      <c r="L50" s="31"/>
      <c r="M50" s="37"/>
      <c r="N50" s="31"/>
      <c r="O50" s="31"/>
      <c r="P50" s="31"/>
    </row>
    <row r="51" spans="2:16" x14ac:dyDescent="0.25">
      <c r="G51" s="37"/>
      <c r="H51" s="37"/>
      <c r="I51" s="37"/>
      <c r="J51" s="31"/>
      <c r="K51" s="37"/>
      <c r="L51" s="31"/>
      <c r="M51" s="37"/>
      <c r="N51" s="31"/>
      <c r="O51" s="31"/>
      <c r="P51" s="31"/>
    </row>
  </sheetData>
  <autoFilter ref="A8:WWB26" xr:uid="{B3F47088-3153-412B-9E5B-2B00B909A583}"/>
  <mergeCells count="9">
    <mergeCell ref="L37:N37"/>
    <mergeCell ref="L36:N36"/>
    <mergeCell ref="L35:N35"/>
    <mergeCell ref="B29:J29"/>
    <mergeCell ref="L29:N29"/>
    <mergeCell ref="L30:N30"/>
    <mergeCell ref="L31:N31"/>
    <mergeCell ref="L32:N32"/>
    <mergeCell ref="L33:N33"/>
  </mergeCells>
  <conditionalFormatting sqref="B32">
    <cfRule type="duplicateValues" dxfId="12" priority="9" stopIfTrue="1"/>
  </conditionalFormatting>
  <conditionalFormatting sqref="B34">
    <cfRule type="duplicateValues" dxfId="11" priority="5" stopIfTrue="1"/>
  </conditionalFormatting>
  <conditionalFormatting sqref="B39">
    <cfRule type="duplicateValues" dxfId="10" priority="11" stopIfTrue="1"/>
  </conditionalFormatting>
  <conditionalFormatting sqref="B40">
    <cfRule type="duplicateValues" dxfId="9" priority="10" stopIfTrue="1"/>
  </conditionalFormatting>
  <conditionalFormatting sqref="B41:B43">
    <cfRule type="duplicateValues" dxfId="8" priority="7" stopIfTrue="1"/>
  </conditionalFormatting>
  <conditionalFormatting sqref="B44">
    <cfRule type="duplicateValues" dxfId="7" priority="8" stopIfTrue="1"/>
  </conditionalFormatting>
  <conditionalFormatting sqref="B45">
    <cfRule type="duplicateValues" dxfId="6" priority="4" stopIfTrue="1"/>
  </conditionalFormatting>
  <conditionalFormatting sqref="B46">
    <cfRule type="duplicateValues" dxfId="5" priority="2" stopIfTrue="1"/>
  </conditionalFormatting>
  <conditionalFormatting sqref="B47">
    <cfRule type="duplicateValues" dxfId="4" priority="3" stopIfTrue="1"/>
  </conditionalFormatting>
  <conditionalFormatting sqref="B48:B50 B29:B31 B33 B35:B38">
    <cfRule type="duplicateValues" dxfId="3" priority="12" stopIfTrue="1"/>
  </conditionalFormatting>
  <conditionalFormatting sqref="C34">
    <cfRule type="duplicateValues" dxfId="2" priority="6"/>
  </conditionalFormatting>
  <conditionalFormatting sqref="C46:G46">
    <cfRule type="duplicateValues" dxfId="1" priority="1"/>
  </conditionalFormatting>
  <conditionalFormatting sqref="D27:E27">
    <cfRule type="duplicateValues" dxfId="0" priority="13" stopIfTrue="1"/>
  </conditionalFormatting>
  <hyperlinks>
    <hyperlink ref="B49" r:id="rId1" xr:uid="{9D0A8DE8-4A7C-4F0C-A596-D1AB4378D3C9}"/>
    <hyperlink ref="B50" r:id="rId2" xr:uid="{662C1FF1-590B-4BA4-9C42-B0239FA18232}"/>
    <hyperlink ref="H46" r:id="rId3" display="https://moc.oocl.com/wls_prs_rp/public/ruleTariff/OOLL-100/T-53/display/20260323" xr:uid="{34A831A3-51EB-4E2A-99A3-0125AB576C57}"/>
  </hyperlinks>
  <pageMargins left="0.75" right="0.75" top="1" bottom="1" header="0.5" footer="0.5"/>
  <pageSetup paperSize="9" orientation="portrait" r:id="rId4"/>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D4FB7-DA91-4C76-9687-B84BA27A9813}">
  <sheetPr>
    <pageSetUpPr fitToPage="1"/>
  </sheetPr>
  <dimension ref="A1:H110"/>
  <sheetViews>
    <sheetView topLeftCell="A13" zoomScaleNormal="100" workbookViewId="0">
      <selection activeCell="D4" sqref="D4:E4"/>
    </sheetView>
  </sheetViews>
  <sheetFormatPr baseColWidth="10" defaultColWidth="9.109375" defaultRowHeight="14.4" x14ac:dyDescent="0.3"/>
  <cols>
    <col min="1" max="1" width="45.88671875" style="340" customWidth="1"/>
    <col min="2" max="2" width="19.88671875" style="340" customWidth="1"/>
    <col min="3" max="3" width="12" style="363" customWidth="1"/>
    <col min="4" max="4" width="11.44140625" style="340" customWidth="1"/>
    <col min="5" max="5" width="16.88671875" style="340" customWidth="1"/>
    <col min="6" max="6" width="28" style="340" customWidth="1"/>
    <col min="7" max="7" width="13.44140625" style="340" customWidth="1"/>
    <col min="8" max="16384" width="9.109375" style="340"/>
  </cols>
  <sheetData>
    <row r="1" spans="1:6" ht="15" thickBot="1" x14ac:dyDescent="0.35">
      <c r="A1" s="339" t="s">
        <v>335</v>
      </c>
      <c r="B1" s="457" t="s">
        <v>336</v>
      </c>
      <c r="C1" s="458"/>
      <c r="D1" s="458"/>
      <c r="E1" s="459"/>
    </row>
    <row r="2" spans="1:6" ht="15" thickBot="1" x14ac:dyDescent="0.35">
      <c r="A2" s="339" t="s">
        <v>337</v>
      </c>
      <c r="B2" s="457" t="s">
        <v>338</v>
      </c>
      <c r="C2" s="459"/>
      <c r="D2" s="457" t="s">
        <v>339</v>
      </c>
      <c r="E2" s="459"/>
    </row>
    <row r="3" spans="1:6" ht="15" thickBot="1" x14ac:dyDescent="0.35">
      <c r="B3" s="341" t="s">
        <v>340</v>
      </c>
      <c r="C3" s="341" t="s">
        <v>341</v>
      </c>
      <c r="D3" s="341" t="s">
        <v>342</v>
      </c>
      <c r="E3" s="341" t="s">
        <v>343</v>
      </c>
    </row>
    <row r="4" spans="1:6" ht="43.2" x14ac:dyDescent="0.3">
      <c r="A4" s="342" t="s">
        <v>344</v>
      </c>
      <c r="B4" s="460" t="s">
        <v>345</v>
      </c>
      <c r="C4" s="461"/>
      <c r="D4" s="461" t="s">
        <v>346</v>
      </c>
      <c r="E4" s="462"/>
      <c r="F4" s="343" t="s">
        <v>502</v>
      </c>
    </row>
    <row r="5" spans="1:6" x14ac:dyDescent="0.3">
      <c r="A5" s="344" t="s">
        <v>347</v>
      </c>
      <c r="B5" s="463" t="s">
        <v>348</v>
      </c>
      <c r="C5" s="464"/>
      <c r="D5" s="464"/>
      <c r="E5" s="465"/>
    </row>
    <row r="6" spans="1:6" x14ac:dyDescent="0.3">
      <c r="A6" s="344" t="s">
        <v>349</v>
      </c>
      <c r="B6" s="463" t="s">
        <v>350</v>
      </c>
      <c r="C6" s="464"/>
      <c r="D6" s="464"/>
      <c r="E6" s="465"/>
      <c r="F6" s="347" t="s">
        <v>351</v>
      </c>
    </row>
    <row r="7" spans="1:6" x14ac:dyDescent="0.3">
      <c r="A7" s="344" t="s">
        <v>352</v>
      </c>
      <c r="B7" s="454" t="s">
        <v>353</v>
      </c>
      <c r="C7" s="466"/>
      <c r="D7" s="466"/>
      <c r="E7" s="467"/>
    </row>
    <row r="8" spans="1:6" x14ac:dyDescent="0.3">
      <c r="A8" s="344" t="s">
        <v>354</v>
      </c>
      <c r="B8" s="349" t="s">
        <v>355</v>
      </c>
      <c r="C8" s="345" t="s">
        <v>356</v>
      </c>
      <c r="D8" s="345" t="s">
        <v>355</v>
      </c>
      <c r="E8" s="346" t="s">
        <v>356</v>
      </c>
    </row>
    <row r="9" spans="1:6" x14ac:dyDescent="0.3">
      <c r="A9" s="344" t="s">
        <v>357</v>
      </c>
      <c r="B9" s="349" t="s">
        <v>358</v>
      </c>
      <c r="C9" s="345" t="s">
        <v>359</v>
      </c>
      <c r="D9" s="350" t="s">
        <v>358</v>
      </c>
      <c r="E9" s="346" t="s">
        <v>359</v>
      </c>
    </row>
    <row r="10" spans="1:6" x14ac:dyDescent="0.3">
      <c r="A10" s="344" t="s">
        <v>360</v>
      </c>
      <c r="B10" s="349" t="s">
        <v>361</v>
      </c>
      <c r="C10" s="345" t="s">
        <v>362</v>
      </c>
      <c r="D10" s="350" t="s">
        <v>361</v>
      </c>
      <c r="E10" s="346" t="s">
        <v>362</v>
      </c>
    </row>
    <row r="11" spans="1:6" x14ac:dyDescent="0.3">
      <c r="A11" s="344" t="s">
        <v>363</v>
      </c>
      <c r="B11" s="349" t="s">
        <v>364</v>
      </c>
      <c r="C11" s="345" t="s">
        <v>365</v>
      </c>
      <c r="D11" s="350" t="s">
        <v>364</v>
      </c>
      <c r="E11" s="346" t="s">
        <v>365</v>
      </c>
    </row>
    <row r="12" spans="1:6" x14ac:dyDescent="0.3">
      <c r="A12" s="344" t="s">
        <v>366</v>
      </c>
      <c r="B12" s="349" t="s">
        <v>364</v>
      </c>
      <c r="C12" s="345" t="s">
        <v>365</v>
      </c>
      <c r="D12" s="350" t="s">
        <v>364</v>
      </c>
      <c r="E12" s="346" t="s">
        <v>365</v>
      </c>
    </row>
    <row r="13" spans="1:6" x14ac:dyDescent="0.3">
      <c r="A13" s="344" t="s">
        <v>367</v>
      </c>
      <c r="B13" s="463" t="s">
        <v>368</v>
      </c>
      <c r="C13" s="464"/>
      <c r="D13" s="464"/>
      <c r="E13" s="465"/>
    </row>
    <row r="14" spans="1:6" x14ac:dyDescent="0.3">
      <c r="A14" s="344" t="s">
        <v>369</v>
      </c>
      <c r="B14" s="463" t="s">
        <v>368</v>
      </c>
      <c r="C14" s="464"/>
      <c r="D14" s="464"/>
      <c r="E14" s="465"/>
    </row>
    <row r="15" spans="1:6" x14ac:dyDescent="0.3">
      <c r="A15" s="344" t="s">
        <v>370</v>
      </c>
      <c r="B15" s="454" t="s">
        <v>371</v>
      </c>
      <c r="C15" s="455"/>
      <c r="D15" s="455"/>
      <c r="E15" s="456"/>
    </row>
    <row r="16" spans="1:6" x14ac:dyDescent="0.3">
      <c r="A16" s="344" t="s">
        <v>372</v>
      </c>
      <c r="B16" s="454" t="s">
        <v>373</v>
      </c>
      <c r="C16" s="455"/>
      <c r="D16" s="455"/>
      <c r="E16" s="456"/>
    </row>
    <row r="17" spans="1:6" x14ac:dyDescent="0.3">
      <c r="A17" s="344" t="s">
        <v>374</v>
      </c>
      <c r="B17" s="463" t="s">
        <v>375</v>
      </c>
      <c r="C17" s="464"/>
      <c r="D17" s="464"/>
      <c r="E17" s="465"/>
    </row>
    <row r="18" spans="1:6" x14ac:dyDescent="0.3">
      <c r="A18" s="344" t="s">
        <v>376</v>
      </c>
      <c r="B18" s="463" t="s">
        <v>377</v>
      </c>
      <c r="C18" s="464"/>
      <c r="D18" s="464"/>
      <c r="E18" s="465"/>
    </row>
    <row r="19" spans="1:6" x14ac:dyDescent="0.3">
      <c r="A19" s="344" t="s">
        <v>378</v>
      </c>
      <c r="B19" s="463" t="s">
        <v>379</v>
      </c>
      <c r="C19" s="464"/>
      <c r="D19" s="464"/>
      <c r="E19" s="465"/>
    </row>
    <row r="20" spans="1:6" x14ac:dyDescent="0.3">
      <c r="A20" s="344" t="s">
        <v>380</v>
      </c>
      <c r="B20" s="463" t="s">
        <v>381</v>
      </c>
      <c r="C20" s="464"/>
      <c r="D20" s="464"/>
      <c r="E20" s="465"/>
    </row>
    <row r="21" spans="1:6" x14ac:dyDescent="0.3">
      <c r="A21" s="344" t="s">
        <v>382</v>
      </c>
      <c r="B21" s="463" t="s">
        <v>375</v>
      </c>
      <c r="C21" s="464"/>
      <c r="D21" s="464"/>
      <c r="E21" s="465"/>
    </row>
    <row r="22" spans="1:6" x14ac:dyDescent="0.3">
      <c r="A22" s="344" t="s">
        <v>383</v>
      </c>
      <c r="B22" s="463" t="s">
        <v>384</v>
      </c>
      <c r="C22" s="464"/>
      <c r="D22" s="464"/>
      <c r="E22" s="465"/>
    </row>
    <row r="23" spans="1:6" x14ac:dyDescent="0.3">
      <c r="A23" s="344" t="s">
        <v>385</v>
      </c>
      <c r="B23" s="463" t="s">
        <v>386</v>
      </c>
      <c r="C23" s="464"/>
      <c r="D23" s="464"/>
      <c r="E23" s="465"/>
    </row>
    <row r="24" spans="1:6" x14ac:dyDescent="0.3">
      <c r="A24" s="344" t="s">
        <v>387</v>
      </c>
      <c r="B24" s="463" t="s">
        <v>388</v>
      </c>
      <c r="C24" s="464"/>
      <c r="D24" s="464"/>
      <c r="E24" s="465"/>
      <c r="F24" s="340" t="s">
        <v>389</v>
      </c>
    </row>
    <row r="25" spans="1:6" x14ac:dyDescent="0.3">
      <c r="A25" s="344" t="s">
        <v>390</v>
      </c>
      <c r="B25" s="463" t="s">
        <v>391</v>
      </c>
      <c r="C25" s="464"/>
      <c r="D25" s="464"/>
      <c r="E25" s="465"/>
    </row>
    <row r="26" spans="1:6" ht="53.4" x14ac:dyDescent="0.3">
      <c r="A26" s="353" t="s">
        <v>392</v>
      </c>
      <c r="B26" s="468" t="s">
        <v>393</v>
      </c>
      <c r="C26" s="469"/>
      <c r="D26" s="469"/>
      <c r="E26" s="470"/>
      <c r="F26" s="354" t="s">
        <v>394</v>
      </c>
    </row>
    <row r="27" spans="1:6" x14ac:dyDescent="0.3">
      <c r="A27" s="344" t="s">
        <v>395</v>
      </c>
      <c r="B27" s="463" t="s">
        <v>396</v>
      </c>
      <c r="C27" s="464"/>
      <c r="D27" s="464"/>
      <c r="E27" s="465"/>
    </row>
    <row r="28" spans="1:6" x14ac:dyDescent="0.3">
      <c r="A28" s="344" t="s">
        <v>397</v>
      </c>
      <c r="B28" s="463" t="s">
        <v>396</v>
      </c>
      <c r="C28" s="464"/>
      <c r="D28" s="464"/>
      <c r="E28" s="465"/>
    </row>
    <row r="29" spans="1:6" x14ac:dyDescent="0.3">
      <c r="A29" s="344" t="s">
        <v>398</v>
      </c>
      <c r="B29" s="474">
        <v>0.01</v>
      </c>
      <c r="C29" s="475"/>
      <c r="D29" s="475"/>
      <c r="E29" s="476"/>
    </row>
    <row r="30" spans="1:6" x14ac:dyDescent="0.3">
      <c r="A30" s="344" t="s">
        <v>399</v>
      </c>
      <c r="B30" s="454" t="s">
        <v>400</v>
      </c>
      <c r="C30" s="455"/>
      <c r="D30" s="455"/>
      <c r="E30" s="456"/>
    </row>
    <row r="31" spans="1:6" x14ac:dyDescent="0.3">
      <c r="A31" s="344" t="s">
        <v>401</v>
      </c>
      <c r="B31" s="454" t="s">
        <v>402</v>
      </c>
      <c r="C31" s="455"/>
      <c r="D31" s="455"/>
      <c r="E31" s="456"/>
    </row>
    <row r="32" spans="1:6" x14ac:dyDescent="0.3">
      <c r="A32" s="344" t="s">
        <v>403</v>
      </c>
      <c r="B32" s="454" t="s">
        <v>404</v>
      </c>
      <c r="C32" s="455"/>
      <c r="D32" s="455"/>
      <c r="E32" s="456"/>
    </row>
    <row r="33" spans="1:6" x14ac:dyDescent="0.3">
      <c r="A33" s="344" t="s">
        <v>405</v>
      </c>
      <c r="B33" s="454" t="s">
        <v>404</v>
      </c>
      <c r="C33" s="455"/>
      <c r="D33" s="455"/>
      <c r="E33" s="456"/>
    </row>
    <row r="34" spans="1:6" x14ac:dyDescent="0.3">
      <c r="A34" s="344" t="s">
        <v>406</v>
      </c>
      <c r="B34" s="454" t="s">
        <v>400</v>
      </c>
      <c r="C34" s="455"/>
      <c r="D34" s="455"/>
      <c r="E34" s="456"/>
    </row>
    <row r="35" spans="1:6" x14ac:dyDescent="0.3">
      <c r="A35" s="344" t="s">
        <v>407</v>
      </c>
      <c r="B35" s="454" t="s">
        <v>408</v>
      </c>
      <c r="C35" s="455"/>
      <c r="D35" s="455"/>
      <c r="E35" s="456"/>
    </row>
    <row r="36" spans="1:6" x14ac:dyDescent="0.3">
      <c r="A36" s="344" t="s">
        <v>409</v>
      </c>
      <c r="B36" s="471" t="s">
        <v>410</v>
      </c>
      <c r="C36" s="472"/>
      <c r="D36" s="472" t="s">
        <v>411</v>
      </c>
      <c r="E36" s="473"/>
    </row>
    <row r="37" spans="1:6" x14ac:dyDescent="0.3">
      <c r="A37" s="344" t="s">
        <v>412</v>
      </c>
      <c r="B37" s="471" t="s">
        <v>413</v>
      </c>
      <c r="C37" s="472"/>
      <c r="D37" s="472" t="s">
        <v>411</v>
      </c>
      <c r="E37" s="473"/>
    </row>
    <row r="38" spans="1:6" x14ac:dyDescent="0.3">
      <c r="A38" s="344" t="s">
        <v>414</v>
      </c>
      <c r="B38" s="471" t="s">
        <v>415</v>
      </c>
      <c r="C38" s="472"/>
      <c r="D38" s="472" t="s">
        <v>411</v>
      </c>
      <c r="E38" s="473"/>
    </row>
    <row r="39" spans="1:6" x14ac:dyDescent="0.3">
      <c r="A39" s="344" t="s">
        <v>416</v>
      </c>
      <c r="B39" s="471" t="s">
        <v>417</v>
      </c>
      <c r="C39" s="472"/>
      <c r="D39" s="472" t="s">
        <v>418</v>
      </c>
      <c r="E39" s="473"/>
    </row>
    <row r="40" spans="1:6" x14ac:dyDescent="0.3">
      <c r="A40" s="344" t="s">
        <v>419</v>
      </c>
      <c r="B40" s="471" t="s">
        <v>413</v>
      </c>
      <c r="C40" s="472"/>
      <c r="D40" s="472" t="s">
        <v>411</v>
      </c>
      <c r="E40" s="473"/>
    </row>
    <row r="41" spans="1:6" x14ac:dyDescent="0.3">
      <c r="A41" s="344" t="s">
        <v>420</v>
      </c>
      <c r="B41" s="454" t="s">
        <v>421</v>
      </c>
      <c r="C41" s="455"/>
      <c r="D41" s="455"/>
      <c r="E41" s="456"/>
    </row>
    <row r="42" spans="1:6" x14ac:dyDescent="0.3">
      <c r="A42" s="344" t="s">
        <v>422</v>
      </c>
      <c r="B42" s="454" t="s">
        <v>423</v>
      </c>
      <c r="C42" s="455"/>
      <c r="D42" s="455"/>
      <c r="E42" s="456"/>
    </row>
    <row r="43" spans="1:6" x14ac:dyDescent="0.3">
      <c r="A43" s="344" t="s">
        <v>424</v>
      </c>
      <c r="B43" s="454" t="s">
        <v>425</v>
      </c>
      <c r="C43" s="455"/>
      <c r="D43" s="455"/>
      <c r="E43" s="456"/>
    </row>
    <row r="44" spans="1:6" x14ac:dyDescent="0.3">
      <c r="A44" s="344" t="s">
        <v>426</v>
      </c>
      <c r="B44" s="454" t="s">
        <v>427</v>
      </c>
      <c r="C44" s="455"/>
      <c r="D44" s="455"/>
      <c r="E44" s="456"/>
    </row>
    <row r="45" spans="1:6" ht="15" customHeight="1" x14ac:dyDescent="0.3">
      <c r="A45" s="344" t="s">
        <v>428</v>
      </c>
      <c r="B45" s="355"/>
      <c r="C45" s="351"/>
      <c r="D45" s="477" t="s">
        <v>429</v>
      </c>
      <c r="E45" s="456"/>
    </row>
    <row r="46" spans="1:6" ht="15" customHeight="1" x14ac:dyDescent="0.3">
      <c r="A46" s="344" t="s">
        <v>503</v>
      </c>
      <c r="B46" s="355"/>
      <c r="C46" s="351"/>
      <c r="D46" s="477" t="s">
        <v>430</v>
      </c>
      <c r="E46" s="456"/>
    </row>
    <row r="47" spans="1:6" ht="45.75" customHeight="1" x14ac:dyDescent="0.3">
      <c r="A47" s="356" t="s">
        <v>504</v>
      </c>
      <c r="B47" s="355"/>
      <c r="C47" s="351"/>
      <c r="D47" s="478" t="s">
        <v>552</v>
      </c>
      <c r="E47" s="479"/>
      <c r="F47" s="357" t="s">
        <v>553</v>
      </c>
    </row>
    <row r="48" spans="1:6" x14ac:dyDescent="0.3">
      <c r="A48" s="344" t="s">
        <v>431</v>
      </c>
      <c r="B48" s="454" t="s">
        <v>432</v>
      </c>
      <c r="C48" s="455"/>
      <c r="D48" s="455"/>
      <c r="E48" s="456"/>
    </row>
    <row r="49" spans="1:8" x14ac:dyDescent="0.3">
      <c r="A49" s="344" t="s">
        <v>433</v>
      </c>
      <c r="B49" s="348"/>
      <c r="C49" s="351" t="s">
        <v>434</v>
      </c>
      <c r="D49" s="351"/>
      <c r="E49" s="352"/>
    </row>
    <row r="50" spans="1:8" x14ac:dyDescent="0.3">
      <c r="A50" s="344" t="s">
        <v>435</v>
      </c>
      <c r="B50" s="454" t="s">
        <v>421</v>
      </c>
      <c r="C50" s="455"/>
      <c r="D50" s="455"/>
      <c r="E50" s="456"/>
    </row>
    <row r="51" spans="1:8" x14ac:dyDescent="0.3">
      <c r="A51" s="344" t="s">
        <v>436</v>
      </c>
      <c r="B51" s="454" t="s">
        <v>437</v>
      </c>
      <c r="C51" s="455"/>
      <c r="D51" s="455"/>
      <c r="E51" s="456"/>
    </row>
    <row r="52" spans="1:8" ht="15.75" customHeight="1" x14ac:dyDescent="0.3">
      <c r="A52" s="344" t="s">
        <v>438</v>
      </c>
      <c r="B52" s="454" t="s">
        <v>439</v>
      </c>
      <c r="C52" s="455"/>
      <c r="D52" s="455"/>
      <c r="E52" s="456"/>
    </row>
    <row r="53" spans="1:8" ht="15.75" customHeight="1" x14ac:dyDescent="0.3">
      <c r="A53" s="344" t="s">
        <v>440</v>
      </c>
      <c r="B53" s="454" t="s">
        <v>441</v>
      </c>
      <c r="C53" s="455"/>
      <c r="D53" s="455"/>
      <c r="E53" s="456"/>
    </row>
    <row r="54" spans="1:8" ht="15.75" customHeight="1" x14ac:dyDescent="0.3">
      <c r="A54" s="344" t="s">
        <v>442</v>
      </c>
      <c r="B54" s="454" t="s">
        <v>441</v>
      </c>
      <c r="C54" s="455"/>
      <c r="D54" s="455"/>
      <c r="E54" s="456"/>
    </row>
    <row r="55" spans="1:8" ht="15.75" customHeight="1" x14ac:dyDescent="0.3">
      <c r="A55" s="344" t="s">
        <v>443</v>
      </c>
      <c r="B55" s="454" t="s">
        <v>444</v>
      </c>
      <c r="C55" s="455"/>
      <c r="D55" s="455"/>
      <c r="E55" s="456"/>
    </row>
    <row r="56" spans="1:8" ht="15.75" customHeight="1" x14ac:dyDescent="0.3">
      <c r="A56" s="344" t="s">
        <v>445</v>
      </c>
      <c r="B56" s="454" t="s">
        <v>441</v>
      </c>
      <c r="C56" s="455"/>
      <c r="D56" s="455"/>
      <c r="E56" s="456"/>
    </row>
    <row r="57" spans="1:8" ht="15.75" customHeight="1" x14ac:dyDescent="0.3">
      <c r="A57" s="344" t="s">
        <v>446</v>
      </c>
      <c r="B57" s="454" t="s">
        <v>439</v>
      </c>
      <c r="C57" s="455"/>
      <c r="D57" s="455"/>
      <c r="E57" s="456"/>
    </row>
    <row r="58" spans="1:8" ht="15.75" customHeight="1" thickBot="1" x14ac:dyDescent="0.35">
      <c r="A58" s="358" t="s">
        <v>447</v>
      </c>
      <c r="B58" s="481" t="s">
        <v>448</v>
      </c>
      <c r="C58" s="482"/>
      <c r="D58" s="482"/>
      <c r="E58" s="483"/>
    </row>
    <row r="60" spans="1:8" ht="15.6" x14ac:dyDescent="0.3">
      <c r="A60" s="359" t="s">
        <v>505</v>
      </c>
      <c r="B60" s="360"/>
      <c r="C60" s="361"/>
      <c r="D60" s="360" t="s">
        <v>449</v>
      </c>
      <c r="H60" s="340" t="s">
        <v>271</v>
      </c>
    </row>
    <row r="61" spans="1:8" ht="15.6" x14ac:dyDescent="0.3">
      <c r="A61" s="359" t="s">
        <v>450</v>
      </c>
      <c r="B61" s="360"/>
      <c r="C61" s="361"/>
      <c r="D61" s="360" t="s">
        <v>451</v>
      </c>
    </row>
    <row r="62" spans="1:8" x14ac:dyDescent="0.3">
      <c r="A62" s="362"/>
    </row>
    <row r="63" spans="1:8" x14ac:dyDescent="0.3">
      <c r="A63" s="340" t="s">
        <v>452</v>
      </c>
      <c r="B63" s="340" t="s">
        <v>453</v>
      </c>
    </row>
    <row r="64" spans="1:8" ht="48" customHeight="1" x14ac:dyDescent="0.3">
      <c r="A64" s="364" t="s">
        <v>454</v>
      </c>
      <c r="B64" s="484" t="s">
        <v>455</v>
      </c>
      <c r="C64" s="484"/>
      <c r="D64" s="484"/>
      <c r="E64" s="484"/>
    </row>
    <row r="65" spans="1:8" ht="48" customHeight="1" x14ac:dyDescent="0.3">
      <c r="A65" s="364" t="s">
        <v>456</v>
      </c>
      <c r="B65" s="484" t="s">
        <v>457</v>
      </c>
      <c r="C65" s="484"/>
      <c r="D65" s="484"/>
      <c r="E65" s="484"/>
    </row>
    <row r="66" spans="1:8" ht="48" customHeight="1" x14ac:dyDescent="0.3">
      <c r="A66" s="365" t="s">
        <v>458</v>
      </c>
      <c r="B66" s="480" t="s">
        <v>459</v>
      </c>
      <c r="C66" s="480"/>
      <c r="D66" s="480"/>
      <c r="E66" s="480"/>
    </row>
    <row r="69" spans="1:8" ht="18" x14ac:dyDescent="0.35">
      <c r="A69" s="366" t="s">
        <v>556</v>
      </c>
      <c r="B69" s="366"/>
      <c r="C69" s="367"/>
      <c r="D69" s="366"/>
      <c r="E69" s="368"/>
      <c r="F69" s="369"/>
      <c r="G69" s="369"/>
    </row>
    <row r="70" spans="1:8" ht="15" thickBot="1" x14ac:dyDescent="0.35">
      <c r="A70" s="370"/>
    </row>
    <row r="71" spans="1:8" ht="15" thickBot="1" x14ac:dyDescent="0.35">
      <c r="A71" s="488" t="s">
        <v>460</v>
      </c>
      <c r="B71" s="489"/>
      <c r="C71" s="489"/>
      <c r="D71" s="489"/>
      <c r="E71" s="489"/>
      <c r="F71" s="489"/>
      <c r="G71" s="489"/>
      <c r="H71" s="490"/>
    </row>
    <row r="72" spans="1:8" ht="15" thickBot="1" x14ac:dyDescent="0.35">
      <c r="A72" s="371" t="s">
        <v>461</v>
      </c>
      <c r="B72" s="372" t="s">
        <v>462</v>
      </c>
      <c r="C72" s="373" t="s">
        <v>463</v>
      </c>
      <c r="D72" s="373" t="s">
        <v>464</v>
      </c>
      <c r="E72" s="373" t="s">
        <v>465</v>
      </c>
      <c r="F72" s="373" t="s">
        <v>466</v>
      </c>
      <c r="G72" s="373" t="s">
        <v>467</v>
      </c>
      <c r="H72" s="373" t="s">
        <v>223</v>
      </c>
    </row>
    <row r="73" spans="1:8" ht="15" thickBot="1" x14ac:dyDescent="0.35">
      <c r="A73" s="374" t="s">
        <v>468</v>
      </c>
      <c r="B73" s="375" t="s">
        <v>469</v>
      </c>
      <c r="C73" s="376" t="s">
        <v>470</v>
      </c>
      <c r="D73" s="376" t="s">
        <v>471</v>
      </c>
      <c r="E73" s="376">
        <v>30</v>
      </c>
      <c r="F73" s="376">
        <v>42</v>
      </c>
      <c r="G73" s="376">
        <v>42</v>
      </c>
      <c r="H73" s="376" t="s">
        <v>22</v>
      </c>
    </row>
    <row r="74" spans="1:8" ht="15" thickBot="1" x14ac:dyDescent="0.35">
      <c r="A74" s="374" t="s">
        <v>554</v>
      </c>
      <c r="B74" s="375" t="s">
        <v>469</v>
      </c>
      <c r="C74" s="376"/>
      <c r="D74" s="376" t="s">
        <v>472</v>
      </c>
      <c r="E74" s="376">
        <v>52</v>
      </c>
      <c r="F74" s="376">
        <v>85</v>
      </c>
      <c r="G74" s="376">
        <v>85</v>
      </c>
      <c r="H74" s="376" t="s">
        <v>22</v>
      </c>
    </row>
    <row r="75" spans="1:8" ht="15" thickBot="1" x14ac:dyDescent="0.35">
      <c r="A75" s="374" t="s">
        <v>468</v>
      </c>
      <c r="B75" s="375" t="s">
        <v>473</v>
      </c>
      <c r="C75" s="376" t="s">
        <v>470</v>
      </c>
      <c r="D75" s="376" t="s">
        <v>474</v>
      </c>
      <c r="E75" s="376">
        <v>45</v>
      </c>
      <c r="F75" s="376">
        <v>60</v>
      </c>
      <c r="G75" s="376">
        <v>60</v>
      </c>
      <c r="H75" s="376" t="s">
        <v>22</v>
      </c>
    </row>
    <row r="76" spans="1:8" ht="15" thickBot="1" x14ac:dyDescent="0.35">
      <c r="A76" s="374" t="s">
        <v>468</v>
      </c>
      <c r="B76" s="375" t="s">
        <v>473</v>
      </c>
      <c r="C76" s="376"/>
      <c r="D76" s="376" t="s">
        <v>472</v>
      </c>
      <c r="E76" s="376">
        <v>55</v>
      </c>
      <c r="F76" s="376">
        <v>85</v>
      </c>
      <c r="G76" s="376">
        <v>85</v>
      </c>
      <c r="H76" s="376" t="s">
        <v>22</v>
      </c>
    </row>
    <row r="77" spans="1:8" ht="15" thickBot="1" x14ac:dyDescent="0.35">
      <c r="A77" s="374" t="s">
        <v>468</v>
      </c>
      <c r="B77" s="375" t="s">
        <v>475</v>
      </c>
      <c r="C77" s="376" t="s">
        <v>476</v>
      </c>
      <c r="D77" s="376" t="s">
        <v>477</v>
      </c>
      <c r="E77" s="376">
        <v>35</v>
      </c>
      <c r="F77" s="376" t="s">
        <v>478</v>
      </c>
      <c r="G77" s="376">
        <v>55</v>
      </c>
      <c r="H77" s="376" t="s">
        <v>22</v>
      </c>
    </row>
    <row r="78" spans="1:8" ht="15" thickBot="1" x14ac:dyDescent="0.35">
      <c r="A78" s="374" t="s">
        <v>468</v>
      </c>
      <c r="B78" s="375" t="s">
        <v>475</v>
      </c>
      <c r="C78" s="376"/>
      <c r="D78" s="376" t="s">
        <v>479</v>
      </c>
      <c r="E78" s="376">
        <v>65</v>
      </c>
      <c r="F78" s="376" t="s">
        <v>478</v>
      </c>
      <c r="G78" s="376">
        <v>75</v>
      </c>
      <c r="H78" s="376" t="s">
        <v>22</v>
      </c>
    </row>
    <row r="79" spans="1:8" ht="15" thickBot="1" x14ac:dyDescent="0.35">
      <c r="A79" s="374" t="s">
        <v>468</v>
      </c>
      <c r="B79" s="375" t="s">
        <v>475</v>
      </c>
      <c r="C79" s="376"/>
      <c r="D79" s="376" t="s">
        <v>472</v>
      </c>
      <c r="E79" s="376">
        <v>95</v>
      </c>
      <c r="F79" s="376" t="s">
        <v>478</v>
      </c>
      <c r="G79" s="376">
        <v>105</v>
      </c>
      <c r="H79" s="376" t="s">
        <v>22</v>
      </c>
    </row>
    <row r="80" spans="1:8" ht="15" thickBot="1" x14ac:dyDescent="0.35">
      <c r="A80" s="374" t="s">
        <v>468</v>
      </c>
      <c r="B80" s="375" t="s">
        <v>480</v>
      </c>
      <c r="C80" s="376" t="s">
        <v>470</v>
      </c>
      <c r="D80" s="376" t="s">
        <v>477</v>
      </c>
      <c r="E80" s="376">
        <v>35</v>
      </c>
      <c r="F80" s="376" t="s">
        <v>478</v>
      </c>
      <c r="G80" s="376">
        <v>55</v>
      </c>
      <c r="H80" s="376" t="s">
        <v>22</v>
      </c>
    </row>
    <row r="81" spans="1:8" ht="15" thickBot="1" x14ac:dyDescent="0.35">
      <c r="A81" s="374" t="s">
        <v>468</v>
      </c>
      <c r="B81" s="375" t="s">
        <v>480</v>
      </c>
      <c r="C81" s="376"/>
      <c r="D81" s="376" t="s">
        <v>479</v>
      </c>
      <c r="E81" s="376">
        <v>65</v>
      </c>
      <c r="F81" s="376">
        <v>75</v>
      </c>
      <c r="G81" s="376">
        <v>70</v>
      </c>
      <c r="H81" s="376" t="s">
        <v>22</v>
      </c>
    </row>
    <row r="82" spans="1:8" ht="15" thickBot="1" x14ac:dyDescent="0.35">
      <c r="A82" s="374" t="s">
        <v>468</v>
      </c>
      <c r="B82" s="375" t="s">
        <v>480</v>
      </c>
      <c r="C82" s="376"/>
      <c r="D82" s="376" t="s">
        <v>472</v>
      </c>
      <c r="E82" s="376">
        <v>95</v>
      </c>
      <c r="F82" s="376" t="s">
        <v>478</v>
      </c>
      <c r="G82" s="376">
        <v>105</v>
      </c>
      <c r="H82" s="376" t="s">
        <v>22</v>
      </c>
    </row>
    <row r="84" spans="1:8" x14ac:dyDescent="0.3">
      <c r="A84" s="340" t="s">
        <v>481</v>
      </c>
    </row>
    <row r="86" spans="1:8" ht="15" thickBot="1" x14ac:dyDescent="0.35">
      <c r="A86" s="488" t="s">
        <v>482</v>
      </c>
      <c r="B86" s="489"/>
      <c r="C86" s="489"/>
      <c r="D86" s="489"/>
      <c r="E86" s="489"/>
      <c r="F86" s="489"/>
      <c r="G86" s="489"/>
      <c r="H86" s="490"/>
    </row>
    <row r="87" spans="1:8" ht="15" thickBot="1" x14ac:dyDescent="0.35">
      <c r="A87" s="371" t="s">
        <v>461</v>
      </c>
      <c r="B87" s="372" t="s">
        <v>462</v>
      </c>
      <c r="C87" s="373" t="s">
        <v>463</v>
      </c>
      <c r="D87" s="373" t="s">
        <v>464</v>
      </c>
      <c r="E87" s="373" t="s">
        <v>465</v>
      </c>
      <c r="F87" s="373" t="s">
        <v>466</v>
      </c>
      <c r="G87" s="373" t="s">
        <v>467</v>
      </c>
      <c r="H87" s="373" t="s">
        <v>223</v>
      </c>
    </row>
    <row r="88" spans="1:8" ht="15" thickBot="1" x14ac:dyDescent="0.35">
      <c r="A88" s="374" t="s">
        <v>483</v>
      </c>
      <c r="B88" s="375" t="s">
        <v>475</v>
      </c>
      <c r="C88" s="376" t="s">
        <v>484</v>
      </c>
      <c r="D88" s="376" t="s">
        <v>472</v>
      </c>
      <c r="E88" s="376">
        <v>60</v>
      </c>
      <c r="F88" s="376" t="s">
        <v>478</v>
      </c>
      <c r="G88" s="376">
        <v>60</v>
      </c>
      <c r="H88" s="376" t="s">
        <v>22</v>
      </c>
    </row>
    <row r="89" spans="1:8" ht="15" thickBot="1" x14ac:dyDescent="0.35">
      <c r="A89" s="374" t="s">
        <v>485</v>
      </c>
      <c r="B89" s="375" t="s">
        <v>475</v>
      </c>
      <c r="C89" s="376" t="s">
        <v>486</v>
      </c>
      <c r="D89" s="376" t="s">
        <v>472</v>
      </c>
      <c r="E89" s="376">
        <v>60</v>
      </c>
      <c r="F89" s="376" t="s">
        <v>478</v>
      </c>
      <c r="G89" s="376">
        <v>60</v>
      </c>
      <c r="H89" s="376" t="s">
        <v>22</v>
      </c>
    </row>
    <row r="90" spans="1:8" x14ac:dyDescent="0.3">
      <c r="A90" s="377"/>
      <c r="B90" s="377"/>
      <c r="C90" s="378"/>
      <c r="D90" s="378"/>
      <c r="E90" s="378"/>
      <c r="F90" s="378"/>
      <c r="G90" s="378"/>
      <c r="H90" s="378"/>
    </row>
    <row r="91" spans="1:8" ht="15" thickBot="1" x14ac:dyDescent="0.35">
      <c r="A91" s="362"/>
    </row>
    <row r="92" spans="1:8" ht="15" thickBot="1" x14ac:dyDescent="0.35">
      <c r="A92" s="491" t="s">
        <v>487</v>
      </c>
      <c r="B92" s="492"/>
      <c r="C92" s="492"/>
      <c r="D92" s="492"/>
      <c r="E92" s="492"/>
      <c r="F92" s="492"/>
      <c r="G92" s="492"/>
      <c r="H92" s="493"/>
    </row>
    <row r="93" spans="1:8" ht="15" thickBot="1" x14ac:dyDescent="0.35">
      <c r="A93" s="371" t="s">
        <v>488</v>
      </c>
      <c r="B93" s="372" t="s">
        <v>462</v>
      </c>
      <c r="C93" s="373" t="s">
        <v>463</v>
      </c>
      <c r="D93" s="373" t="s">
        <v>464</v>
      </c>
      <c r="E93" s="373" t="s">
        <v>465</v>
      </c>
      <c r="F93" s="373" t="s">
        <v>466</v>
      </c>
      <c r="G93" s="373" t="s">
        <v>467</v>
      </c>
      <c r="H93" s="373" t="s">
        <v>223</v>
      </c>
    </row>
    <row r="94" spans="1:8" ht="19.2" customHeight="1" thickBot="1" x14ac:dyDescent="0.35">
      <c r="A94" s="485" t="s">
        <v>489</v>
      </c>
      <c r="B94" s="376" t="s">
        <v>490</v>
      </c>
      <c r="C94" s="376" t="s">
        <v>491</v>
      </c>
      <c r="D94" s="376" t="s">
        <v>471</v>
      </c>
      <c r="E94" s="376">
        <v>3</v>
      </c>
      <c r="F94" s="376">
        <v>5</v>
      </c>
      <c r="G94" s="376">
        <v>5</v>
      </c>
      <c r="H94" s="376" t="s">
        <v>22</v>
      </c>
    </row>
    <row r="95" spans="1:8" ht="19.2" customHeight="1" thickBot="1" x14ac:dyDescent="0.35">
      <c r="A95" s="487"/>
      <c r="B95" s="376" t="s">
        <v>490</v>
      </c>
      <c r="C95" s="376"/>
      <c r="D95" s="376" t="s">
        <v>472</v>
      </c>
      <c r="E95" s="376">
        <v>5</v>
      </c>
      <c r="F95" s="376">
        <v>9</v>
      </c>
      <c r="G95" s="376">
        <v>9</v>
      </c>
      <c r="H95" s="376" t="s">
        <v>22</v>
      </c>
    </row>
    <row r="96" spans="1:8" ht="19.2" customHeight="1" thickBot="1" x14ac:dyDescent="0.35">
      <c r="A96" s="485" t="s">
        <v>165</v>
      </c>
      <c r="B96" s="376" t="s">
        <v>490</v>
      </c>
      <c r="C96" s="376" t="s">
        <v>492</v>
      </c>
      <c r="D96" s="376" t="s">
        <v>474</v>
      </c>
      <c r="E96" s="376">
        <v>5</v>
      </c>
      <c r="F96" s="376">
        <v>10</v>
      </c>
      <c r="G96" s="376">
        <v>10</v>
      </c>
      <c r="H96" s="376" t="s">
        <v>22</v>
      </c>
    </row>
    <row r="97" spans="1:8" ht="19.2" customHeight="1" thickBot="1" x14ac:dyDescent="0.35">
      <c r="A97" s="486"/>
      <c r="B97" s="376" t="s">
        <v>490</v>
      </c>
      <c r="C97" s="376"/>
      <c r="D97" s="376" t="s">
        <v>472</v>
      </c>
      <c r="E97" s="376">
        <v>40</v>
      </c>
      <c r="F97" s="376">
        <v>80</v>
      </c>
      <c r="G97" s="376">
        <v>80</v>
      </c>
      <c r="H97" s="376" t="s">
        <v>22</v>
      </c>
    </row>
    <row r="98" spans="1:8" ht="19.2" customHeight="1" thickBot="1" x14ac:dyDescent="0.35">
      <c r="A98" s="374" t="s">
        <v>493</v>
      </c>
      <c r="B98" s="376" t="s">
        <v>490</v>
      </c>
      <c r="C98" s="376" t="s">
        <v>484</v>
      </c>
      <c r="D98" s="376" t="s">
        <v>472</v>
      </c>
      <c r="E98" s="376">
        <v>2</v>
      </c>
      <c r="F98" s="376">
        <v>4</v>
      </c>
      <c r="G98" s="376">
        <v>4</v>
      </c>
      <c r="H98" s="376" t="s">
        <v>22</v>
      </c>
    </row>
    <row r="99" spans="1:8" ht="19.2" customHeight="1" thickBot="1" x14ac:dyDescent="0.35">
      <c r="A99" s="485" t="s">
        <v>166</v>
      </c>
      <c r="B99" s="376" t="s">
        <v>490</v>
      </c>
      <c r="C99" s="376" t="s">
        <v>484</v>
      </c>
      <c r="D99" s="376" t="s">
        <v>494</v>
      </c>
      <c r="E99" s="376">
        <v>2</v>
      </c>
      <c r="F99" s="376">
        <v>4</v>
      </c>
      <c r="G99" s="376">
        <v>4</v>
      </c>
      <c r="H99" s="376" t="s">
        <v>22</v>
      </c>
    </row>
    <row r="100" spans="1:8" ht="19.2" customHeight="1" thickBot="1" x14ac:dyDescent="0.35">
      <c r="A100" s="486"/>
      <c r="B100" s="376" t="s">
        <v>490</v>
      </c>
      <c r="C100" s="376"/>
      <c r="D100" s="376" t="s">
        <v>495</v>
      </c>
      <c r="E100" s="376">
        <v>4</v>
      </c>
      <c r="F100" s="376">
        <v>8</v>
      </c>
      <c r="G100" s="376">
        <v>8</v>
      </c>
      <c r="H100" s="376" t="s">
        <v>22</v>
      </c>
    </row>
    <row r="101" spans="1:8" ht="19.2" customHeight="1" thickBot="1" x14ac:dyDescent="0.35">
      <c r="A101" s="486"/>
      <c r="B101" s="376" t="s">
        <v>490</v>
      </c>
      <c r="C101" s="376"/>
      <c r="D101" s="376" t="s">
        <v>496</v>
      </c>
      <c r="E101" s="376">
        <v>10</v>
      </c>
      <c r="F101" s="376">
        <v>20</v>
      </c>
      <c r="G101" s="376">
        <v>20</v>
      </c>
      <c r="H101" s="376" t="s">
        <v>22</v>
      </c>
    </row>
    <row r="102" spans="1:8" ht="15" thickBot="1" x14ac:dyDescent="0.35">
      <c r="A102" s="487"/>
      <c r="B102" s="376" t="s">
        <v>490</v>
      </c>
      <c r="C102" s="376"/>
      <c r="D102" s="376" t="s">
        <v>472</v>
      </c>
      <c r="E102" s="376">
        <v>30</v>
      </c>
      <c r="F102" s="376">
        <v>60</v>
      </c>
      <c r="G102" s="376">
        <v>60</v>
      </c>
      <c r="H102" s="376" t="s">
        <v>22</v>
      </c>
    </row>
    <row r="103" spans="1:8" ht="15" thickBot="1" x14ac:dyDescent="0.35">
      <c r="A103" s="485" t="s">
        <v>497</v>
      </c>
      <c r="B103" s="376" t="s">
        <v>490</v>
      </c>
      <c r="C103" s="376" t="s">
        <v>498</v>
      </c>
      <c r="D103" s="376" t="s">
        <v>499</v>
      </c>
      <c r="E103" s="376">
        <v>1</v>
      </c>
      <c r="F103" s="376">
        <v>2</v>
      </c>
      <c r="G103" s="376">
        <v>2</v>
      </c>
      <c r="H103" s="376" t="s">
        <v>22</v>
      </c>
    </row>
    <row r="104" spans="1:8" ht="15" thickBot="1" x14ac:dyDescent="0.35">
      <c r="A104" s="486"/>
      <c r="B104" s="376" t="s">
        <v>490</v>
      </c>
      <c r="C104" s="376"/>
      <c r="D104" s="376" t="s">
        <v>500</v>
      </c>
      <c r="E104" s="376">
        <v>2</v>
      </c>
      <c r="F104" s="376">
        <v>4</v>
      </c>
      <c r="G104" s="376">
        <v>4</v>
      </c>
      <c r="H104" s="376" t="s">
        <v>22</v>
      </c>
    </row>
    <row r="105" spans="1:8" ht="15" thickBot="1" x14ac:dyDescent="0.35">
      <c r="A105" s="487"/>
      <c r="B105" s="376" t="s">
        <v>490</v>
      </c>
      <c r="C105" s="376"/>
      <c r="D105" s="376" t="s">
        <v>472</v>
      </c>
      <c r="E105" s="376">
        <v>4</v>
      </c>
      <c r="F105" s="376">
        <v>8</v>
      </c>
      <c r="G105" s="376">
        <v>8</v>
      </c>
      <c r="H105" s="376" t="s">
        <v>22</v>
      </c>
    </row>
    <row r="106" spans="1:8" ht="15" thickBot="1" x14ac:dyDescent="0.35">
      <c r="A106" s="485" t="s">
        <v>64</v>
      </c>
      <c r="B106" s="376" t="s">
        <v>490</v>
      </c>
      <c r="C106" s="376" t="s">
        <v>498</v>
      </c>
      <c r="D106" s="376" t="s">
        <v>474</v>
      </c>
      <c r="E106" s="376">
        <v>2</v>
      </c>
      <c r="F106" s="376">
        <v>4</v>
      </c>
      <c r="G106" s="376">
        <v>4</v>
      </c>
      <c r="H106" s="376" t="s">
        <v>22</v>
      </c>
    </row>
    <row r="107" spans="1:8" ht="15" thickBot="1" x14ac:dyDescent="0.35">
      <c r="A107" s="486"/>
      <c r="B107" s="376" t="s">
        <v>490</v>
      </c>
      <c r="C107" s="376"/>
      <c r="D107" s="376" t="s">
        <v>501</v>
      </c>
      <c r="E107" s="376">
        <v>3</v>
      </c>
      <c r="F107" s="376">
        <v>6</v>
      </c>
      <c r="G107" s="376">
        <v>6</v>
      </c>
      <c r="H107" s="376" t="s">
        <v>22</v>
      </c>
    </row>
    <row r="108" spans="1:8" ht="15" thickBot="1" x14ac:dyDescent="0.35">
      <c r="A108" s="487"/>
      <c r="B108" s="376" t="s">
        <v>490</v>
      </c>
      <c r="C108" s="376"/>
      <c r="D108" s="376" t="s">
        <v>472</v>
      </c>
      <c r="E108" s="376">
        <v>4</v>
      </c>
      <c r="F108" s="376">
        <v>8</v>
      </c>
      <c r="G108" s="376">
        <v>8</v>
      </c>
      <c r="H108" s="376" t="s">
        <v>22</v>
      </c>
    </row>
    <row r="110" spans="1:8" ht="15.6" x14ac:dyDescent="0.3">
      <c r="A110" s="362" t="s">
        <v>555</v>
      </c>
    </row>
  </sheetData>
  <autoFilter ref="A3:H3" xr:uid="{00000000-0001-0000-0000-000000000000}"/>
  <mergeCells count="69">
    <mergeCell ref="A103:A105"/>
    <mergeCell ref="A106:A108"/>
    <mergeCell ref="A71:H71"/>
    <mergeCell ref="A86:H86"/>
    <mergeCell ref="A92:H92"/>
    <mergeCell ref="A94:A95"/>
    <mergeCell ref="A96:A97"/>
    <mergeCell ref="A99:A102"/>
    <mergeCell ref="B66:E66"/>
    <mergeCell ref="B50:E50"/>
    <mergeCell ref="B51:E51"/>
    <mergeCell ref="B52:E52"/>
    <mergeCell ref="B53:E53"/>
    <mergeCell ref="B54:E54"/>
    <mergeCell ref="B55:E55"/>
    <mergeCell ref="B56:E56"/>
    <mergeCell ref="B57:E57"/>
    <mergeCell ref="B58:E58"/>
    <mergeCell ref="B64:E64"/>
    <mergeCell ref="B65:E65"/>
    <mergeCell ref="B48:E48"/>
    <mergeCell ref="B39:C39"/>
    <mergeCell ref="D39:E39"/>
    <mergeCell ref="B40:C40"/>
    <mergeCell ref="D40:E40"/>
    <mergeCell ref="B41:E41"/>
    <mergeCell ref="B42:E42"/>
    <mergeCell ref="B43:E43"/>
    <mergeCell ref="B44:E44"/>
    <mergeCell ref="D45:E45"/>
    <mergeCell ref="D46:E46"/>
    <mergeCell ref="D47:E47"/>
    <mergeCell ref="B38:C38"/>
    <mergeCell ref="D38:E38"/>
    <mergeCell ref="B29:E29"/>
    <mergeCell ref="B30:E30"/>
    <mergeCell ref="B31:E31"/>
    <mergeCell ref="B32:E32"/>
    <mergeCell ref="B33:E33"/>
    <mergeCell ref="B34:E34"/>
    <mergeCell ref="B35:E35"/>
    <mergeCell ref="B36:C36"/>
    <mergeCell ref="D36:E36"/>
    <mergeCell ref="B37:C37"/>
    <mergeCell ref="D37:E37"/>
    <mergeCell ref="B28:E28"/>
    <mergeCell ref="B17:E17"/>
    <mergeCell ref="B18:E18"/>
    <mergeCell ref="B19:E19"/>
    <mergeCell ref="B20:E20"/>
    <mergeCell ref="B21:E21"/>
    <mergeCell ref="B22:E22"/>
    <mergeCell ref="B23:E23"/>
    <mergeCell ref="B24:E24"/>
    <mergeCell ref="B25:E25"/>
    <mergeCell ref="B26:E26"/>
    <mergeCell ref="B27:E27"/>
    <mergeCell ref="B16:E16"/>
    <mergeCell ref="B1:E1"/>
    <mergeCell ref="B2:C2"/>
    <mergeCell ref="D2:E2"/>
    <mergeCell ref="B4:C4"/>
    <mergeCell ref="D4:E4"/>
    <mergeCell ref="B5:E5"/>
    <mergeCell ref="B6:E6"/>
    <mergeCell ref="B7:E7"/>
    <mergeCell ref="B13:E13"/>
    <mergeCell ref="B14:E14"/>
    <mergeCell ref="B15:E15"/>
  </mergeCells>
  <pageMargins left="0.7" right="0.7" top="0.33" bottom="0.33" header="0.17" footer="0.23"/>
  <pageSetup scale="64"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16bb373-2a7c-430a-9b2c-36f7ecbc8a4a">
      <Terms xmlns="http://schemas.microsoft.com/office/infopath/2007/PartnerControls"/>
    </lcf76f155ced4ddcb4097134ff3c332f>
    <TaxCatchAll xmlns="18178a93-e85f-4c05-b985-1c28ab8062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171131FED5B1D488505AF9E31A00D43" ma:contentTypeVersion="12" ma:contentTypeDescription="Create a new document." ma:contentTypeScope="" ma:versionID="0b07e8c2881c1a3fccb64cac4b17dc1d">
  <xsd:schema xmlns:xsd="http://www.w3.org/2001/XMLSchema" xmlns:xs="http://www.w3.org/2001/XMLSchema" xmlns:p="http://schemas.microsoft.com/office/2006/metadata/properties" xmlns:ns2="316bb373-2a7c-430a-9b2c-36f7ecbc8a4a" xmlns:ns3="18178a93-e85f-4c05-b985-1c28ab8062db" targetNamespace="http://schemas.microsoft.com/office/2006/metadata/properties" ma:root="true" ma:fieldsID="50b081322a5f867ea74f1daa88229a38" ns2:_="" ns3:_="">
    <xsd:import namespace="316bb373-2a7c-430a-9b2c-36f7ecbc8a4a"/>
    <xsd:import namespace="18178a93-e85f-4c05-b985-1c28ab8062d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bb373-2a7c-430a-9b2c-36f7ecbc8a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b982ee9-d9b6-425f-bda0-ae489312803f" ma:termSetId="09814cd3-568e-fe90-9814-8d621ff8fb84" ma:anchorId="fba54fb3-c3e1-fe81-a776-ca4b69148c4d" ma:open="true" ma:isKeyword="false">
      <xsd:complexType>
        <xsd:sequence>
          <xsd:element ref="pc:Terms" minOccurs="0" maxOccurs="1"/>
        </xsd:sequence>
      </xsd:complex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178a93-e85f-4c05-b985-1c28ab8062d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39a533f-058c-4421-915f-ebb3ba47f1b0}" ma:internalName="TaxCatchAll" ma:showField="CatchAllData" ma:web="18178a93-e85f-4c05-b985-1c28ab8062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46D80C-0A5A-4E49-9A5C-EC7B9CC1953D}">
  <ds:schemaRefs>
    <ds:schemaRef ds:uri="http://schemas.microsoft.com/office/2006/metadata/properties"/>
    <ds:schemaRef ds:uri="http://schemas.microsoft.com/office/infopath/2007/PartnerControls"/>
    <ds:schemaRef ds:uri="316bb373-2a7c-430a-9b2c-36f7ecbc8a4a"/>
    <ds:schemaRef ds:uri="18178a93-e85f-4c05-b985-1c28ab8062db"/>
  </ds:schemaRefs>
</ds:datastoreItem>
</file>

<file path=customXml/itemProps2.xml><?xml version="1.0" encoding="utf-8"?>
<ds:datastoreItem xmlns:ds="http://schemas.openxmlformats.org/officeDocument/2006/customXml" ds:itemID="{E666674A-7D20-4EEF-AE77-6348E424E9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bb373-2a7c-430a-9b2c-36f7ecbc8a4a"/>
    <ds:schemaRef ds:uri="18178a93-e85f-4c05-b985-1c28ab8062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471A07-17BB-4C3B-93B2-81DC9147D2A9}">
  <ds:schemaRefs>
    <ds:schemaRef ds:uri="http://schemas.microsoft.com/sharepoint/v3/contenttype/forms"/>
  </ds:schemaRefs>
</ds:datastoreItem>
</file>

<file path=docMetadata/LabelInfo.xml><?xml version="1.0" encoding="utf-8"?>
<clbl:labelList xmlns:clbl="http://schemas.microsoft.com/office/2020/mipLabelMetadata">
  <clbl:label id="{417a5ef8-8625-4b43-8979-e8fc3ba44a98}" enabled="1" method="Standard" siteId="{7851b4cc-2c5c-459f-96d9-16731d6b4ca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vt:i4>
      </vt:variant>
    </vt:vector>
  </HeadingPairs>
  <TitlesOfParts>
    <vt:vector size="11" baseType="lpstr">
      <vt:lpstr>BCN-VLC-ALG to W-E Africa</vt:lpstr>
      <vt:lpstr>ALG to FAR EAST</vt:lpstr>
      <vt:lpstr>BCN-VLC to FAR EAST</vt:lpstr>
      <vt:lpstr>USA</vt:lpstr>
      <vt:lpstr>BCN-VLC-ALG to INDIA-PAKISTAN</vt:lpstr>
      <vt:lpstr>SUDAMERICA</vt:lpstr>
      <vt:lpstr>GASTOS FOB 251120</vt:lpstr>
      <vt:lpstr>'GASTOS FOB 251120'!Área_de_impresión</vt:lpstr>
      <vt:lpstr>USA!Área_de_impresión</vt:lpstr>
      <vt:lpstr>'GASTOS FOB 251120'!OLE_LINK79</vt:lpstr>
      <vt:lpstr>'GASTOS FOB 251120'!OLE_LINK89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ALEJANDRO REINA (SAL-M&amp;S-OSPS/BCN)</dc:creator>
  <cp:keywords/>
  <dc:description/>
  <cp:lastModifiedBy>Gabriel Galán - Across Logistics - Valencia</cp:lastModifiedBy>
  <cp:revision/>
  <cp:lastPrinted>2025-10-22T14:27:26Z</cp:lastPrinted>
  <dcterms:created xsi:type="dcterms:W3CDTF">2016-08-30T09:28:09Z</dcterms:created>
  <dcterms:modified xsi:type="dcterms:W3CDTF">2026-03-30T09:36:44Z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0x0101000171131FED5B1D488505AF9E31A00D43</vt:lpwstr>
  </property>
  <property fmtid="{D5CDD505-2E9C-101B-9397-08002B2CF9AE}" pid="3" name="Order">
    <vt:r8>41400</vt:r8>
  </property>
  <property fmtid="{D5CDD505-2E9C-101B-9397-08002B2CF9AE}" pid="4" name="MSIP_Label_417a5ef8-8625-4b43-8979-e8fc3ba44a98_Enabled">
    <vt:lpwstr>true</vt:lpwstr>
  </property>
  <property fmtid="{D5CDD505-2E9C-101B-9397-08002B2CF9AE}" pid="5" name="MSIP_Label_417a5ef8-8625-4b43-8979-e8fc3ba44a98_SetDate">
    <vt:lpwstr>2023-05-22T08:15:46Z</vt:lpwstr>
  </property>
  <property fmtid="{D5CDD505-2E9C-101B-9397-08002B2CF9AE}" pid="6" name="MSIP_Label_417a5ef8-8625-4b43-8979-e8fc3ba44a98_Method">
    <vt:lpwstr>Standard</vt:lpwstr>
  </property>
  <property fmtid="{D5CDD505-2E9C-101B-9397-08002B2CF9AE}" pid="7" name="MSIP_Label_417a5ef8-8625-4b43-8979-e8fc3ba44a98_Name">
    <vt:lpwstr>Restricted</vt:lpwstr>
  </property>
  <property fmtid="{D5CDD505-2E9C-101B-9397-08002B2CF9AE}" pid="8" name="MSIP_Label_417a5ef8-8625-4b43-8979-e8fc3ba44a98_SiteId">
    <vt:lpwstr>7851b4cc-2c5c-459f-96d9-16731d6b4ca4</vt:lpwstr>
  </property>
  <property fmtid="{D5CDD505-2E9C-101B-9397-08002B2CF9AE}" pid="9" name="MSIP_Label_417a5ef8-8625-4b43-8979-e8fc3ba44a98_ActionId">
    <vt:lpwstr>9042edbf-6d36-4a5e-9da5-95ae8995e910</vt:lpwstr>
  </property>
  <property fmtid="{D5CDD505-2E9C-101B-9397-08002B2CF9AE}" pid="10" name="MSIP_Label_417a5ef8-8625-4b43-8979-e8fc3ba44a98_ContentBits">
    <vt:lpwstr>0</vt:lpwstr>
  </property>
  <property fmtid="{D5CDD505-2E9C-101B-9397-08002B2CF9AE}" pid="11" name="MediaServiceImageTags">
    <vt:lpwstr/>
  </property>
  <property fmtid="{D5CDD505-2E9C-101B-9397-08002B2CF9AE}" pid="12" name="ComplianceAssetId">
    <vt:lpwstr/>
  </property>
  <property fmtid="{D5CDD505-2E9C-101B-9397-08002B2CF9AE}" pid="13" name="_ExtendedDescription">
    <vt:lpwstr/>
  </property>
  <property fmtid="{D5CDD505-2E9C-101B-9397-08002B2CF9AE}" pid="14" name="TriggerFlowInfo">
    <vt:lpwstr/>
  </property>
</Properties>
</file>