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XE Global\CoCargoFive\New service\SAMPLE SHEET\SAMPLE SHEET\"/>
    </mc:Choice>
  </mc:AlternateContent>
  <xr:revisionPtr revIDLastSave="0" documentId="13_ncr:1_{BCB2250A-8E54-4C2F-9ACC-3C4DF29CC576}" xr6:coauthVersionLast="47" xr6:coauthVersionMax="47" xr10:uidLastSave="{00000000-0000-0000-0000-000000000000}"/>
  <bookViews>
    <workbookView xWindow="-108" yWindow="-108" windowWidth="23256" windowHeight="12456" xr2:uid="{3EE50902-1585-4211-8B78-9EF5AED162BD}"/>
  </bookViews>
  <sheets>
    <sheet name="Far East " sheetId="15" r:id="rId1"/>
  </sheets>
  <externalReferences>
    <externalReference r:id="rId2"/>
  </externalReferences>
  <definedNames>
    <definedName name="\R">#REF!</definedName>
    <definedName name="\S">#REF!</definedName>
    <definedName name="\Z">#REF!</definedName>
    <definedName name="__123Graph_A" hidden="1">#REF!</definedName>
    <definedName name="__123Graph_B" hidden="1">#REF!</definedName>
    <definedName name="__123Graph_X" hidden="1">#REF!</definedName>
    <definedName name="_ENG1">#REF!</definedName>
    <definedName name="_EXE1">#REF!</definedName>
    <definedName name="_xlnm._FilterDatabase" localSheetId="0" hidden="1">'Far East '!$A$1:$P$1</definedName>
    <definedName name="_FIN1">#REF!</definedName>
    <definedName name="_HRA1">#REF!</definedName>
    <definedName name="_Key1">#REF!</definedName>
    <definedName name="_Key2">#REF!</definedName>
    <definedName name="_OPS1">#REF!</definedName>
    <definedName name="_OPS2">#REF!</definedName>
    <definedName name="_Order1" hidden="1">255</definedName>
    <definedName name="_Order2" hidden="1">255</definedName>
    <definedName name="_RATESHAM">#REF!</definedName>
    <definedName name="A_C4">#REF!</definedName>
    <definedName name="A_R2">#REF!</definedName>
    <definedName name="A_R4">#REF!</definedName>
    <definedName name="A_S2">#REF!</definedName>
    <definedName name="A_S4">#REF!</definedName>
    <definedName name="A_TTL_COSTS">#REF!</definedName>
    <definedName name="A_Z4">#REF!</definedName>
    <definedName name="AA_DBN">#REF!</definedName>
    <definedName name="AAAAA">#REF!</definedName>
    <definedName name="ABC">#REF!</definedName>
    <definedName name="AdditionalsNACEngelhard">#REF!</definedName>
    <definedName name="ADER2">#REF!</definedName>
    <definedName name="ADES2">#REF!</definedName>
    <definedName name="ADES4">#REF!</definedName>
    <definedName name="ADEZ4">#REF!</definedName>
    <definedName name="AEE">#REF!</definedName>
    <definedName name="AEEChargeCode">#REF!</definedName>
    <definedName name="AEEChargeGroup">#REF!</definedName>
    <definedName name="AEEDry">#REF!</definedName>
    <definedName name="AEEDryARB">#REF!</definedName>
    <definedName name="AEEDryChargeAmount">#REF!</definedName>
    <definedName name="AEEDryTHLAmount">#REF!</definedName>
    <definedName name="AEEFlatRack">#REF!</definedName>
    <definedName name="AEEFlatRackARB">#REF!</definedName>
    <definedName name="AEEGlossary">#REF!</definedName>
    <definedName name="AEEOpenTop">#REF!</definedName>
    <definedName name="AEEOpenTopARB">#REF!</definedName>
    <definedName name="AEEReefer">#REF!</definedName>
    <definedName name="AEEReeferARB">#REF!</definedName>
    <definedName name="AEEReeferAsDry">#REF!</definedName>
    <definedName name="AEEReeferAsDryARB">#REF!</definedName>
    <definedName name="AEEReeferChargeAmount">#REF!</definedName>
    <definedName name="AEEReeferTHLAmount">#REF!</definedName>
    <definedName name="AEEVoid">#REF!</definedName>
    <definedName name="AEWChargeCode">#REF!</definedName>
    <definedName name="AEWChargeGroup">#REF!</definedName>
    <definedName name="AEWFlatRack">#REF!</definedName>
    <definedName name="AEWFlatRack_FV">#REF!</definedName>
    <definedName name="AEWFlatRack_FVARB">#REF!</definedName>
    <definedName name="AEWFlatRack_OH">#REF!</definedName>
    <definedName name="AEWFlatRack_OHARB">#REF!</definedName>
    <definedName name="AEWFlatRack_OW">#REF!</definedName>
    <definedName name="AEWFlatRack_OWARB">#REF!</definedName>
    <definedName name="AEWFlatRackARB">#REF!</definedName>
    <definedName name="AEWOpenTop">#REF!</definedName>
    <definedName name="AEWOpenTop_OH">#REF!</definedName>
    <definedName name="AEWOpenTop_OHARB">#REF!</definedName>
    <definedName name="AEWOpenTopARB">#REF!</definedName>
    <definedName name="all_data">#REF!</definedName>
    <definedName name="all_data_country">#REF!</definedName>
    <definedName name="AMEChargeCode">#REF!</definedName>
    <definedName name="AMEChargeGroup">#REF!</definedName>
    <definedName name="AMEDry">#REF!</definedName>
    <definedName name="AMEDryARB">#REF!</definedName>
    <definedName name="AMEDryChargeAmount">#REF!</definedName>
    <definedName name="AMEDryTHLAmount">#REF!</definedName>
    <definedName name="AMEFlatRack">#REF!</definedName>
    <definedName name="AMEFlatRackARB">#REF!</definedName>
    <definedName name="AMEGlossary">#REF!</definedName>
    <definedName name="AMEOpenTop">#REF!</definedName>
    <definedName name="AMEOpenTopARB">#REF!</definedName>
    <definedName name="AMEReefer">#REF!</definedName>
    <definedName name="AMEReeferARB">#REF!</definedName>
    <definedName name="AMEReeferAsDry">#REF!</definedName>
    <definedName name="AMEReeferAsDryARB">#REF!</definedName>
    <definedName name="AMEReeferChargeAmount">#REF!</definedName>
    <definedName name="AMEReeferTHLAmount">#REF!</definedName>
    <definedName name="AMEVoid">#REF!</definedName>
    <definedName name="AMWChargeCode">#REF!</definedName>
    <definedName name="AMWChargeGroup">#REF!</definedName>
    <definedName name="AMWDry">#REF!</definedName>
    <definedName name="AMWDryARB">#REF!</definedName>
    <definedName name="AMWFlatRack">#REF!</definedName>
    <definedName name="AMWFlatRack_FV">#REF!</definedName>
    <definedName name="AMWFlatRack_FVARB">#REF!</definedName>
    <definedName name="AMWFlatRack_OH">#REF!</definedName>
    <definedName name="AMWFlatRack_OHARB">#REF!</definedName>
    <definedName name="AMWFlatRack_OW">#REF!</definedName>
    <definedName name="AMWFlatRack_OWARB">#REF!</definedName>
    <definedName name="AMWFlatRackARB">#REF!</definedName>
    <definedName name="AMWOpenTop">#REF!</definedName>
    <definedName name="AMWOpenTop_OH">#REF!</definedName>
    <definedName name="AMWOpenTop_OHARB">#REF!</definedName>
    <definedName name="AMWOpenTopARB">#REF!</definedName>
    <definedName name="AMWReefer">#REF!</definedName>
    <definedName name="AMWReeferARB">#REF!</definedName>
    <definedName name="AMWReeferAsDry">#REF!</definedName>
    <definedName name="AMWReeferAsDryARB">#REF!</definedName>
    <definedName name="ASDF">#REF!</definedName>
    <definedName name="B_C4">#REF!</definedName>
    <definedName name="B_R2">#REF!</definedName>
    <definedName name="B_R4">#REF!</definedName>
    <definedName name="B_S2">#REF!</definedName>
    <definedName name="B_S4">#REF!</definedName>
    <definedName name="B_Z4">#REF!</definedName>
    <definedName name="BANR2">#REF!</definedName>
    <definedName name="BANS2">#REF!</definedName>
    <definedName name="BANS4">#REF!</definedName>
    <definedName name="BANZ4">#REF!</definedName>
    <definedName name="BaseRateBases">#REF!</definedName>
    <definedName name="blantyre">#REF!</definedName>
    <definedName name="BRIR2">#REF!</definedName>
    <definedName name="BRIS2">#REF!</definedName>
    <definedName name="BRIS4">#REF!</definedName>
    <definedName name="BRIZ4">#REF!</definedName>
    <definedName name="BURR2">#REF!</definedName>
    <definedName name="BURS2">#REF!</definedName>
    <definedName name="BURS4">#REF!</definedName>
    <definedName name="BURZ4">#REF!</definedName>
    <definedName name="C_C4">#REF!</definedName>
    <definedName name="C_R2">#REF!</definedName>
    <definedName name="C_R4">#REF!</definedName>
    <definedName name="C_S2">#REF!</definedName>
    <definedName name="C_S4">#REF!</definedName>
    <definedName name="C_Z4">#REF!</definedName>
    <definedName name="Canals">#REF!</definedName>
    <definedName name="CNTR_C4">#REF!</definedName>
    <definedName name="cntr_del_s2">#REF!</definedName>
    <definedName name="cntr_del_s4">#REF!</definedName>
    <definedName name="CNTR_R2">#REF!</definedName>
    <definedName name="CNTR_R4">#REF!</definedName>
    <definedName name="CNTR_S2">#REF!</definedName>
    <definedName name="cntr_s4">#REF!</definedName>
    <definedName name="CNTR_Z4">#REF!</definedName>
    <definedName name="COST_A">#REF!</definedName>
    <definedName name="COST_B">#REF!</definedName>
    <definedName name="COST_C">#REF!</definedName>
    <definedName name="cost_data">#REF!</definedName>
    <definedName name="COSTA_C4">#REF!</definedName>
    <definedName name="COSTA_R2">#REF!</definedName>
    <definedName name="COSTA_R4">#REF!</definedName>
    <definedName name="COSTA_S2">#REF!</definedName>
    <definedName name="COSTA_S4">#REF!</definedName>
    <definedName name="COSTA_Z4">#REF!</definedName>
    <definedName name="COSTB_C4">#REF!</definedName>
    <definedName name="COSTB_R2">#REF!</definedName>
    <definedName name="COSTB_R4">#REF!</definedName>
    <definedName name="COSTB_S2">#REF!</definedName>
    <definedName name="COSTB_S4">#REF!</definedName>
    <definedName name="COSTB_Z4">#REF!</definedName>
    <definedName name="COSTBC4">#REF!</definedName>
    <definedName name="COSTC_C4">#REF!</definedName>
    <definedName name="COSTC_R2">#REF!</definedName>
    <definedName name="COSTC_R4">#REF!</definedName>
    <definedName name="COSTC_S2">#REF!</definedName>
    <definedName name="COSTC_S4">#REF!</definedName>
    <definedName name="COSTC_Z4">#REF!</definedName>
    <definedName name="CostC4_A">#REF!</definedName>
    <definedName name="CostC4_B">#REF!</definedName>
    <definedName name="CostC4_C">#REF!</definedName>
    <definedName name="CostR2_A">#REF!</definedName>
    <definedName name="CostR2_B">#REF!</definedName>
    <definedName name="CostR2_C">#REF!</definedName>
    <definedName name="CostS2_A">#REF!</definedName>
    <definedName name="CostS2_B">#REF!</definedName>
    <definedName name="CostS2_C">#REF!</definedName>
    <definedName name="CostS4_A">#REF!</definedName>
    <definedName name="CostS4_B">#REF!</definedName>
    <definedName name="CostS4_C">#REF!</definedName>
    <definedName name="costsA">#REF!</definedName>
    <definedName name="costsB">#REF!</definedName>
    <definedName name="costsC">#REF!</definedName>
    <definedName name="CostZ4_A">#REF!</definedName>
    <definedName name="CostZ4_B">#REF!</definedName>
    <definedName name="CostZ4_C">#REF!</definedName>
    <definedName name="Country">#REF!</definedName>
    <definedName name="CountryCodes">#REF!</definedName>
    <definedName name="CSW_C4cst">#REF!</definedName>
    <definedName name="CSW_R2cst">#REF!</definedName>
    <definedName name="CSW_S2cst">#REF!</definedName>
    <definedName name="CSW_S4cst">#REF!</definedName>
    <definedName name="CSW_Z4cst">#REF!</definedName>
    <definedName name="cswdata">#REF!</definedName>
    <definedName name="CTW">#REF!</definedName>
    <definedName name="Currency">#REF!</definedName>
    <definedName name="CurrencyCodes">#REF!</definedName>
    <definedName name="data">#REF!</definedName>
    <definedName name="DBN">#REF!</definedName>
    <definedName name="DELAEE">#REF!</definedName>
    <definedName name="DELAME">#REF!</definedName>
    <definedName name="E_INDR2">#REF!</definedName>
    <definedName name="E_INDS2">#REF!</definedName>
    <definedName name="E_INDS4">#REF!</definedName>
    <definedName name="E_INDZ4">#REF!</definedName>
    <definedName name="ELD">#REF!</definedName>
    <definedName name="ENG">#REF!</definedName>
    <definedName name="f">#REF!</definedName>
    <definedName name="Flexfield1">#REF!</definedName>
    <definedName name="Flexfield2">#REF!</definedName>
    <definedName name="Flexfield3">#REF!</definedName>
    <definedName name="Flexfield4">#REF!</definedName>
    <definedName name="Flexfield5">#REF!</definedName>
    <definedName name="Flexfield6">#REF!</definedName>
    <definedName name="Flexfield7">#REF!</definedName>
    <definedName name="Flexfield8">#REF!</definedName>
    <definedName name="FRER2">#REF!</definedName>
    <definedName name="FRES2">#REF!</definedName>
    <definedName name="FRES4">#REF!</definedName>
    <definedName name="FREZ4">#REF!</definedName>
    <definedName name="general">#REF!</definedName>
    <definedName name="HKGC4">#REF!</definedName>
    <definedName name="HKGR2">#REF!</definedName>
    <definedName name="HKGR4">#REF!</definedName>
    <definedName name="HKGS2">#REF!</definedName>
    <definedName name="HKGS4">#REF!</definedName>
    <definedName name="HKGZ4">#REF!</definedName>
    <definedName name="HQ">#REF!</definedName>
    <definedName name="INDR2">#REF!</definedName>
    <definedName name="INDS2">#REF!</definedName>
    <definedName name="INDS4">#REF!</definedName>
    <definedName name="INDZ4">#REF!</definedName>
    <definedName name="JAPC4">#REF!</definedName>
    <definedName name="JAPR2">#REF!</definedName>
    <definedName name="JAPR4">#REF!</definedName>
    <definedName name="JAPR5">#REF!</definedName>
    <definedName name="JAPS2">#REF!</definedName>
    <definedName name="JAPS4">#REF!</definedName>
    <definedName name="JAPZ4">#REF!</definedName>
    <definedName name="KORC4">#REF!</definedName>
    <definedName name="KORR2">#REF!</definedName>
    <definedName name="KORR4">#REF!</definedName>
    <definedName name="KORS2">#REF!</definedName>
    <definedName name="KORS4">#REF!</definedName>
    <definedName name="KORZ4">#REF!</definedName>
    <definedName name="ll">#REF!</definedName>
    <definedName name="Loads">#REF!</definedName>
    <definedName name="MAL_C4">#REF!</definedName>
    <definedName name="MAL_R2">#REF!</definedName>
    <definedName name="MAL_R4">#REF!</definedName>
    <definedName name="MAL_S2">#REF!</definedName>
    <definedName name="MAL_S4">#REF!</definedName>
    <definedName name="MAL_Z4">#REF!</definedName>
    <definedName name="MALR2">#REF!</definedName>
    <definedName name="MALS2">#REF!</definedName>
    <definedName name="MALS4">#REF!</definedName>
    <definedName name="MALZ4">#REF!</definedName>
    <definedName name="MAR">#REF!</definedName>
    <definedName name="MELR2">#REF!</definedName>
    <definedName name="MELS2">#REF!</definedName>
    <definedName name="MELS4">#REF!</definedName>
    <definedName name="MELZ4">#REF!</definedName>
    <definedName name="Modes">#REF!</definedName>
    <definedName name="NEBP_List">#REF!</definedName>
    <definedName name="NEBP_List2">#REF!</definedName>
    <definedName name="PAKISTAN">#REF!</definedName>
    <definedName name="PKLC4">#REF!</definedName>
    <definedName name="PKLR2">#REF!</definedName>
    <definedName name="PKLR4">#REF!</definedName>
    <definedName name="PKLS2">#REF!</definedName>
    <definedName name="PKLS4">#REF!</definedName>
    <definedName name="PKLZ4">#REF!</definedName>
    <definedName name="PLZ">#REF!</definedName>
    <definedName name="PODAEE">#REF!</definedName>
    <definedName name="PODAME">#REF!</definedName>
    <definedName name="PODs">#REF!</definedName>
    <definedName name="POL_List">#REF!</definedName>
    <definedName name="POL_List2">#REF!</definedName>
    <definedName name="POLAEE">#REF!</definedName>
    <definedName name="POLAME">#REF!</definedName>
    <definedName name="PORAEE">#REF!</definedName>
    <definedName name="PORAME">#REF!</definedName>
    <definedName name="PORT_THC">#REF!</definedName>
    <definedName name="Ports">#REF!</definedName>
    <definedName name="PP_ActiveDataset">"Kein Dataset"</definedName>
    <definedName name="PP_Connected">"Kein Dataset"</definedName>
    <definedName name="PP_Currency">"False"</definedName>
    <definedName name="PP_DatasetSwitchAll">"False"</definedName>
    <definedName name="PP_DrillAll">"True"</definedName>
    <definedName name="PP_DrillLevel">"Drillen nächste Ebene"</definedName>
    <definedName name="PP_HideUNDEF">"False"</definedName>
    <definedName name="PP_LastRefresh">"Thursday, October 30, 2014 8:50:03 AM"</definedName>
    <definedName name="PP_ListQuery">"False"</definedName>
    <definedName name="PP_LockOrganisation">"False"</definedName>
    <definedName name="PP_LockTime">"False"</definedName>
    <definedName name="PP_OrganisationSwitchAll">"True"</definedName>
    <definedName name="PP_PeriodSwitchAll">"True"</definedName>
    <definedName name="PP_Simulation">"False"</definedName>
    <definedName name="PP_Thousand">"False"</definedName>
    <definedName name="PP_TopDown">"False"</definedName>
    <definedName name="PP_YearToDate">"False"</definedName>
    <definedName name="PreferredServices">#REF!</definedName>
    <definedName name="print">#REF!</definedName>
    <definedName name="_xlnm.Print_Area">#REF!</definedName>
    <definedName name="PRINT_AREA_MI">#REF!</definedName>
    <definedName name="qrer">#REF!</definedName>
    <definedName name="Routings">#REF!</definedName>
    <definedName name="RSAC4">#REF!</definedName>
    <definedName name="RSAR2">#REF!</definedName>
    <definedName name="RSAR4">#REF!</definedName>
    <definedName name="RSAS2">#REF!</definedName>
    <definedName name="RSAS4">#REF!</definedName>
    <definedName name="RSAZ4">#REF!</definedName>
    <definedName name="s">#REF!</definedName>
    <definedName name="S2_A">#REF!</definedName>
    <definedName name="S4_A">#REF!</definedName>
    <definedName name="SearchR">OFFSET(#REF!,0,0,COUNTA(#REF!)-1,12)</definedName>
    <definedName name="SearchResults">OFFSET(#REF!,0,0,COUNTA(#REF!)-1,12)</definedName>
    <definedName name="Security">#REF!</definedName>
    <definedName name="Service_Scope">#REF!</definedName>
    <definedName name="Sheet_Index">#REF!</definedName>
    <definedName name="SHGC4">#REF!</definedName>
    <definedName name="SHGR2">#REF!</definedName>
    <definedName name="SHGR4">#REF!</definedName>
    <definedName name="SHGS2">#REF!</definedName>
    <definedName name="SHGS4">#REF!</definedName>
    <definedName name="SHGZ4">#REF!</definedName>
    <definedName name="SPRC4">#REF!</definedName>
    <definedName name="SPRR2">#REF!</definedName>
    <definedName name="SPRR4">#REF!</definedName>
    <definedName name="SPRS2">#REF!</definedName>
    <definedName name="SPRS4">#REF!</definedName>
    <definedName name="SPRZ4">#REF!</definedName>
    <definedName name="SYDR2">#REF!</definedName>
    <definedName name="SYDS2">#REF!</definedName>
    <definedName name="SYDS4">#REF!</definedName>
    <definedName name="SYDZ4">#REF!</definedName>
    <definedName name="TAIC4">#REF!</definedName>
    <definedName name="TAIR2">#REF!</definedName>
    <definedName name="TAIR4">#REF!</definedName>
    <definedName name="TAIS2">#REF!</definedName>
    <definedName name="TAIS4">#REF!</definedName>
    <definedName name="TAIZ4">#REF!</definedName>
    <definedName name="Terms">#REF!</definedName>
    <definedName name="THC_PER_PORT">#REF!</definedName>
    <definedName name="THCMasterports">#REF!</definedName>
    <definedName name="TP">#REF!</definedName>
    <definedName name="Trades">#REF!</definedName>
    <definedName name="Transshipports">#REF!</definedName>
    <definedName name="W_INDR2">#REF!</definedName>
    <definedName name="W_INDS2">#REF!</definedName>
    <definedName name="W_INDS4">#REF!</definedName>
    <definedName name="W_INDZ4">#REF!</definedName>
    <definedName name="wafr">#REF!</definedName>
    <definedName name="XXX">#REF!</definedName>
    <definedName name="YesNo">#REF!</definedName>
    <definedName name="YYY">#REF!</definedName>
    <definedName name="z">#REF!</definedName>
    <definedName name="zzz">#REF!</definedName>
    <definedName name="クエリ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3" i="15" l="1"/>
  <c r="P73" i="15"/>
  <c r="O73" i="15"/>
  <c r="N73" i="15"/>
  <c r="M73" i="15"/>
  <c r="K73" i="15"/>
  <c r="J73" i="15"/>
  <c r="I73" i="15"/>
  <c r="H73" i="15"/>
  <c r="G73" i="15"/>
</calcChain>
</file>

<file path=xl/sharedStrings.xml><?xml version="1.0" encoding="utf-8"?>
<sst xmlns="http://schemas.openxmlformats.org/spreadsheetml/2006/main" count="1015" uniqueCount="255">
  <si>
    <t>EXPORT  TARIFF FOR FAR EAST TRADE (306)</t>
  </si>
  <si>
    <t>Validity:</t>
  </si>
  <si>
    <t>From 01/04/2026 until further notice, but not beyond 30/04/2026</t>
  </si>
  <si>
    <t>Commodity:</t>
  </si>
  <si>
    <t>All above rates are only valid for FAK general cargo and NOT for PPW, lumber/timber, logs, raw pulp and metal scrap.</t>
  </si>
  <si>
    <t>CONFIDENTIAL</t>
  </si>
  <si>
    <t>Please click below to check our terms, conditions and local export charges</t>
  </si>
  <si>
    <t>Terminos, condiciones y gastos locales</t>
  </si>
  <si>
    <t>Services Schedules</t>
  </si>
  <si>
    <t>Destination</t>
  </si>
  <si>
    <t>Code</t>
  </si>
  <si>
    <t>Destination Country</t>
  </si>
  <si>
    <t>Traffic Term</t>
  </si>
  <si>
    <t>Origin ESBCN-BARCELONA</t>
  </si>
  <si>
    <t>Origin ESVLC-VALENCIA</t>
  </si>
  <si>
    <t>Origin ESALG-ALGECIRAS</t>
  </si>
  <si>
    <t>Origin ESMAD-MADRID via Valencia</t>
  </si>
  <si>
    <t>Included Surcharges                     
(specific surcharges below)</t>
  </si>
  <si>
    <t>OTHER REMARKS</t>
  </si>
  <si>
    <t xml:space="preserve"> 20'GP</t>
  </si>
  <si>
    <t>40'GP/HC</t>
  </si>
  <si>
    <t>SVC</t>
  </si>
  <si>
    <t>VIA</t>
  </si>
  <si>
    <t>TT</t>
  </si>
  <si>
    <t>Sihanoukville</t>
  </si>
  <si>
    <t>KOS</t>
  </si>
  <si>
    <t>Cambodia</t>
  </si>
  <si>
    <t>CY-CY</t>
  </si>
  <si>
    <t>AEM2</t>
  </si>
  <si>
    <t>PKG</t>
  </si>
  <si>
    <t>AEM1</t>
  </si>
  <si>
    <t>SIN</t>
  </si>
  <si>
    <t>TSM</t>
  </si>
  <si>
    <t>PIR</t>
  </si>
  <si>
    <t>BUC;CAS;ETS;FAF;HCS;PSF;SUZ;THC</t>
  </si>
  <si>
    <t>Changsha</t>
  </si>
  <si>
    <t>CSX</t>
  </si>
  <si>
    <t>China</t>
  </si>
  <si>
    <t>SHA</t>
  </si>
  <si>
    <t>no service</t>
  </si>
  <si>
    <t>Changshu</t>
  </si>
  <si>
    <t>CGU</t>
  </si>
  <si>
    <t>Changzhou</t>
  </si>
  <si>
    <t>CZX</t>
  </si>
  <si>
    <t>Fuzhou</t>
  </si>
  <si>
    <t>FOC</t>
  </si>
  <si>
    <t>NGB</t>
  </si>
  <si>
    <t>Terminal at POD: FOC01</t>
  </si>
  <si>
    <t>Haikou</t>
  </si>
  <si>
    <t>HAK</t>
  </si>
  <si>
    <t>NSH</t>
  </si>
  <si>
    <t>HKG</t>
  </si>
  <si>
    <t>Dalian</t>
  </si>
  <si>
    <t>DLC</t>
  </si>
  <si>
    <t>China Base Port</t>
  </si>
  <si>
    <t>Hong Kong</t>
  </si>
  <si>
    <t>direct</t>
  </si>
  <si>
    <t>ESE2</t>
  </si>
  <si>
    <t>FXT</t>
  </si>
  <si>
    <t>Huangpu</t>
  </si>
  <si>
    <t>HUA</t>
  </si>
  <si>
    <t>Huangpu Old Port</t>
  </si>
  <si>
    <t>HPO</t>
  </si>
  <si>
    <t>Lianyungang</t>
  </si>
  <si>
    <t>LYG</t>
  </si>
  <si>
    <t xml:space="preserve">T/S via SHA is not accepted </t>
  </si>
  <si>
    <t>Luzhou</t>
  </si>
  <si>
    <t>LZU</t>
  </si>
  <si>
    <t>Sanshui</t>
  </si>
  <si>
    <t>SJQ</t>
  </si>
  <si>
    <t>Nanjing</t>
  </si>
  <si>
    <t>NKG</t>
  </si>
  <si>
    <t>Nansha</t>
  </si>
  <si>
    <t>AEM3</t>
  </si>
  <si>
    <t>Nantong</t>
  </si>
  <si>
    <t>NTG</t>
  </si>
  <si>
    <t>Ningbo</t>
  </si>
  <si>
    <t>Qingdao</t>
  </si>
  <si>
    <t>TAO</t>
  </si>
  <si>
    <t>Qinzhou</t>
  </si>
  <si>
    <t>QZH</t>
  </si>
  <si>
    <t>Shunde New Port</t>
  </si>
  <si>
    <t>SNP</t>
  </si>
  <si>
    <t>SHK</t>
  </si>
  <si>
    <t>Shanghai</t>
  </si>
  <si>
    <t>Shekou</t>
  </si>
  <si>
    <t>Taicang</t>
  </si>
  <si>
    <t>TAG</t>
  </si>
  <si>
    <t>Weihai</t>
  </si>
  <si>
    <t>WEI</t>
  </si>
  <si>
    <t>Wenzhou</t>
  </si>
  <si>
    <t>WNZ</t>
  </si>
  <si>
    <t>Wuhan</t>
  </si>
  <si>
    <t>WUH</t>
  </si>
  <si>
    <t>Xiamen</t>
  </si>
  <si>
    <t>XMN</t>
  </si>
  <si>
    <t>Xingang</t>
  </si>
  <si>
    <t>TSN</t>
  </si>
  <si>
    <t>Yantian</t>
  </si>
  <si>
    <t>YTN</t>
  </si>
  <si>
    <t>Xinhui</t>
  </si>
  <si>
    <t>XIN</t>
  </si>
  <si>
    <t>Yantai</t>
  </si>
  <si>
    <t>YNT</t>
  </si>
  <si>
    <t>Yunfu</t>
  </si>
  <si>
    <t>YNF</t>
  </si>
  <si>
    <t>Zhangjiagang</t>
  </si>
  <si>
    <t>ZJG</t>
  </si>
  <si>
    <t>Zhenjiang</t>
  </si>
  <si>
    <t>ZHE</t>
  </si>
  <si>
    <t>Belawan</t>
  </si>
  <si>
    <t>BLW</t>
  </si>
  <si>
    <t>Indonesia</t>
  </si>
  <si>
    <t>Jakarta</t>
  </si>
  <si>
    <t>JKT</t>
  </si>
  <si>
    <t>Semarang</t>
  </si>
  <si>
    <t>SRG</t>
  </si>
  <si>
    <t>Surabaya</t>
  </si>
  <si>
    <t>SUB</t>
  </si>
  <si>
    <t>Hakata</t>
  </si>
  <si>
    <t>HKT</t>
  </si>
  <si>
    <t>Japan</t>
  </si>
  <si>
    <t>Kobe</t>
  </si>
  <si>
    <t>UKB</t>
  </si>
  <si>
    <t>Moji</t>
  </si>
  <si>
    <t>MOJ</t>
  </si>
  <si>
    <t>Nagoya</t>
  </si>
  <si>
    <t>NGO</t>
  </si>
  <si>
    <t>Osaka</t>
  </si>
  <si>
    <t>OSA</t>
  </si>
  <si>
    <t>Tokuyama</t>
  </si>
  <si>
    <t>TKY</t>
  </si>
  <si>
    <t>Tokyo</t>
  </si>
  <si>
    <t>TYO</t>
  </si>
  <si>
    <t>Yokohama</t>
  </si>
  <si>
    <t>YOK</t>
  </si>
  <si>
    <t>Bintulu</t>
  </si>
  <si>
    <t>BTU</t>
  </si>
  <si>
    <t>Malaysia</t>
  </si>
  <si>
    <t>Kuantan</t>
  </si>
  <si>
    <t>KUA</t>
  </si>
  <si>
    <t>Kuching</t>
  </si>
  <si>
    <t>KCH</t>
  </si>
  <si>
    <t>Pasir Gudang</t>
  </si>
  <si>
    <t>PGU</t>
  </si>
  <si>
    <t>Penang</t>
  </si>
  <si>
    <t>PEN</t>
  </si>
  <si>
    <t>Port kelang</t>
  </si>
  <si>
    <t>Malaysia Base Port</t>
  </si>
  <si>
    <t>Yangon</t>
  </si>
  <si>
    <t>RGN</t>
  </si>
  <si>
    <t>Myanmar</t>
  </si>
  <si>
    <t>Manila North Harbour</t>
  </si>
  <si>
    <t>MNL</t>
  </si>
  <si>
    <t>Philippines</t>
  </si>
  <si>
    <t>Singapore</t>
  </si>
  <si>
    <t>Singapore Base Port</t>
  </si>
  <si>
    <t>Busan</t>
  </si>
  <si>
    <t>PUS</t>
  </si>
  <si>
    <t>South Korea Base Port</t>
  </si>
  <si>
    <t>Inchon</t>
  </si>
  <si>
    <t>INC</t>
  </si>
  <si>
    <t>South Korea</t>
  </si>
  <si>
    <t>Weight limit, please check general remarks.</t>
  </si>
  <si>
    <t>Kwangyang</t>
  </si>
  <si>
    <t>KAN</t>
  </si>
  <si>
    <t>Keelung</t>
  </si>
  <si>
    <t>KEL</t>
  </si>
  <si>
    <t>Taiwan</t>
  </si>
  <si>
    <t>Bangkok</t>
  </si>
  <si>
    <t>BKK</t>
  </si>
  <si>
    <t>Thailand</t>
  </si>
  <si>
    <t>Laem Chabang</t>
  </si>
  <si>
    <t>LCH</t>
  </si>
  <si>
    <t>Hai Phong</t>
  </si>
  <si>
    <t>HPH</t>
  </si>
  <si>
    <t>Vietnam</t>
  </si>
  <si>
    <t>Ho Chi Minh</t>
  </si>
  <si>
    <t>SGN</t>
  </si>
  <si>
    <t>Kaohsiung</t>
  </si>
  <si>
    <t>KHH</t>
  </si>
  <si>
    <t>Taiwan Base Port</t>
  </si>
  <si>
    <t>TERMS AND CONDITIONS</t>
  </si>
  <si>
    <t>All above rates are only valid for FAK general cargo and NOT for PPW, lumber/timber, logs, raw pulp and metal scrap</t>
  </si>
  <si>
    <t>SPECIAL REMARKS</t>
  </si>
  <si>
    <t>HO CHI MINH PORT  WILL NOT ACCEPT IMPORT IMDG CARGO WHICH HAVE DESTINATION CAT LAI (SGN08).</t>
  </si>
  <si>
    <t>Please note beverages loaded in Flexitanks may be subject to an extra surcharge of USD50/unit.</t>
  </si>
  <si>
    <t xml:space="preserve"> Please contact sales department for Agreement Number filling before sending booking request.   </t>
  </si>
  <si>
    <t xml:space="preserve">Transit Time is subject to changes. </t>
  </si>
  <si>
    <t>Please click here to check our standard free time tariff at destinations.</t>
  </si>
  <si>
    <t>Above offered rates are subject to contract filling by Sales Department, prior booking. Please contact us for further details.</t>
  </si>
  <si>
    <t>Above rates are subject to space, equipment and routing availability.</t>
  </si>
  <si>
    <t>Above rates are subject to any surcharge valid at GATE IN DATE and origin/ destination handlings, security and local charges, unless otherwise specified.</t>
  </si>
  <si>
    <t>All rates and surcharges are VATOS and subject to changes during the validity period- Valid for carriers own equipment only</t>
  </si>
  <si>
    <t>Prespecified routing may change at any time and without prior notice</t>
  </si>
  <si>
    <t>Above rates are only valid for shipments with receipt at terminal date (GATE IN DATE) From 01/04/2026 until further notice, but not beyond 30/04/2026</t>
  </si>
  <si>
    <t>Any Dangerous cargo booking is subject to final Export Department, Line Management, Transhipment Port (if any) and POD acceptance, and to general Dangerous policies of COSCO SHIPPING Lines, Ltd.</t>
  </si>
  <si>
    <t>Freight terms prepaid only</t>
  </si>
  <si>
    <t>Currenty USD only</t>
  </si>
  <si>
    <t>Freight basis: Inclusive BUC;CAS;ETS;FAF;HCS;PSF;SUZ;THC</t>
  </si>
  <si>
    <t>Subject to all others VATOS</t>
  </si>
  <si>
    <t>Subject to the Emergency Fuel Surcharge (EFS) applicable at the time of booking rate date</t>
  </si>
  <si>
    <t>ETS included</t>
  </si>
  <si>
    <t>PSS subject to USD/0 teu</t>
  </si>
  <si>
    <t>THD</t>
  </si>
  <si>
    <t>: SUBJECT TO, LOCAL CHARGES AT DESTINATION, ANY OTHER APPLICABLE SURCHARGE, FREE OUT COSTS</t>
  </si>
  <si>
    <t>AFS / AMS (JAPAN &amp; CHINA)</t>
  </si>
  <si>
    <t>: USD 30 per B/L - applicable for Japan and China import cargoes</t>
  </si>
  <si>
    <t>Amendment fee AFS / AMS</t>
  </si>
  <si>
    <t>: USD 40 per B/L - applicable for Japan and China import cargoes</t>
  </si>
  <si>
    <t>SOC</t>
  </si>
  <si>
    <r>
      <t xml:space="preserve">: SOC with valid CSC plate and DIN/ISO-Norm on </t>
    </r>
    <r>
      <rPr>
        <b/>
        <u/>
        <sz val="10"/>
        <rFont val="Arial"/>
        <family val="2"/>
      </rPr>
      <t>request</t>
    </r>
    <r>
      <rPr>
        <b/>
        <sz val="10"/>
        <rFont val="Arial"/>
        <family val="2"/>
      </rPr>
      <t xml:space="preserve"> only </t>
    </r>
  </si>
  <si>
    <t xml:space="preserve">Basic oceanfreight and other surcharges which you can find in our E-business website: </t>
  </si>
  <si>
    <t>http://elines.coscoshipping.com/ebusiness/EuropeTradePrice</t>
  </si>
  <si>
    <t>IMO (subj.to approval by line)</t>
  </si>
  <si>
    <t>: USD 50 / TEU FOR DIRECT BASE PORTS FOR CLASSES 3,6,8,9 &amp; 2.1 - USD 100 / TEU FOR NON DIRECT PORTS FOR CLASSES 3,6,8,9 &amp; 2.1 - other only on request</t>
  </si>
  <si>
    <t>Valid for one UN per container, if more than one UN mix stuffed, pls contact us</t>
  </si>
  <si>
    <r>
      <t xml:space="preserve">The IMO Surcharge shall be </t>
    </r>
    <r>
      <rPr>
        <u/>
        <sz val="10"/>
        <rFont val="Arial"/>
        <family val="2"/>
      </rPr>
      <t>subject to</t>
    </r>
    <r>
      <rPr>
        <sz val="10"/>
        <rFont val="Arial"/>
        <family val="2"/>
      </rPr>
      <t xml:space="preserve"> the Dangerous Goods Monitoring costs/Firemen Standby Charge at any port if any. </t>
    </r>
  </si>
  <si>
    <t>For example the DG Monitoring/PSA charges at/via Singapore or Fireman Standby Charge at/via Port Kelang.</t>
  </si>
  <si>
    <r>
      <rPr>
        <b/>
        <sz val="10"/>
        <color rgb="FF404040"/>
        <rFont val="Arial"/>
        <family val="2"/>
      </rPr>
      <t>Port Kelang</t>
    </r>
    <r>
      <rPr>
        <sz val="10"/>
        <color rgb="FF404040"/>
        <rFont val="Arial"/>
        <family val="2"/>
      </rPr>
      <t xml:space="preserve"> - This link can be used to check the acceptance of dangerous goods for transshipment:</t>
    </r>
  </si>
  <si>
    <t>http://pkapp.pka.gov.my/dg/unno.php?unno=3462&amp;Search=Search</t>
  </si>
  <si>
    <t>Kindly note fireman standby charges via Port Kelang are not included in the standard DG additional and will be charged on top, in case they occur.</t>
  </si>
  <si>
    <r>
      <rPr>
        <b/>
        <sz val="10"/>
        <rFont val="Arial"/>
        <family val="2"/>
      </rPr>
      <t xml:space="preserve">Singapore - </t>
    </r>
    <r>
      <rPr>
        <sz val="10"/>
        <rFont val="Arial"/>
        <family val="2"/>
      </rPr>
      <t>PSA Group Finder:</t>
    </r>
  </si>
  <si>
    <t>Please check with sales department</t>
  </si>
  <si>
    <t>Kindly note PSA monitoring charges via Singapore are not included in the standard DG additional and will be charged on top, in case they occur.</t>
  </si>
  <si>
    <t>Weight limit for Korea:</t>
  </si>
  <si>
    <t xml:space="preserve">a) Limit for inland delivery (CY/DR): 20 MT/20GP and 24 MT/40GP
</t>
  </si>
  <si>
    <t xml:space="preserve">b) Limit for CY/CY: 20MT/20GP and 24MT/40GP
</t>
  </si>
  <si>
    <t xml:space="preserve">c) Light chassis: 24,9 MT 
In case of exceeding 25 Tons, the bond clearance between both terminals/the bonded warehouse is not permitted according to Customs rule. </t>
  </si>
  <si>
    <t xml:space="preserve">LWS: </t>
  </si>
  <si>
    <t>(Low Water Surcharge) for destination of Yangon: USD 75/TEU as Prepaid, temporary surcharge, effective until further notice.</t>
  </si>
  <si>
    <t>Batam:</t>
  </si>
  <si>
    <t xml:space="preserve"> all charges including destination local charges should be collected at origin</t>
  </si>
  <si>
    <t>This guideline is subjected to the following terms and conditions:</t>
  </si>
  <si>
    <t>Freight term prepaid / local charges at POD for receivers account (in case of nonpayment, contracting party is responsible).</t>
  </si>
  <si>
    <t>Subject to equipment, space, handling, final IMO acceptance and service availability.</t>
  </si>
  <si>
    <t>PPW, tiles, lumber/timber, logs, raw pulp and metal scrap and waste cargo (paper+plastic) requires special permission. Restrictions apply.</t>
  </si>
  <si>
    <t>Ocean freight, peak season and all mentioned / unmentioned surcharges are based on cargo receive date only - no exception.</t>
  </si>
  <si>
    <t>All surcharges are subject to monthly adjustments / other surcharges, like local charges, additional fees at POD are valid at time of shipment.</t>
  </si>
  <si>
    <t>Demurrage/detention does not include storage at terminal, please click here to check our standard free time at destinations LINK</t>
  </si>
  <si>
    <t>Free time  will be applied to your shipment unless otherwise specified and confirmed by your Sales office, prior booking.</t>
  </si>
  <si>
    <t>In case picked up containers are not used for shipment and returned to depot/port – NO free time tariff DEM/DET is applicable. Full tariff will be charged starting from pick up date, additional handling costs will apply.</t>
  </si>
  <si>
    <t>If no response or nomination within two weeks, quotation would be invalid automatically / In case of insufficient performance, we reserve the right to withdraw the above-mentioned offer.</t>
  </si>
  <si>
    <t>Local charges/conditions listed on our homepage coscoshipping.es LINK (ESP version)</t>
  </si>
  <si>
    <t>Local charges/conditions listed on our homepage coscoshipping.es LINK (ENG version)</t>
  </si>
  <si>
    <t>Spain vessel schedules</t>
  </si>
  <si>
    <t>Spain local charges</t>
  </si>
  <si>
    <t>Subject to late booking cancellation fee ≤ 7 days before cut off date</t>
  </si>
  <si>
    <t>Errors and omissions excepted</t>
  </si>
  <si>
    <t xml:space="preserve">Furthermore you can find additional rates on our online Platform SynconHub: </t>
  </si>
  <si>
    <t>https://synconhub.coscoshipping.com/</t>
  </si>
  <si>
    <t>Tutorial video to WITHDRAW / Change Cntr type / Roll Bkg / Increase</t>
  </si>
  <si>
    <t>https://synconhub.coscoshipping.com/zh-cn/region/de/helps/tutorial-video/</t>
  </si>
  <si>
    <t>Rate is subject to any charges relating directly as a result of the changing requirement of MARPOL 2020 will apply in addition to the quoted terms</t>
  </si>
  <si>
    <t>BACK TO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</si>
</sst>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USD]"/>
  </numFmts>
  <fonts count="5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u/>
      <sz val="10"/>
      <name val="Arial"/>
      <family val="2"/>
    </font>
    <font>
      <u/>
      <sz val="10"/>
      <color theme="10"/>
      <name val="Arial"/>
      <family val="2"/>
    </font>
    <font>
      <u/>
      <sz val="11"/>
      <color rgb="FF0563C1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9"/>
      <color theme="0"/>
      <name val="Arial"/>
      <family val="2"/>
    </font>
    <font>
      <b/>
      <i/>
      <sz val="8"/>
      <color rgb="FFFF0000"/>
      <name val="Arial"/>
      <family val="2"/>
    </font>
    <font>
      <b/>
      <sz val="9"/>
      <color theme="1"/>
      <name val="Arial"/>
      <family val="2"/>
    </font>
    <font>
      <b/>
      <i/>
      <sz val="11"/>
      <color rgb="FFC00000"/>
      <name val="Arial"/>
      <family val="2"/>
    </font>
    <font>
      <b/>
      <i/>
      <sz val="8"/>
      <color rgb="FFC00000"/>
      <name val="Arial"/>
      <family val="2"/>
    </font>
    <font>
      <b/>
      <i/>
      <sz val="12"/>
      <color rgb="FF002060"/>
      <name val="Arial"/>
      <family val="2"/>
    </font>
    <font>
      <sz val="12"/>
      <color theme="1"/>
      <name val="Arial"/>
      <family val="2"/>
    </font>
    <font>
      <i/>
      <sz val="8"/>
      <color rgb="FFC00000"/>
      <name val="Arial"/>
      <family val="2"/>
    </font>
    <font>
      <b/>
      <i/>
      <sz val="12"/>
      <color rgb="FFFF0000"/>
      <name val="Arial"/>
      <family val="2"/>
    </font>
    <font>
      <b/>
      <i/>
      <u/>
      <sz val="11"/>
      <color theme="10"/>
      <name val="Aptos Narrow"/>
      <family val="2"/>
      <scheme val="minor"/>
    </font>
    <font>
      <b/>
      <i/>
      <u/>
      <sz val="11"/>
      <name val="Aptos Narrow"/>
      <family val="2"/>
      <scheme val="minor"/>
    </font>
    <font>
      <b/>
      <i/>
      <sz val="8"/>
      <name val="Arial"/>
      <family val="2"/>
    </font>
    <font>
      <b/>
      <i/>
      <u/>
      <sz val="12"/>
      <color rgb="FF002060"/>
      <name val="Arial"/>
      <family val="2"/>
    </font>
    <font>
      <sz val="12"/>
      <color rgb="FF002060"/>
      <name val="Arial"/>
      <family val="2"/>
    </font>
    <font>
      <b/>
      <sz val="10"/>
      <color theme="0"/>
      <name val="Aptos Narrow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  <font>
      <i/>
      <sz val="8"/>
      <color theme="1"/>
      <name val="Arial"/>
      <family val="2"/>
    </font>
    <font>
      <strike/>
      <sz val="8"/>
      <color rgb="FFC00000"/>
      <name val="Arial"/>
      <family val="2"/>
    </font>
    <font>
      <b/>
      <i/>
      <sz val="11"/>
      <name val="Arial"/>
      <family val="2"/>
    </font>
    <font>
      <b/>
      <sz val="10"/>
      <color theme="1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9"/>
      <color rgb="FFC00000"/>
      <name val="Arial"/>
      <family val="2"/>
    </font>
    <font>
      <b/>
      <sz val="10"/>
      <color rgb="FFC00000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u/>
      <sz val="10"/>
      <name val="Arial"/>
      <family val="2"/>
    </font>
    <font>
      <sz val="10"/>
      <color rgb="FF404040"/>
      <name val="Arial"/>
      <family val="2"/>
    </font>
    <font>
      <b/>
      <sz val="10"/>
      <color rgb="FF40404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theme="10"/>
      <name val="Arial"/>
      <family val="2"/>
    </font>
    <font>
      <u/>
      <sz val="10"/>
      <color rgb="FF0070C0"/>
      <name val="Arial"/>
      <family val="2"/>
    </font>
    <font>
      <b/>
      <sz val="10"/>
      <color rgb="FF000000"/>
      <name val="Arial"/>
      <family val="2"/>
    </font>
    <font>
      <b/>
      <u/>
      <sz val="10"/>
      <color theme="10"/>
      <name val="Arial"/>
      <family val="2"/>
    </font>
    <font>
      <b/>
      <sz val="10"/>
      <color indexed="8"/>
      <name val="Arial"/>
      <family val="2"/>
    </font>
    <font>
      <b/>
      <u/>
      <sz val="11"/>
      <color theme="1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4" tint="0.79998168889431442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theme="7" tint="0.59999389629810485"/>
        <bgColor theme="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theme="0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</borders>
  <cellStyleXfs count="23">
    <xf numFmtId="0" fontId="0" fillId="0" borderId="0"/>
    <xf numFmtId="0" fontId="1" fillId="0" borderId="0"/>
    <xf numFmtId="0" fontId="2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0" fontId="5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1" fillId="0" borderId="0"/>
    <xf numFmtId="0" fontId="1" fillId="0" borderId="0"/>
    <xf numFmtId="0" fontId="2" fillId="0" borderId="0"/>
    <xf numFmtId="0" fontId="12" fillId="0" borderId="0"/>
    <xf numFmtId="0" fontId="13" fillId="0" borderId="0"/>
    <xf numFmtId="0" fontId="14" fillId="0" borderId="0"/>
    <xf numFmtId="0" fontId="14" fillId="0" borderId="0"/>
    <xf numFmtId="0" fontId="2" fillId="0" borderId="0"/>
    <xf numFmtId="0" fontId="11" fillId="0" borderId="0"/>
    <xf numFmtId="0" fontId="5" fillId="0" borderId="0" applyNumberFormat="0" applyFill="0" applyBorder="0" applyAlignment="0" applyProtection="0"/>
    <xf numFmtId="0" fontId="3" fillId="0" borderId="0"/>
  </cellStyleXfs>
  <cellXfs count="179">
    <xf numFmtId="0" fontId="0" fillId="0" borderId="0" xfId="0"/>
    <xf numFmtId="0" fontId="3" fillId="0" borderId="0" xfId="0" applyFont="1"/>
    <xf numFmtId="0" fontId="15" fillId="3" borderId="0" xfId="0" applyFont="1" applyFill="1" applyAlignment="1">
      <alignment vertical="center"/>
    </xf>
    <xf numFmtId="0" fontId="15" fillId="3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3" borderId="0" xfId="0" applyFont="1" applyFill="1"/>
    <xf numFmtId="0" fontId="15" fillId="4" borderId="0" xfId="0" applyFont="1" applyFill="1"/>
    <xf numFmtId="0" fontId="15" fillId="0" borderId="0" xfId="0" applyFont="1"/>
    <xf numFmtId="0" fontId="15" fillId="0" borderId="0" xfId="0" applyFont="1" applyAlignment="1">
      <alignment vertical="center"/>
    </xf>
    <xf numFmtId="0" fontId="15" fillId="2" borderId="0" xfId="0" applyFont="1" applyFill="1" applyAlignment="1">
      <alignment vertical="center"/>
    </xf>
    <xf numFmtId="0" fontId="16" fillId="5" borderId="1" xfId="0" applyFont="1" applyFill="1" applyBorder="1" applyAlignment="1">
      <alignment horizontal="center" vertical="top" wrapText="1"/>
    </xf>
    <xf numFmtId="0" fontId="16" fillId="5" borderId="2" xfId="0" applyFont="1" applyFill="1" applyBorder="1" applyAlignment="1">
      <alignment horizontal="center" vertical="top" wrapText="1"/>
    </xf>
    <xf numFmtId="0" fontId="16" fillId="5" borderId="3" xfId="0" applyFont="1" applyFill="1" applyBorder="1" applyAlignment="1">
      <alignment horizontal="center" vertical="top" wrapText="1"/>
    </xf>
    <xf numFmtId="0" fontId="17" fillId="3" borderId="0" xfId="0" applyFont="1" applyFill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4" borderId="2" xfId="15" applyFont="1" applyFill="1" applyBorder="1" applyAlignment="1">
      <alignment horizontal="center" vertical="center" wrapText="1"/>
    </xf>
    <xf numFmtId="0" fontId="18" fillId="4" borderId="3" xfId="15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49" fontId="18" fillId="4" borderId="6" xfId="15" applyNumberFormat="1" applyFont="1" applyFill="1" applyBorder="1" applyAlignment="1">
      <alignment horizontal="center" vertical="center" wrapText="1"/>
    </xf>
    <xf numFmtId="49" fontId="18" fillId="4" borderId="7" xfId="15" applyNumberFormat="1" applyFont="1" applyFill="1" applyBorder="1" applyAlignment="1">
      <alignment horizontal="center" vertical="center" wrapText="1"/>
    </xf>
    <xf numFmtId="0" fontId="19" fillId="3" borderId="0" xfId="0" applyFont="1" applyFill="1" applyAlignment="1">
      <alignment vertical="center"/>
    </xf>
    <xf numFmtId="0" fontId="20" fillId="3" borderId="0" xfId="0" applyFont="1" applyFill="1" applyAlignment="1">
      <alignment vertical="center"/>
    </xf>
    <xf numFmtId="0" fontId="20" fillId="4" borderId="0" xfId="0" applyFont="1" applyFill="1" applyAlignment="1">
      <alignment vertical="center"/>
    </xf>
    <xf numFmtId="0" fontId="20" fillId="3" borderId="0" xfId="0" applyFont="1" applyFill="1" applyAlignment="1">
      <alignment horizontal="center" vertical="center"/>
    </xf>
    <xf numFmtId="0" fontId="21" fillId="3" borderId="0" xfId="0" applyFont="1" applyFill="1" applyAlignment="1">
      <alignment vertical="center"/>
    </xf>
    <xf numFmtId="0" fontId="21" fillId="4" borderId="0" xfId="0" applyFont="1" applyFill="1" applyAlignment="1">
      <alignment vertical="center"/>
    </xf>
    <xf numFmtId="0" fontId="21" fillId="3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0" fontId="19" fillId="4" borderId="0" xfId="0" applyFont="1" applyFill="1" applyAlignment="1">
      <alignment vertical="center"/>
    </xf>
    <xf numFmtId="0" fontId="23" fillId="4" borderId="0" xfId="0" applyFont="1" applyFill="1" applyAlignment="1">
      <alignment vertical="center"/>
    </xf>
    <xf numFmtId="0" fontId="24" fillId="4" borderId="0" xfId="0" applyFont="1" applyFill="1" applyAlignment="1">
      <alignment horizontal="center" vertical="center"/>
    </xf>
    <xf numFmtId="0" fontId="5" fillId="0" borderId="0" xfId="21" applyBorder="1" applyAlignment="1">
      <alignment vertical="center"/>
    </xf>
    <xf numFmtId="0" fontId="25" fillId="0" borderId="0" xfId="21" applyFont="1" applyBorder="1" applyAlignment="1">
      <alignment vertical="center"/>
    </xf>
    <xf numFmtId="0" fontId="26" fillId="0" borderId="0" xfId="21" applyFont="1" applyBorder="1" applyAlignment="1">
      <alignment vertical="center"/>
    </xf>
    <xf numFmtId="0" fontId="27" fillId="4" borderId="0" xfId="0" applyFont="1" applyFill="1" applyAlignment="1">
      <alignment vertical="center"/>
    </xf>
    <xf numFmtId="0" fontId="27" fillId="3" borderId="0" xfId="0" applyFont="1" applyFill="1" applyAlignment="1">
      <alignment horizontal="center" vertical="center"/>
    </xf>
    <xf numFmtId="0" fontId="28" fillId="0" borderId="0" xfId="21" applyFont="1" applyBorder="1" applyAlignment="1">
      <alignment vertical="center"/>
    </xf>
    <xf numFmtId="0" fontId="29" fillId="0" borderId="0" xfId="0" applyFont="1" applyAlignment="1">
      <alignment vertical="center"/>
    </xf>
    <xf numFmtId="0" fontId="17" fillId="4" borderId="0" xfId="0" applyFont="1" applyFill="1" applyAlignment="1">
      <alignment horizontal="center" vertical="center"/>
    </xf>
    <xf numFmtId="0" fontId="30" fillId="5" borderId="0" xfId="0" applyFont="1" applyFill="1" applyAlignment="1">
      <alignment horizontal="center" vertical="center" wrapText="1"/>
    </xf>
    <xf numFmtId="0" fontId="30" fillId="5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49" fontId="15" fillId="0" borderId="0" xfId="15" applyNumberFormat="1" applyFont="1" applyAlignment="1">
      <alignment horizontal="center" vertical="center" wrapText="1"/>
    </xf>
    <xf numFmtId="0" fontId="30" fillId="2" borderId="0" xfId="0" applyFont="1" applyFill="1" applyAlignment="1">
      <alignment horizontal="center" vertical="center"/>
    </xf>
    <xf numFmtId="0" fontId="30" fillId="5" borderId="0" xfId="0" applyFont="1" applyFill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30" fillId="5" borderId="0" xfId="0" applyFont="1" applyFill="1" applyAlignment="1">
      <alignment horizontal="center" vertical="center"/>
    </xf>
    <xf numFmtId="49" fontId="15" fillId="6" borderId="0" xfId="15" applyNumberFormat="1" applyFont="1" applyFill="1" applyAlignment="1">
      <alignment horizontal="center" vertical="center" wrapText="1"/>
    </xf>
    <xf numFmtId="0" fontId="15" fillId="6" borderId="0" xfId="0" applyFont="1" applyFill="1" applyAlignment="1">
      <alignment horizontal="center" vertical="center" wrapText="1"/>
    </xf>
    <xf numFmtId="4" fontId="15" fillId="6" borderId="0" xfId="0" applyNumberFormat="1" applyFont="1" applyFill="1" applyAlignment="1">
      <alignment horizontal="center" vertical="center" wrapText="1"/>
    </xf>
    <xf numFmtId="164" fontId="9" fillId="6" borderId="0" xfId="0" applyNumberFormat="1" applyFont="1" applyFill="1" applyAlignment="1" applyProtection="1">
      <alignment horizontal="center" vertical="center" wrapText="1"/>
      <protection hidden="1"/>
    </xf>
    <xf numFmtId="0" fontId="9" fillId="6" borderId="0" xfId="0" applyFont="1" applyFill="1" applyAlignment="1" applyProtection="1">
      <alignment horizontal="center" vertical="center" wrapText="1"/>
      <protection hidden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164" fontId="15" fillId="6" borderId="0" xfId="0" applyNumberFormat="1" applyFont="1" applyFill="1" applyAlignment="1" applyProtection="1">
      <alignment horizontal="center" vertical="center" wrapText="1"/>
      <protection hidden="1"/>
    </xf>
    <xf numFmtId="0" fontId="15" fillId="6" borderId="0" xfId="15" applyFont="1" applyFill="1" applyAlignment="1">
      <alignment horizontal="center" vertical="center" wrapText="1"/>
    </xf>
    <xf numFmtId="164" fontId="15" fillId="6" borderId="0" xfId="0" applyNumberFormat="1" applyFont="1" applyFill="1" applyAlignment="1">
      <alignment horizontal="center" vertical="center" wrapText="1"/>
    </xf>
    <xf numFmtId="4" fontId="9" fillId="6" borderId="0" xfId="0" applyNumberFormat="1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49" fontId="9" fillId="0" borderId="0" xfId="15" applyNumberFormat="1" applyFont="1" applyAlignment="1">
      <alignment horizontal="center" vertical="center" wrapText="1"/>
    </xf>
    <xf numFmtId="49" fontId="31" fillId="6" borderId="0" xfId="15" applyNumberFormat="1" applyFont="1" applyFill="1" applyAlignment="1">
      <alignment horizontal="center" vertical="center" wrapText="1"/>
    </xf>
    <xf numFmtId="164" fontId="9" fillId="6" borderId="0" xfId="0" applyNumberFormat="1" applyFont="1" applyFill="1" applyAlignment="1">
      <alignment horizontal="center" vertical="center" wrapText="1"/>
    </xf>
    <xf numFmtId="49" fontId="15" fillId="7" borderId="0" xfId="15" applyNumberFormat="1" applyFont="1" applyFill="1" applyAlignment="1">
      <alignment horizontal="center" vertical="center" wrapText="1"/>
    </xf>
    <xf numFmtId="0" fontId="31" fillId="7" borderId="0" xfId="0" applyFont="1" applyFill="1" applyAlignment="1">
      <alignment horizontal="center" vertical="center" wrapText="1"/>
    </xf>
    <xf numFmtId="4" fontId="15" fillId="7" borderId="0" xfId="0" applyNumberFormat="1" applyFont="1" applyFill="1" applyAlignment="1">
      <alignment horizontal="center" vertical="center" wrapText="1"/>
    </xf>
    <xf numFmtId="164" fontId="15" fillId="7" borderId="0" xfId="0" applyNumberFormat="1" applyFont="1" applyFill="1" applyAlignment="1" applyProtection="1">
      <alignment horizontal="center" vertical="center" wrapText="1"/>
      <protection hidden="1"/>
    </xf>
    <xf numFmtId="164" fontId="9" fillId="7" borderId="0" xfId="0" applyNumberFormat="1" applyFont="1" applyFill="1" applyAlignment="1" applyProtection="1">
      <alignment horizontal="center" vertical="center" wrapText="1"/>
      <protection hidden="1"/>
    </xf>
    <xf numFmtId="164" fontId="15" fillId="7" borderId="0" xfId="0" applyNumberFormat="1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164" fontId="9" fillId="7" borderId="0" xfId="0" applyNumberFormat="1" applyFont="1" applyFill="1" applyAlignment="1">
      <alignment horizontal="center" vertical="center" wrapText="1"/>
    </xf>
    <xf numFmtId="4" fontId="9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32" fillId="0" borderId="0" xfId="0" applyFont="1" applyAlignment="1">
      <alignment vertical="center"/>
    </xf>
    <xf numFmtId="49" fontId="9" fillId="6" borderId="0" xfId="15" applyNumberFormat="1" applyFont="1" applyFill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164" fontId="15" fillId="6" borderId="0" xfId="0" applyNumberFormat="1" applyFont="1" applyFill="1" applyAlignment="1">
      <alignment horizontal="center" vertical="center"/>
    </xf>
    <xf numFmtId="49" fontId="33" fillId="0" borderId="0" xfId="15" applyNumberFormat="1" applyFont="1" applyAlignment="1">
      <alignment horizontal="center" vertical="center" wrapText="1"/>
    </xf>
    <xf numFmtId="0" fontId="33" fillId="0" borderId="0" xfId="0" applyFont="1" applyAlignment="1">
      <alignment vertical="center"/>
    </xf>
    <xf numFmtId="49" fontId="9" fillId="7" borderId="0" xfId="15" applyNumberFormat="1" applyFont="1" applyFill="1" applyAlignment="1">
      <alignment horizontal="center" vertical="center" wrapText="1"/>
    </xf>
    <xf numFmtId="0" fontId="32" fillId="7" borderId="0" xfId="0" applyFont="1" applyFill="1" applyAlignment="1">
      <alignment horizontal="center" vertical="center" wrapText="1"/>
    </xf>
    <xf numFmtId="164" fontId="9" fillId="7" borderId="0" xfId="0" applyNumberFormat="1" applyFont="1" applyFill="1" applyAlignment="1">
      <alignment horizontal="center" vertical="center"/>
    </xf>
    <xf numFmtId="164" fontId="9" fillId="6" borderId="0" xfId="0" applyNumberFormat="1" applyFont="1" applyFill="1" applyAlignment="1">
      <alignment horizontal="center" vertical="center"/>
    </xf>
    <xf numFmtId="49" fontId="32" fillId="0" borderId="0" xfId="15" applyNumberFormat="1" applyFont="1" applyAlignment="1">
      <alignment horizontal="center" vertical="center" wrapText="1"/>
    </xf>
    <xf numFmtId="164" fontId="34" fillId="6" borderId="0" xfId="0" applyNumberFormat="1" applyFont="1" applyFill="1" applyAlignment="1">
      <alignment horizontal="center" vertical="center"/>
    </xf>
    <xf numFmtId="0" fontId="31" fillId="0" borderId="0" xfId="0" applyFont="1" applyAlignment="1">
      <alignment vertical="center"/>
    </xf>
    <xf numFmtId="49" fontId="31" fillId="0" borderId="0" xfId="15" applyNumberFormat="1" applyFont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49" fontId="35" fillId="0" borderId="0" xfId="15" applyNumberFormat="1" applyFont="1" applyAlignment="1">
      <alignment horizontal="center" vertical="center" wrapText="1"/>
    </xf>
    <xf numFmtId="164" fontId="15" fillId="7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4" fontId="9" fillId="0" borderId="0" xfId="0" applyNumberFormat="1" applyFont="1" applyAlignment="1">
      <alignment horizontal="center" vertical="center" wrapText="1"/>
    </xf>
    <xf numFmtId="49" fontId="9" fillId="0" borderId="0" xfId="15" applyNumberFormat="1" applyFont="1" applyAlignment="1">
      <alignment horizontal="right" vertical="center" wrapText="1"/>
    </xf>
    <xf numFmtId="164" fontId="9" fillId="0" borderId="0" xfId="0" applyNumberFormat="1" applyFont="1" applyAlignment="1">
      <alignment horizontal="center" vertical="center" wrapText="1"/>
    </xf>
    <xf numFmtId="49" fontId="9" fillId="2" borderId="0" xfId="15" applyNumberFormat="1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36" fillId="3" borderId="8" xfId="0" applyFont="1" applyFill="1" applyBorder="1" applyAlignment="1">
      <alignment vertical="center"/>
    </xf>
    <xf numFmtId="0" fontId="15" fillId="3" borderId="8" xfId="0" applyFont="1" applyFill="1" applyBorder="1" applyAlignment="1">
      <alignment horizontal="center" vertical="center"/>
    </xf>
    <xf numFmtId="49" fontId="15" fillId="4" borderId="8" xfId="15" applyNumberFormat="1" applyFont="1" applyFill="1" applyBorder="1" applyAlignment="1">
      <alignment horizontal="right" vertical="center" wrapText="1"/>
    </xf>
    <xf numFmtId="0" fontId="15" fillId="0" borderId="8" xfId="0" applyFont="1" applyBorder="1" applyAlignment="1">
      <alignment horizontal="center" vertical="center"/>
    </xf>
    <xf numFmtId="0" fontId="15" fillId="3" borderId="8" xfId="0" applyFont="1" applyFill="1" applyBorder="1" applyAlignment="1">
      <alignment vertical="center"/>
    </xf>
    <xf numFmtId="0" fontId="36" fillId="3" borderId="0" xfId="0" applyFont="1" applyFill="1" applyAlignment="1">
      <alignment vertical="center"/>
    </xf>
    <xf numFmtId="49" fontId="15" fillId="4" borderId="0" xfId="15" applyNumberFormat="1" applyFont="1" applyFill="1" applyAlignment="1">
      <alignment horizontal="right" vertical="center" wrapText="1"/>
    </xf>
    <xf numFmtId="0" fontId="37" fillId="4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49" fontId="4" fillId="4" borderId="0" xfId="15" applyNumberFormat="1" applyFont="1" applyFill="1" applyAlignment="1">
      <alignment horizontal="right" vertical="center" wrapText="1"/>
    </xf>
    <xf numFmtId="0" fontId="18" fillId="4" borderId="0" xfId="0" applyFont="1" applyFill="1" applyAlignment="1">
      <alignment horizontal="left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8" xfId="0" applyFont="1" applyFill="1" applyBorder="1"/>
    <xf numFmtId="0" fontId="38" fillId="3" borderId="0" xfId="0" applyFont="1" applyFill="1" applyAlignment="1">
      <alignment horizontal="left" vertical="center"/>
    </xf>
    <xf numFmtId="0" fontId="39" fillId="8" borderId="0" xfId="0" applyFont="1" applyFill="1" applyAlignment="1">
      <alignment horizontal="left" vertical="center"/>
    </xf>
    <xf numFmtId="0" fontId="22" fillId="8" borderId="0" xfId="0" applyFont="1" applyFill="1" applyAlignment="1">
      <alignment horizontal="center" vertical="center"/>
    </xf>
    <xf numFmtId="49" fontId="22" fillId="8" borderId="0" xfId="15" applyNumberFormat="1" applyFont="1" applyFill="1" applyAlignment="1">
      <alignment horizontal="right" vertical="center" wrapText="1"/>
    </xf>
    <xf numFmtId="0" fontId="15" fillId="8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10" fillId="9" borderId="0" xfId="0" applyFont="1" applyFill="1" applyAlignment="1">
      <alignment vertical="center"/>
    </xf>
    <xf numFmtId="0" fontId="10" fillId="10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40" fillId="3" borderId="0" xfId="0" applyFont="1" applyFill="1" applyAlignment="1">
      <alignment horizontal="left" vertical="center"/>
    </xf>
    <xf numFmtId="1" fontId="15" fillId="0" borderId="0" xfId="0" applyNumberFormat="1" applyFont="1" applyAlignment="1">
      <alignment horizontal="center" vertical="center"/>
    </xf>
    <xf numFmtId="0" fontId="0" fillId="2" borderId="0" xfId="0" applyFill="1"/>
    <xf numFmtId="0" fontId="41" fillId="0" borderId="0" xfId="0" applyFont="1" applyAlignment="1">
      <alignment vertical="center"/>
    </xf>
    <xf numFmtId="0" fontId="42" fillId="0" borderId="0" xfId="0" applyFont="1"/>
    <xf numFmtId="0" fontId="42" fillId="11" borderId="0" xfId="0" applyFont="1" applyFill="1"/>
    <xf numFmtId="0" fontId="4" fillId="1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2" fillId="0" borderId="0" xfId="0" applyFont="1" applyAlignment="1">
      <alignment horizontal="left"/>
    </xf>
    <xf numFmtId="0" fontId="4" fillId="3" borderId="0" xfId="0" applyFont="1" applyFill="1" applyAlignment="1">
      <alignment horizontal="left" vertical="center"/>
    </xf>
    <xf numFmtId="0" fontId="41" fillId="3" borderId="0" xfId="0" applyFont="1" applyFill="1" applyAlignment="1">
      <alignment horizontal="left" vertical="center"/>
    </xf>
    <xf numFmtId="0" fontId="37" fillId="3" borderId="9" xfId="0" applyFont="1" applyFill="1" applyBorder="1" applyAlignment="1">
      <alignment horizontal="left" vertical="center"/>
    </xf>
    <xf numFmtId="0" fontId="37" fillId="3" borderId="10" xfId="0" applyFont="1" applyFill="1" applyBorder="1" applyAlignment="1">
      <alignment horizontal="left" vertical="center"/>
    </xf>
    <xf numFmtId="0" fontId="37" fillId="0" borderId="10" xfId="0" applyFont="1" applyBorder="1" applyAlignment="1">
      <alignment vertical="center"/>
    </xf>
    <xf numFmtId="0" fontId="37" fillId="0" borderId="11" xfId="0" applyFont="1" applyBorder="1" applyAlignment="1">
      <alignment vertical="center"/>
    </xf>
    <xf numFmtId="0" fontId="37" fillId="3" borderId="12" xfId="0" applyFont="1" applyFill="1" applyBorder="1" applyAlignment="1">
      <alignment horizontal="left" vertical="center"/>
    </xf>
    <xf numFmtId="0" fontId="6" fillId="2" borderId="0" xfId="15" applyFont="1" applyFill="1"/>
    <xf numFmtId="0" fontId="37" fillId="0" borderId="0" xfId="0" applyFont="1" applyAlignment="1">
      <alignment vertical="center"/>
    </xf>
    <xf numFmtId="0" fontId="37" fillId="0" borderId="13" xfId="0" applyFont="1" applyBorder="1" applyAlignment="1">
      <alignment vertical="center"/>
    </xf>
    <xf numFmtId="0" fontId="37" fillId="3" borderId="0" xfId="0" applyFont="1" applyFill="1" applyAlignment="1">
      <alignment horizontal="left" vertical="center"/>
    </xf>
    <xf numFmtId="0" fontId="41" fillId="3" borderId="12" xfId="0" applyFont="1" applyFill="1" applyBorder="1" applyAlignment="1">
      <alignment horizontal="left" vertical="center"/>
    </xf>
    <xf numFmtId="0" fontId="37" fillId="4" borderId="12" xfId="0" applyFont="1" applyFill="1" applyBorder="1" applyAlignment="1">
      <alignment horizontal="left"/>
    </xf>
    <xf numFmtId="0" fontId="37" fillId="4" borderId="0" xfId="0" applyFont="1" applyFill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0" xfId="0" applyFont="1"/>
    <xf numFmtId="0" fontId="10" fillId="0" borderId="12" xfId="0" applyFont="1" applyBorder="1"/>
    <xf numFmtId="0" fontId="10" fillId="0" borderId="14" xfId="0" applyFont="1" applyBorder="1"/>
    <xf numFmtId="0" fontId="10" fillId="0" borderId="15" xfId="0" applyFont="1" applyBorder="1"/>
    <xf numFmtId="0" fontId="37" fillId="0" borderId="15" xfId="0" applyFont="1" applyBorder="1" applyAlignment="1">
      <alignment vertical="center"/>
    </xf>
    <xf numFmtId="0" fontId="37" fillId="0" borderId="16" xfId="0" applyFont="1" applyBorder="1" applyAlignment="1">
      <alignment vertical="center"/>
    </xf>
    <xf numFmtId="0" fontId="3" fillId="0" borderId="0" xfId="0" applyFont="1" applyAlignment="1">
      <alignment horizontal="left"/>
    </xf>
    <xf numFmtId="0" fontId="43" fillId="0" borderId="0" xfId="0" applyFont="1"/>
    <xf numFmtId="0" fontId="7" fillId="0" borderId="0" xfId="21" applyFont="1" applyBorder="1"/>
    <xf numFmtId="0" fontId="4" fillId="0" borderId="0" xfId="15" applyFont="1"/>
    <xf numFmtId="0" fontId="45" fillId="0" borderId="0" xfId="0" applyFont="1" applyAlignment="1">
      <alignment vertical="center"/>
    </xf>
    <xf numFmtId="0" fontId="7" fillId="0" borderId="0" xfId="21" applyFont="1" applyBorder="1" applyAlignment="1" applyProtection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2" borderId="0" xfId="15" applyFont="1" applyFill="1"/>
    <xf numFmtId="0" fontId="47" fillId="0" borderId="0" xfId="0" applyFont="1" applyAlignment="1">
      <alignment vertical="center"/>
    </xf>
    <xf numFmtId="0" fontId="48" fillId="0" borderId="0" xfId="0" applyFont="1"/>
    <xf numFmtId="0" fontId="2" fillId="0" borderId="0" xfId="0" applyFont="1" applyAlignment="1">
      <alignment horizontal="left" vertical="top"/>
    </xf>
    <xf numFmtId="0" fontId="37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49" fillId="0" borderId="0" xfId="21" applyFont="1" applyFill="1" applyBorder="1" applyAlignment="1">
      <alignment horizontal="left" vertical="top"/>
    </xf>
    <xf numFmtId="0" fontId="7" fillId="0" borderId="0" xfId="21" applyFont="1" applyFill="1" applyBorder="1" applyAlignment="1"/>
    <xf numFmtId="0" fontId="50" fillId="0" borderId="0" xfId="0" applyFont="1"/>
    <xf numFmtId="0" fontId="7" fillId="0" borderId="0" xfId="21" applyFont="1" applyFill="1" applyBorder="1"/>
    <xf numFmtId="0" fontId="51" fillId="0" borderId="0" xfId="0" applyFont="1" applyAlignment="1">
      <alignment horizontal="left" vertical="center"/>
    </xf>
    <xf numFmtId="0" fontId="52" fillId="0" borderId="0" xfId="21" applyFont="1" applyFill="1" applyBorder="1" applyAlignment="1">
      <alignment horizontal="left" vertical="center"/>
    </xf>
    <xf numFmtId="0" fontId="53" fillId="0" borderId="0" xfId="22" applyFont="1"/>
    <xf numFmtId="0" fontId="52" fillId="0" borderId="0" xfId="21" applyFont="1" applyFill="1" applyBorder="1" applyAlignment="1"/>
    <xf numFmtId="0" fontId="4" fillId="0" borderId="0" xfId="0" applyFont="1" applyAlignment="1">
      <alignment horizontal="center" vertical="center"/>
    </xf>
    <xf numFmtId="0" fontId="42" fillId="13" borderId="0" xfId="0" applyFont="1" applyFill="1" applyAlignment="1">
      <alignment horizontal="center" vertical="center" wrapText="1"/>
    </xf>
    <xf numFmtId="0" fontId="5" fillId="3" borderId="0" xfId="21" applyFill="1" applyBorder="1" applyAlignment="1">
      <alignment vertical="center"/>
    </xf>
    <xf numFmtId="0" fontId="54" fillId="3" borderId="0" xfId="21" applyFont="1" applyFill="1" applyBorder="1" applyAlignment="1">
      <alignment vertical="center"/>
    </xf>
  </cellXfs>
  <cellStyles count="23">
    <cellStyle name="Hyperlink" xfId="21" builtinId="8"/>
    <cellStyle name="Hyperlink 2" xfId="4" xr:uid="{14F3A58B-D8AE-4C96-B9F7-3431BF7F0196}"/>
    <cellStyle name="Hyperlink 2 2" xfId="3" xr:uid="{5964A8E5-1FCE-44AA-9AA2-585AD4F0D00B}"/>
    <cellStyle name="Hyperlink 3" xfId="8" xr:uid="{1E98D78C-8AFA-4995-8BB1-E8CD9DDD12FD}"/>
    <cellStyle name="Hyperlink 4" xfId="6" xr:uid="{6AE15EC0-275E-4D58-9BDD-49746A12D810}"/>
    <cellStyle name="Link 2" xfId="5" xr:uid="{77A2375C-1FDC-4D55-84EA-FA4243227A1B}"/>
    <cellStyle name="Normal" xfId="0" builtinId="0"/>
    <cellStyle name="Normal 10" xfId="22" xr:uid="{0C73735D-FC20-433B-9639-E61C4F67AE7C}"/>
    <cellStyle name="Normal 10 2 2" xfId="14" xr:uid="{76F54FD9-2B08-403D-AF7B-3CA7F8DB4C67}"/>
    <cellStyle name="Normal 11 2" xfId="9" xr:uid="{09002EAF-225C-4ACA-B0AF-F07FC0F28B49}"/>
    <cellStyle name="Normal 14 2" xfId="2" xr:uid="{34601C47-5BDD-4D1A-B454-11E937EC0696}"/>
    <cellStyle name="Normal 17 2" xfId="19" xr:uid="{D8BC5F7B-3F4F-4338-B04B-B6928FA5094D}"/>
    <cellStyle name="Normal 2" xfId="15" xr:uid="{AA7C5CDE-702C-4D26-9561-3AA79122F61D}"/>
    <cellStyle name="Normal 2 2" xfId="18" xr:uid="{4583359B-C8C8-45ED-ACC8-2F1F9471CD92}"/>
    <cellStyle name="Normal 2 2 3" xfId="12" xr:uid="{57736816-A699-44F6-ABCE-7AA35BF0A6E7}"/>
    <cellStyle name="Normal 2 3" xfId="7" xr:uid="{AE19D11E-E5D7-4167-9FDF-EF125F59C82A}"/>
    <cellStyle name="Normal 2 4 3 2 2 2 2 2 2 2 2 2 2 2 2 2 2 2 2 2 2 2 2 2 2 2 2" xfId="1" xr:uid="{D935D058-5B1E-44CA-B325-40AFBA99EEEA}"/>
    <cellStyle name="Normal 3" xfId="16" xr:uid="{A87AC7BD-AB5B-4675-88BE-771B641CB04B}"/>
    <cellStyle name="Normal 3 2" xfId="20" xr:uid="{B1C70102-B8AF-4A85-8DA6-A62D72F30A7F}"/>
    <cellStyle name="Normal 4" xfId="17" xr:uid="{86E339B1-B1BD-4B67-AEC6-2460D625B827}"/>
    <cellStyle name="Normal 4 2 9 2 4" xfId="13" xr:uid="{8D690461-A42F-4251-B7C0-297CFEF0809C}"/>
    <cellStyle name="Normal 5 2" xfId="10" xr:uid="{699E7684-CF59-4BC1-A36C-72248916AB2C}"/>
    <cellStyle name="Normal 67" xfId="11" xr:uid="{6C6A8413-CCBA-4FEB-A62E-BA848723F1D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hyperlink" Target="https://world.lines.coscoshipping.com/spain/es/hom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</xdr:row>
      <xdr:rowOff>190500</xdr:rowOff>
    </xdr:from>
    <xdr:to>
      <xdr:col>19</xdr:col>
      <xdr:colOff>793829</xdr:colOff>
      <xdr:row>6</xdr:row>
      <xdr:rowOff>12956</xdr:rowOff>
    </xdr:to>
    <xdr:pic>
      <xdr:nvPicPr>
        <xdr:cNvPr id="2" name="Imagen 1" descr="Resultado de imagen de cosco shippi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AFA26-BBA7-48F5-83BB-AA252D4DD7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00" t="28170" r="7667" b="26291"/>
        <a:stretch/>
      </xdr:blipFill>
      <xdr:spPr bwMode="auto">
        <a:xfrm>
          <a:off x="7665720" y="320040"/>
          <a:ext cx="3849449" cy="713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590550</xdr:colOff>
      <xdr:row>7</xdr:row>
      <xdr:rowOff>95250</xdr:rowOff>
    </xdr:from>
    <xdr:to>
      <xdr:col>4</xdr:col>
      <xdr:colOff>672465</xdr:colOff>
      <xdr:row>14</xdr:row>
      <xdr:rowOff>1905</xdr:rowOff>
    </xdr:to>
    <xdr:pic>
      <xdr:nvPicPr>
        <xdr:cNvPr id="3" name="Imagen 2" descr="imagen">
          <a:extLst>
            <a:ext uri="{FF2B5EF4-FFF2-40B4-BE49-F238E27FC236}">
              <a16:creationId xmlns:a16="http://schemas.microsoft.com/office/drawing/2014/main" id="{9CC29E6E-5EDF-4F68-B4A3-DEB046F60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590" y="1520190"/>
          <a:ext cx="3084195" cy="1087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portal.sharepoint.com/sites/COSCOSpain/Shared%20Documents/Departments/M&amp;P/OB/01.%20TARIFFS/99.%20EXCEL%20TARIFAS/Pricing%20sheet%20work%20file%20Spain%20FAK%20GL.xlsx" TargetMode="External"/><Relationship Id="rId1" Type="http://schemas.openxmlformats.org/officeDocument/2006/relationships/externalLinkPath" Target="https://coportal.sharepoint.com/sites/COSCOSpain/Shared%20Documents/Departments/M&amp;P/OB/01.%20TARIFFS/99.%20EXCEL%20TARIFAS/Pricing%20sheet%20work%20file%20Spain%20FAK%20G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G"/>
      <sheetName val="VLC"/>
      <sheetName val="BCN"/>
      <sheetName val="Combinar1"/>
      <sheetName val="Far East "/>
      <sheetName val="Middle East"/>
      <sheetName val="IPBC"/>
    </sheetNames>
    <sheetDataSet>
      <sheetData sheetId="0" refreshError="1"/>
      <sheetData sheetId="1" refreshError="1"/>
      <sheetData sheetId="2" refreshError="1"/>
      <sheetData sheetId="3" refreshError="1">
        <row r="1">
          <cell r="C1" t="str">
            <v>Destination</v>
          </cell>
          <cell r="D1" t="str">
            <v>TT.POD Code</v>
          </cell>
          <cell r="E1" t="str">
            <v>cuadro destinos.Country</v>
          </cell>
          <cell r="F1" t="str">
            <v>20' rate</v>
          </cell>
          <cell r="G1" t="str">
            <v>40' rate</v>
          </cell>
          <cell r="H1" t="str">
            <v>TT.Svc1</v>
          </cell>
          <cell r="I1" t="str">
            <v>TT.via1</v>
          </cell>
          <cell r="J1" t="str">
            <v>TT.TT</v>
          </cell>
          <cell r="K1" t="str">
            <v>BCN.20' rate</v>
          </cell>
          <cell r="L1" t="str">
            <v>BCN.40' rate</v>
          </cell>
          <cell r="M1" t="str">
            <v>BCN.TT.Svc1</v>
          </cell>
          <cell r="N1" t="str">
            <v>BCN.TT.via1</v>
          </cell>
          <cell r="O1" t="str">
            <v>BCN.TT.TT</v>
          </cell>
          <cell r="P1" t="str">
            <v>ALG.20' rate</v>
          </cell>
          <cell r="Q1" t="str">
            <v>ALG.40' rate</v>
          </cell>
          <cell r="R1" t="str">
            <v>ALG.TT.Svc1</v>
          </cell>
          <cell r="S1" t="str">
            <v>ALG.TT.via1</v>
          </cell>
          <cell r="T1" t="str">
            <v>ALG.TT.TT</v>
          </cell>
          <cell r="U1" t="str">
            <v>Columna1</v>
          </cell>
          <cell r="V1" t="str">
            <v>Columna2</v>
          </cell>
          <cell r="W1" t="str">
            <v>Columna3</v>
          </cell>
          <cell r="X1" t="str">
            <v>Surcharge Included</v>
          </cell>
        </row>
        <row r="2">
          <cell r="C2" t="str">
            <v>Sihanoukville</v>
          </cell>
          <cell r="D2" t="str">
            <v>KOS</v>
          </cell>
          <cell r="E2" t="str">
            <v>Cambodia</v>
          </cell>
          <cell r="F2">
            <v>265</v>
          </cell>
          <cell r="G2">
            <v>415</v>
          </cell>
          <cell r="H2" t="str">
            <v>AEM1</v>
          </cell>
          <cell r="I2" t="str">
            <v>SIN</v>
          </cell>
          <cell r="J2">
            <v>35</v>
          </cell>
          <cell r="K2">
            <v>265</v>
          </cell>
          <cell r="L2">
            <v>415</v>
          </cell>
          <cell r="M2" t="str">
            <v>AEM2</v>
          </cell>
          <cell r="N2" t="str">
            <v>PKG</v>
          </cell>
          <cell r="O2">
            <v>52</v>
          </cell>
          <cell r="P2">
            <v>265</v>
          </cell>
          <cell r="Q2">
            <v>415</v>
          </cell>
          <cell r="R2" t="str">
            <v>TSM</v>
          </cell>
          <cell r="S2" t="str">
            <v>PIR</v>
          </cell>
          <cell r="T2">
            <v>57</v>
          </cell>
          <cell r="U2" t="str">
            <v>BUC;CAS;ETS;FAF;HCS;PSF;SUZ;THC</v>
          </cell>
          <cell r="V2" t="str">
            <v>BUC;CAS;ETS;FAF;HCS;PSF;SUZ;THC</v>
          </cell>
          <cell r="W2" t="str">
            <v>BUC;CAS;ETS;FAF;HCS;PSF;SUZ;THC</v>
          </cell>
          <cell r="X2" t="str">
            <v>BUC;CAS;ETS;FAF;HCS;PSF;SUZ;THC</v>
          </cell>
        </row>
        <row r="3">
          <cell r="C3" t="str">
            <v>Inchon</v>
          </cell>
          <cell r="D3" t="str">
            <v>INC</v>
          </cell>
          <cell r="E3" t="str">
            <v>South Korea</v>
          </cell>
          <cell r="F3">
            <v>315</v>
          </cell>
          <cell r="G3">
            <v>615</v>
          </cell>
          <cell r="H3" t="str">
            <v>AEM1</v>
          </cell>
          <cell r="I3" t="str">
            <v>SHA</v>
          </cell>
          <cell r="J3">
            <v>50</v>
          </cell>
          <cell r="K3">
            <v>315</v>
          </cell>
          <cell r="L3">
            <v>615</v>
          </cell>
          <cell r="M3" t="str">
            <v>AEM2</v>
          </cell>
          <cell r="N3" t="str">
            <v>SHA</v>
          </cell>
          <cell r="O3">
            <v>61</v>
          </cell>
          <cell r="P3">
            <v>315</v>
          </cell>
          <cell r="Q3">
            <v>615</v>
          </cell>
          <cell r="R3" t="str">
            <v>TSM</v>
          </cell>
          <cell r="S3" t="str">
            <v>PIR</v>
          </cell>
          <cell r="T3">
            <v>59</v>
          </cell>
          <cell r="U3" t="str">
            <v>BUC;CAS;ETS;FAF;HCS;PSF;SUZ;THC</v>
          </cell>
          <cell r="V3" t="str">
            <v>BUC;CAS;ETS;FAF;HCS;PSF;SUZ;THC</v>
          </cell>
          <cell r="W3" t="str">
            <v>BUC;CAS;ETS;FAF;HCS;PSF;SUZ;THC</v>
          </cell>
          <cell r="X3" t="str">
            <v>BUC;CAS;ETS;FAF;HCS;PSF;SUZ;THC</v>
          </cell>
        </row>
        <row r="4">
          <cell r="C4" t="str">
            <v>Changsha</v>
          </cell>
          <cell r="D4" t="str">
            <v>CSX</v>
          </cell>
          <cell r="E4" t="str">
            <v>China</v>
          </cell>
          <cell r="F4">
            <v>165</v>
          </cell>
          <cell r="G4">
            <v>265</v>
          </cell>
          <cell r="H4" t="str">
            <v>AEM1</v>
          </cell>
          <cell r="I4" t="str">
            <v>SHA</v>
          </cell>
          <cell r="J4">
            <v>52</v>
          </cell>
          <cell r="K4">
            <v>165</v>
          </cell>
          <cell r="L4">
            <v>265</v>
          </cell>
          <cell r="M4" t="str">
            <v>AEM2</v>
          </cell>
          <cell r="N4" t="str">
            <v>SHA</v>
          </cell>
          <cell r="O4">
            <v>70</v>
          </cell>
          <cell r="U4" t="str">
            <v>BUC;CAS;ETS;FAF;HCS;PSF;SUZ;THC</v>
          </cell>
          <cell r="V4" t="str">
            <v>BUC;CAS;ETS;FAF;HCS;PSF;SUZ;THC</v>
          </cell>
          <cell r="X4" t="str">
            <v>BUC;CAS;ETS;FAF;HCS;PSF;SUZ;THC</v>
          </cell>
        </row>
        <row r="5">
          <cell r="C5" t="str">
            <v>Changshu</v>
          </cell>
          <cell r="D5" t="str">
            <v>CGU</v>
          </cell>
          <cell r="E5" t="str">
            <v>China</v>
          </cell>
          <cell r="F5">
            <v>115</v>
          </cell>
          <cell r="G5">
            <v>215</v>
          </cell>
          <cell r="H5" t="str">
            <v>AEM1</v>
          </cell>
          <cell r="I5" t="str">
            <v>SHA</v>
          </cell>
          <cell r="J5">
            <v>45</v>
          </cell>
          <cell r="K5">
            <v>115</v>
          </cell>
          <cell r="L5">
            <v>215</v>
          </cell>
          <cell r="M5" t="str">
            <v>AEM2</v>
          </cell>
          <cell r="N5" t="str">
            <v>SHA</v>
          </cell>
          <cell r="O5">
            <v>63</v>
          </cell>
          <cell r="U5" t="str">
            <v>BUC;CAS;ETS;FAF;HCS;PSF;SUZ;THC</v>
          </cell>
          <cell r="V5" t="str">
            <v>BUC;CAS;ETS;FAF;HCS;PSF;SUZ;THC</v>
          </cell>
          <cell r="X5" t="str">
            <v>BUC;CAS;ETS;FAF;HCS;PSF;SUZ;THC</v>
          </cell>
        </row>
        <row r="6">
          <cell r="C6" t="str">
            <v>Changzhou</v>
          </cell>
          <cell r="D6" t="str">
            <v>CZX</v>
          </cell>
          <cell r="E6" t="str">
            <v>China</v>
          </cell>
          <cell r="F6">
            <v>115</v>
          </cell>
          <cell r="G6">
            <v>215</v>
          </cell>
          <cell r="H6" t="str">
            <v>AEM1</v>
          </cell>
          <cell r="I6" t="str">
            <v>SHA</v>
          </cell>
          <cell r="J6">
            <v>46</v>
          </cell>
          <cell r="K6">
            <v>115</v>
          </cell>
          <cell r="L6">
            <v>215</v>
          </cell>
          <cell r="M6" t="str">
            <v>AEM2</v>
          </cell>
          <cell r="N6" t="str">
            <v>SHA</v>
          </cell>
          <cell r="O6">
            <v>61</v>
          </cell>
          <cell r="U6" t="str">
            <v>BUC;CAS;ETS;FAF;HCS;PSF;SUZ;THC</v>
          </cell>
          <cell r="V6" t="str">
            <v>BUC;CAS;ETS;FAF;HCS;PSF;SUZ;THC</v>
          </cell>
          <cell r="X6" t="str">
            <v>BUC;CAS;ETS;FAF;HCS;PSF;SUZ;THC</v>
          </cell>
        </row>
        <row r="7">
          <cell r="C7" t="str">
            <v>Fuzhou</v>
          </cell>
          <cell r="D7" t="str">
            <v>FOC</v>
          </cell>
          <cell r="E7" t="str">
            <v>China</v>
          </cell>
          <cell r="F7">
            <v>190</v>
          </cell>
          <cell r="G7">
            <v>365</v>
          </cell>
          <cell r="H7" t="str">
            <v>AEM1</v>
          </cell>
          <cell r="I7" t="str">
            <v>NGB</v>
          </cell>
          <cell r="J7">
            <v>46</v>
          </cell>
          <cell r="K7">
            <v>190</v>
          </cell>
          <cell r="L7">
            <v>365</v>
          </cell>
          <cell r="M7" t="str">
            <v>AEM2</v>
          </cell>
          <cell r="N7" t="str">
            <v>NGB</v>
          </cell>
          <cell r="O7">
            <v>65</v>
          </cell>
          <cell r="P7">
            <v>190</v>
          </cell>
          <cell r="Q7">
            <v>365</v>
          </cell>
          <cell r="R7" t="str">
            <v>TSM</v>
          </cell>
          <cell r="S7" t="str">
            <v>PIR</v>
          </cell>
          <cell r="T7">
            <v>55</v>
          </cell>
          <cell r="U7" t="str">
            <v>BUC;CAS;ETS;FAF;HCS;PSF;SUZ;THC</v>
          </cell>
          <cell r="V7" t="str">
            <v>BUC;CAS;ETS;FAF;HCS;PSF;SUZ;THC</v>
          </cell>
          <cell r="W7" t="str">
            <v>BUC;CAS;ETS;FAF;HCS;PSF;SUZ;THC</v>
          </cell>
          <cell r="X7" t="str">
            <v>BUC;CAS;ETS;FAF;HCS;PSF;SUZ;THC</v>
          </cell>
        </row>
        <row r="8">
          <cell r="C8" t="str">
            <v>Haikou</v>
          </cell>
          <cell r="D8" t="str">
            <v>HAK</v>
          </cell>
          <cell r="E8" t="str">
            <v>China</v>
          </cell>
          <cell r="F8">
            <v>165</v>
          </cell>
          <cell r="G8">
            <v>265</v>
          </cell>
          <cell r="H8" t="str">
            <v>AEM1</v>
          </cell>
          <cell r="I8" t="str">
            <v>HKG</v>
          </cell>
          <cell r="J8">
            <v>53</v>
          </cell>
          <cell r="K8">
            <v>165</v>
          </cell>
          <cell r="L8">
            <v>265</v>
          </cell>
          <cell r="M8" t="str">
            <v>AEM2</v>
          </cell>
          <cell r="N8" t="str">
            <v>NSH</v>
          </cell>
          <cell r="O8">
            <v>78</v>
          </cell>
          <cell r="P8">
            <v>165</v>
          </cell>
          <cell r="Q8">
            <v>265</v>
          </cell>
          <cell r="R8" t="str">
            <v>TSM</v>
          </cell>
          <cell r="S8" t="str">
            <v>PIR</v>
          </cell>
          <cell r="T8">
            <v>70</v>
          </cell>
          <cell r="U8" t="str">
            <v>BUC;CAS;ETS;FAF;HCS;PSF;SUZ;THC</v>
          </cell>
          <cell r="V8" t="str">
            <v>BUC;CAS;ETS;FAF;HCS;PSF;SUZ;THC</v>
          </cell>
          <cell r="W8" t="str">
            <v>BUC;CAS;ETS;FAF;HCS;PSF;SUZ;THC</v>
          </cell>
          <cell r="X8" t="str">
            <v>BUC;CAS;ETS;FAF;HCS;PSF;SUZ;THC</v>
          </cell>
        </row>
        <row r="9">
          <cell r="C9" t="str">
            <v>Nanjing</v>
          </cell>
          <cell r="D9" t="str">
            <v>NKG</v>
          </cell>
          <cell r="E9" t="str">
            <v>China</v>
          </cell>
          <cell r="F9">
            <v>115</v>
          </cell>
          <cell r="G9">
            <v>215</v>
          </cell>
          <cell r="H9" t="str">
            <v>AEM1</v>
          </cell>
          <cell r="I9" t="str">
            <v>SHA</v>
          </cell>
          <cell r="J9">
            <v>46</v>
          </cell>
          <cell r="K9">
            <v>115</v>
          </cell>
          <cell r="L9">
            <v>215</v>
          </cell>
          <cell r="M9" t="str">
            <v>AEM2</v>
          </cell>
          <cell r="N9" t="str">
            <v>SHA</v>
          </cell>
          <cell r="O9">
            <v>62</v>
          </cell>
          <cell r="U9" t="str">
            <v>BUC;CAS;ETS;FAF;HCS;PSF;SUZ;THC</v>
          </cell>
          <cell r="V9" t="str">
            <v>BUC;CAS;ETS;FAF;HCS;PSF;SUZ;THC</v>
          </cell>
          <cell r="X9" t="str">
            <v>BUC;CAS;ETS;FAF;HCS;PSF;SUZ;THC</v>
          </cell>
        </row>
        <row r="10">
          <cell r="C10" t="str">
            <v>Nantong</v>
          </cell>
          <cell r="D10" t="str">
            <v>NTG</v>
          </cell>
          <cell r="E10" t="str">
            <v>China</v>
          </cell>
          <cell r="F10">
            <v>115</v>
          </cell>
          <cell r="G10">
            <v>215</v>
          </cell>
          <cell r="H10" t="str">
            <v>AEM1</v>
          </cell>
          <cell r="I10" t="str">
            <v>SHA</v>
          </cell>
          <cell r="J10">
            <v>44</v>
          </cell>
          <cell r="K10">
            <v>115</v>
          </cell>
          <cell r="L10">
            <v>215</v>
          </cell>
          <cell r="M10" t="str">
            <v>AEM2</v>
          </cell>
          <cell r="N10" t="str">
            <v>SHA</v>
          </cell>
          <cell r="O10">
            <v>61</v>
          </cell>
          <cell r="U10" t="str">
            <v>BUC;CAS;ETS;FAF;HCS;PSF;SUZ;THC</v>
          </cell>
          <cell r="V10" t="str">
            <v>BUC;CAS;ETS;FAF;HCS;PSF;SUZ;THC</v>
          </cell>
          <cell r="X10" t="str">
            <v>BUC;CAS;ETS;FAF;HCS;PSF;SUZ;THC</v>
          </cell>
        </row>
        <row r="11">
          <cell r="C11" t="str">
            <v>Huangpu</v>
          </cell>
          <cell r="D11" t="str">
            <v>HUA</v>
          </cell>
          <cell r="E11" t="str">
            <v>China</v>
          </cell>
          <cell r="F11">
            <v>165</v>
          </cell>
          <cell r="G11">
            <v>265</v>
          </cell>
          <cell r="H11" t="str">
            <v>AEM1</v>
          </cell>
          <cell r="I11" t="str">
            <v>HKG</v>
          </cell>
          <cell r="J11">
            <v>52</v>
          </cell>
          <cell r="K11">
            <v>165</v>
          </cell>
          <cell r="L11">
            <v>265</v>
          </cell>
          <cell r="M11" t="str">
            <v>AEM2</v>
          </cell>
          <cell r="N11" t="str">
            <v>NSH</v>
          </cell>
          <cell r="O11">
            <v>69</v>
          </cell>
          <cell r="P11">
            <v>165</v>
          </cell>
          <cell r="Q11">
            <v>265</v>
          </cell>
          <cell r="R11" t="str">
            <v>TSM</v>
          </cell>
          <cell r="S11" t="str">
            <v>PIR</v>
          </cell>
          <cell r="T11">
            <v>65</v>
          </cell>
          <cell r="U11" t="str">
            <v>BUC;CAS;ETS;FAF;HCS;PSF;SUZ;THC</v>
          </cell>
          <cell r="V11" t="str">
            <v>BUC;CAS;ETS;FAF;HCS;PSF;SUZ;THC</v>
          </cell>
          <cell r="W11" t="str">
            <v>BUC;CAS;ETS;FAF;HCS;PSF;SUZ;THC</v>
          </cell>
          <cell r="X11" t="str">
            <v>BUC;CAS;ETS;FAF;HCS;PSF;SUZ;THC</v>
          </cell>
        </row>
        <row r="12">
          <cell r="C12" t="str">
            <v>Huangpu Old Port</v>
          </cell>
          <cell r="D12" t="str">
            <v>HPO</v>
          </cell>
          <cell r="E12" t="str">
            <v>China</v>
          </cell>
          <cell r="F12">
            <v>165</v>
          </cell>
          <cell r="G12">
            <v>265</v>
          </cell>
          <cell r="H12" t="str">
            <v>AEM1</v>
          </cell>
          <cell r="I12" t="str">
            <v>HKG</v>
          </cell>
          <cell r="J12">
            <v>53</v>
          </cell>
          <cell r="K12">
            <v>165</v>
          </cell>
          <cell r="L12">
            <v>265</v>
          </cell>
          <cell r="M12" t="str">
            <v>AEM2</v>
          </cell>
          <cell r="N12" t="str">
            <v>NSH</v>
          </cell>
          <cell r="O12">
            <v>66</v>
          </cell>
          <cell r="P12">
            <v>165</v>
          </cell>
          <cell r="Q12">
            <v>265</v>
          </cell>
          <cell r="R12" t="str">
            <v>TSM</v>
          </cell>
          <cell r="S12" t="str">
            <v>PIR</v>
          </cell>
          <cell r="T12">
            <v>65</v>
          </cell>
          <cell r="U12" t="str">
            <v>BUC;CAS;ETS;FAF;HCS;PSF;SUZ;THC</v>
          </cell>
          <cell r="V12" t="str">
            <v>BUC;CAS;ETS;FAF;HCS;PSF;SUZ;THC</v>
          </cell>
          <cell r="W12" t="str">
            <v>BUC;CAS;ETS;FAF;HCS;PSF;SUZ;THC</v>
          </cell>
          <cell r="X12" t="str">
            <v>BUC;CAS;ETS;FAF;HCS;PSF;SUZ;THC</v>
          </cell>
        </row>
        <row r="13">
          <cell r="C13" t="str">
            <v>Hai Phong</v>
          </cell>
          <cell r="D13" t="str">
            <v>HPH</v>
          </cell>
          <cell r="E13" t="str">
            <v>Vietnam</v>
          </cell>
          <cell r="F13">
            <v>140</v>
          </cell>
          <cell r="G13">
            <v>235</v>
          </cell>
          <cell r="H13" t="str">
            <v>AEM1</v>
          </cell>
          <cell r="I13" t="str">
            <v>HKG</v>
          </cell>
          <cell r="J13">
            <v>51</v>
          </cell>
          <cell r="K13">
            <v>140</v>
          </cell>
          <cell r="L13">
            <v>235</v>
          </cell>
          <cell r="M13" t="str">
            <v>AEM2</v>
          </cell>
          <cell r="N13" t="str">
            <v>PKG</v>
          </cell>
          <cell r="O13">
            <v>47</v>
          </cell>
          <cell r="P13">
            <v>140</v>
          </cell>
          <cell r="Q13">
            <v>235</v>
          </cell>
          <cell r="R13" t="str">
            <v>TSM</v>
          </cell>
          <cell r="S13" t="str">
            <v>PIR</v>
          </cell>
          <cell r="T13">
            <v>75</v>
          </cell>
          <cell r="U13" t="str">
            <v>BUC;CAS;ETS;FAF;HCS;PSF;SUZ;THC</v>
          </cell>
          <cell r="V13" t="str">
            <v>BUC;CAS;ETS;FAF;HCS;PSF;SUZ;THC</v>
          </cell>
          <cell r="W13" t="str">
            <v>BUC;CAS;ETS;FAF;HCS;PSF;SUZ;THC</v>
          </cell>
          <cell r="X13" t="str">
            <v>BUC;CAS;ETS;FAF;HCS;PSF;SUZ;THC</v>
          </cell>
        </row>
        <row r="14">
          <cell r="C14" t="str">
            <v>Lianyungang</v>
          </cell>
          <cell r="D14" t="str">
            <v>LYG</v>
          </cell>
          <cell r="E14" t="str">
            <v>China</v>
          </cell>
          <cell r="F14">
            <v>165</v>
          </cell>
          <cell r="G14">
            <v>315</v>
          </cell>
          <cell r="H14" t="str">
            <v>AEM1</v>
          </cell>
          <cell r="I14" t="str">
            <v>NGB</v>
          </cell>
          <cell r="J14">
            <v>54</v>
          </cell>
          <cell r="K14">
            <v>165</v>
          </cell>
          <cell r="L14">
            <v>315</v>
          </cell>
          <cell r="M14" t="str">
            <v>AEM2</v>
          </cell>
          <cell r="N14" t="str">
            <v>NGB</v>
          </cell>
          <cell r="O14">
            <v>72</v>
          </cell>
          <cell r="U14" t="str">
            <v>BUC;CAS;ETS;FAF;HCS;PSF;SUZ;THC</v>
          </cell>
          <cell r="V14" t="str">
            <v>BUC;CAS;ETS;FAF;HCS;PSF;SUZ;THC</v>
          </cell>
          <cell r="X14" t="str">
            <v>BUC;CAS;ETS;FAF;HCS;PSF;SUZ;THC</v>
          </cell>
        </row>
        <row r="15">
          <cell r="C15" t="str">
            <v>Taicang</v>
          </cell>
          <cell r="D15" t="str">
            <v>TAG</v>
          </cell>
          <cell r="E15" t="str">
            <v>China</v>
          </cell>
          <cell r="F15">
            <v>115</v>
          </cell>
          <cell r="G15">
            <v>215</v>
          </cell>
          <cell r="H15" t="str">
            <v>AEM1</v>
          </cell>
          <cell r="I15" t="str">
            <v>SHA</v>
          </cell>
          <cell r="J15">
            <v>43</v>
          </cell>
          <cell r="K15">
            <v>115</v>
          </cell>
          <cell r="L15">
            <v>215</v>
          </cell>
          <cell r="M15" t="str">
            <v>AEM2</v>
          </cell>
          <cell r="N15" t="str">
            <v>SHA</v>
          </cell>
          <cell r="O15">
            <v>59</v>
          </cell>
          <cell r="U15" t="str">
            <v>BUC;CAS;ETS;FAF;HCS;PSF;SUZ;THC</v>
          </cell>
          <cell r="V15" t="str">
            <v>BUC;CAS;ETS;FAF;HCS;PSF;SUZ;THC</v>
          </cell>
          <cell r="X15" t="str">
            <v>BUC;CAS;ETS;FAF;HCS;PSF;SUZ;THC</v>
          </cell>
        </row>
        <row r="16">
          <cell r="C16" t="str">
            <v>Weihai</v>
          </cell>
          <cell r="E16" t="str">
            <v>China</v>
          </cell>
          <cell r="K16">
            <v>190</v>
          </cell>
          <cell r="L16">
            <v>315</v>
          </cell>
          <cell r="M16" t="str">
            <v>AEM2</v>
          </cell>
          <cell r="N16" t="str">
            <v>TAO</v>
          </cell>
          <cell r="O16">
            <v>57</v>
          </cell>
          <cell r="V16" t="str">
            <v>BUC;CAS;ETS;FAF;HCS;PSF;SUZ;THC</v>
          </cell>
          <cell r="X16" t="str">
            <v>BUC;CAS;ETS;FAF;HCS;PSF;SUZ;THC</v>
          </cell>
        </row>
        <row r="17">
          <cell r="C17" t="str">
            <v>Wenzhou</v>
          </cell>
          <cell r="D17" t="str">
            <v>WNZ</v>
          </cell>
          <cell r="E17" t="str">
            <v>China</v>
          </cell>
          <cell r="F17">
            <v>215</v>
          </cell>
          <cell r="G17">
            <v>365</v>
          </cell>
          <cell r="H17" t="str">
            <v>AEM1</v>
          </cell>
          <cell r="I17" t="str">
            <v>NGB</v>
          </cell>
          <cell r="J17">
            <v>44</v>
          </cell>
          <cell r="K17">
            <v>215</v>
          </cell>
          <cell r="L17">
            <v>365</v>
          </cell>
          <cell r="M17" t="str">
            <v>AEM2</v>
          </cell>
          <cell r="N17" t="str">
            <v>NGB</v>
          </cell>
          <cell r="O17">
            <v>63</v>
          </cell>
          <cell r="P17">
            <v>215</v>
          </cell>
          <cell r="Q17">
            <v>365</v>
          </cell>
          <cell r="R17" t="str">
            <v>TSM</v>
          </cell>
          <cell r="S17" t="str">
            <v>PIR</v>
          </cell>
          <cell r="T17">
            <v>60</v>
          </cell>
          <cell r="U17" t="str">
            <v>BUC;CAS;ETS;FAF;HCS;PSF;SUZ;THC</v>
          </cell>
          <cell r="V17" t="str">
            <v>BUC;CAS;ETS;FAF;HCS;PSF;SUZ;THC</v>
          </cell>
          <cell r="W17" t="str">
            <v>BUC;CAS;ETS;FAF;HCS;PSF;SUZ;THC</v>
          </cell>
          <cell r="X17" t="str">
            <v>BUC;CAS;ETS;FAF;HCS;PSF;SUZ;THC</v>
          </cell>
        </row>
        <row r="18">
          <cell r="C18" t="str">
            <v>Wuhan</v>
          </cell>
          <cell r="D18" t="str">
            <v>WUH</v>
          </cell>
          <cell r="E18" t="str">
            <v>China</v>
          </cell>
          <cell r="F18">
            <v>165</v>
          </cell>
          <cell r="G18">
            <v>265</v>
          </cell>
          <cell r="H18" t="str">
            <v>AEM1</v>
          </cell>
          <cell r="I18" t="str">
            <v>SHA</v>
          </cell>
          <cell r="J18">
            <v>48</v>
          </cell>
          <cell r="K18">
            <v>165</v>
          </cell>
          <cell r="L18">
            <v>265</v>
          </cell>
          <cell r="M18" t="str">
            <v>AEM2</v>
          </cell>
          <cell r="N18" t="str">
            <v>SHA</v>
          </cell>
          <cell r="O18">
            <v>66</v>
          </cell>
          <cell r="P18">
            <v>165</v>
          </cell>
          <cell r="Q18">
            <v>265</v>
          </cell>
          <cell r="R18" t="str">
            <v>TSM</v>
          </cell>
          <cell r="S18" t="str">
            <v>PIR</v>
          </cell>
          <cell r="T18">
            <v>64</v>
          </cell>
          <cell r="U18" t="str">
            <v>BUC;CAS;ETS;FAF;HCS;PSF;SUZ;THC</v>
          </cell>
          <cell r="V18" t="str">
            <v>BUC;CAS;ETS;FAF;HCS;PSF;SUZ;THC</v>
          </cell>
          <cell r="W18" t="str">
            <v>BUC;CAS;ETS;FAF;HCS;PSF;SUZ;THC</v>
          </cell>
          <cell r="X18" t="str">
            <v>BUC;CAS;ETS;FAF;HCS;PSF;SUZ;THC</v>
          </cell>
        </row>
        <row r="19">
          <cell r="C19" t="str">
            <v>Yantai</v>
          </cell>
          <cell r="D19" t="str">
            <v>YNT</v>
          </cell>
          <cell r="E19" t="str">
            <v>China</v>
          </cell>
          <cell r="F19">
            <v>190</v>
          </cell>
          <cell r="G19">
            <v>365</v>
          </cell>
          <cell r="H19" t="str">
            <v>AEM1</v>
          </cell>
          <cell r="I19" t="str">
            <v>TAO</v>
          </cell>
          <cell r="J19">
            <v>43</v>
          </cell>
          <cell r="K19">
            <v>190</v>
          </cell>
          <cell r="L19">
            <v>365</v>
          </cell>
          <cell r="M19" t="str">
            <v>AEM2</v>
          </cell>
          <cell r="N19" t="str">
            <v>TAO</v>
          </cell>
          <cell r="O19">
            <v>55</v>
          </cell>
          <cell r="U19" t="str">
            <v>BUC;CAS;ETS;FAF;HCS;PSF;SUZ;THC</v>
          </cell>
          <cell r="V19" t="str">
            <v>BUC;CAS;ETS;FAF;HCS;PSF;SUZ;THC</v>
          </cell>
          <cell r="X19" t="str">
            <v>BUC;CAS;ETS;FAF;HCS;PSF;SUZ;THC</v>
          </cell>
        </row>
        <row r="20">
          <cell r="C20" t="str">
            <v>Zhangjiagang</v>
          </cell>
          <cell r="D20" t="str">
            <v>ZJG</v>
          </cell>
          <cell r="E20" t="str">
            <v>China</v>
          </cell>
          <cell r="F20">
            <v>115</v>
          </cell>
          <cell r="G20">
            <v>215</v>
          </cell>
          <cell r="H20" t="str">
            <v>AEM1</v>
          </cell>
          <cell r="I20" t="str">
            <v>SHA</v>
          </cell>
          <cell r="J20">
            <v>46</v>
          </cell>
          <cell r="K20">
            <v>115</v>
          </cell>
          <cell r="L20">
            <v>215</v>
          </cell>
          <cell r="M20" t="str">
            <v>AEM2</v>
          </cell>
          <cell r="N20" t="str">
            <v>SHA</v>
          </cell>
          <cell r="O20">
            <v>62</v>
          </cell>
          <cell r="U20" t="str">
            <v>BUC;CAS;ETS;FAF;HCS;PSF;SUZ;THC</v>
          </cell>
          <cell r="V20" t="str">
            <v>BUC;CAS;ETS;FAF;HCS;PSF;SUZ;THC</v>
          </cell>
          <cell r="X20" t="str">
            <v>BUC;CAS;ETS;FAF;HCS;PSF;SUZ;THC</v>
          </cell>
        </row>
        <row r="21">
          <cell r="C21" t="str">
            <v>Zhenjiang</v>
          </cell>
          <cell r="D21" t="str">
            <v>ZHE</v>
          </cell>
          <cell r="E21" t="str">
            <v>China</v>
          </cell>
          <cell r="F21">
            <v>115</v>
          </cell>
          <cell r="G21">
            <v>215</v>
          </cell>
          <cell r="H21" t="str">
            <v>AEM1</v>
          </cell>
          <cell r="I21" t="str">
            <v>SHA</v>
          </cell>
          <cell r="J21">
            <v>41</v>
          </cell>
          <cell r="K21">
            <v>115</v>
          </cell>
          <cell r="L21">
            <v>215</v>
          </cell>
          <cell r="M21" t="str">
            <v>AEM2</v>
          </cell>
          <cell r="N21" t="str">
            <v>SHA</v>
          </cell>
          <cell r="O21">
            <v>59</v>
          </cell>
          <cell r="U21" t="str">
            <v>BUC;CAS;ETS;FAF;HCS;PSF;SUZ;THC</v>
          </cell>
          <cell r="V21" t="str">
            <v>BUC;CAS;ETS;FAF;HCS;PSF;SUZ;THC</v>
          </cell>
          <cell r="X21" t="str">
            <v>BUC;CAS;ETS;FAF;HCS;PSF;SUZ;THC</v>
          </cell>
        </row>
        <row r="22">
          <cell r="C22" t="str">
            <v>Bahrain</v>
          </cell>
          <cell r="D22" t="str">
            <v>BAH</v>
          </cell>
          <cell r="E22" t="str">
            <v>Bahrain *</v>
          </cell>
          <cell r="F22">
            <v>750</v>
          </cell>
          <cell r="G22">
            <v>850</v>
          </cell>
          <cell r="H22" t="str">
            <v>AEM3</v>
          </cell>
          <cell r="I22" t="str">
            <v>PIR</v>
          </cell>
          <cell r="J22">
            <v>58</v>
          </cell>
          <cell r="K22">
            <v>750</v>
          </cell>
          <cell r="L22">
            <v>850</v>
          </cell>
          <cell r="M22" t="str">
            <v>TSM</v>
          </cell>
          <cell r="N22" t="str">
            <v>PIR</v>
          </cell>
          <cell r="O22">
            <v>55</v>
          </cell>
          <cell r="P22">
            <v>750</v>
          </cell>
          <cell r="Q22">
            <v>850</v>
          </cell>
          <cell r="R22" t="str">
            <v>EPI3</v>
          </cell>
          <cell r="S22" t="str">
            <v>KHL</v>
          </cell>
          <cell r="T22">
            <v>38</v>
          </cell>
          <cell r="U22" t="str">
            <v>BUC;FAF;HCS;SUZ;WRS</v>
          </cell>
          <cell r="V22" t="str">
            <v>BUC;FAF;HCS;SUZ;WRS</v>
          </cell>
          <cell r="W22" t="str">
            <v>BUC;FAF;HCS;SUZ;WRS</v>
          </cell>
          <cell r="X22" t="str">
            <v>BUC;FAF;HCS;SUZ;WRS</v>
          </cell>
        </row>
        <row r="23">
          <cell r="C23" t="str">
            <v>Jakarta</v>
          </cell>
          <cell r="D23" t="str">
            <v>JKT</v>
          </cell>
          <cell r="E23" t="str">
            <v>Indonesia</v>
          </cell>
          <cell r="F23">
            <v>190</v>
          </cell>
          <cell r="G23">
            <v>315</v>
          </cell>
          <cell r="H23" t="str">
            <v>AEM1</v>
          </cell>
          <cell r="I23" t="str">
            <v>SIN</v>
          </cell>
          <cell r="J23">
            <v>35</v>
          </cell>
          <cell r="K23">
            <v>190</v>
          </cell>
          <cell r="L23">
            <v>315</v>
          </cell>
          <cell r="M23" t="str">
            <v>AEM2</v>
          </cell>
          <cell r="N23" t="str">
            <v>PKG</v>
          </cell>
          <cell r="O23">
            <v>50</v>
          </cell>
          <cell r="P23">
            <v>190</v>
          </cell>
          <cell r="Q23">
            <v>315</v>
          </cell>
          <cell r="R23" t="str">
            <v>TSM</v>
          </cell>
          <cell r="S23" t="str">
            <v>PIR</v>
          </cell>
          <cell r="T23">
            <v>54</v>
          </cell>
          <cell r="U23" t="str">
            <v>BUC;CAS;ETS;FAF;HCS;PSF;SUZ;THC</v>
          </cell>
          <cell r="V23" t="str">
            <v>BUC;CAS;ETS;FAF;HCS;PSF;SUZ;THC</v>
          </cell>
          <cell r="W23" t="str">
            <v>BUC;CAS;ETS;FAF;HCS;PSF;SUZ;THC</v>
          </cell>
          <cell r="X23" t="str">
            <v>BUC;CAS;ETS;FAF;HCS;PSF;SUZ;THC</v>
          </cell>
        </row>
        <row r="24">
          <cell r="C24" t="str">
            <v>Semarang</v>
          </cell>
          <cell r="D24" t="str">
            <v>SRG</v>
          </cell>
          <cell r="E24" t="str">
            <v>Indonesia</v>
          </cell>
          <cell r="F24">
            <v>215</v>
          </cell>
          <cell r="G24">
            <v>315</v>
          </cell>
          <cell r="H24" t="str">
            <v>AEM1</v>
          </cell>
          <cell r="I24" t="str">
            <v>SIN</v>
          </cell>
          <cell r="J24">
            <v>34</v>
          </cell>
          <cell r="K24">
            <v>215</v>
          </cell>
          <cell r="L24">
            <v>315</v>
          </cell>
          <cell r="M24" t="str">
            <v>AEM2</v>
          </cell>
          <cell r="N24" t="str">
            <v>PKG</v>
          </cell>
          <cell r="O24">
            <v>47</v>
          </cell>
          <cell r="P24">
            <v>215</v>
          </cell>
          <cell r="Q24">
            <v>315</v>
          </cell>
          <cell r="R24" t="str">
            <v>TSM</v>
          </cell>
          <cell r="S24" t="str">
            <v>PIR</v>
          </cell>
          <cell r="T24">
            <v>52</v>
          </cell>
          <cell r="U24" t="str">
            <v>BUC;CAS;ETS;FAF;HCS;PSF;SUZ;THC</v>
          </cell>
          <cell r="V24" t="str">
            <v>BUC;CAS;ETS;FAF;HCS;PSF;SUZ;THC</v>
          </cell>
          <cell r="W24" t="str">
            <v>BUC;CAS;ETS;FAF;HCS;PSF;SUZ;THC</v>
          </cell>
          <cell r="X24" t="str">
            <v>BUC;CAS;ETS;FAF;HCS;PSF;SUZ;THC</v>
          </cell>
        </row>
        <row r="25">
          <cell r="C25" t="str">
            <v>Surabaya</v>
          </cell>
          <cell r="D25" t="str">
            <v>SUB</v>
          </cell>
          <cell r="E25" t="str">
            <v>Indonesia</v>
          </cell>
          <cell r="F25">
            <v>190</v>
          </cell>
          <cell r="G25">
            <v>315</v>
          </cell>
          <cell r="H25" t="str">
            <v>AEM1</v>
          </cell>
          <cell r="I25" t="str">
            <v>SIN</v>
          </cell>
          <cell r="J25">
            <v>36</v>
          </cell>
          <cell r="K25">
            <v>190</v>
          </cell>
          <cell r="L25">
            <v>315</v>
          </cell>
          <cell r="M25" t="str">
            <v>AEM2</v>
          </cell>
          <cell r="N25" t="str">
            <v>PKG</v>
          </cell>
          <cell r="O25">
            <v>47</v>
          </cell>
          <cell r="P25">
            <v>190</v>
          </cell>
          <cell r="Q25">
            <v>315</v>
          </cell>
          <cell r="R25" t="str">
            <v>TSM</v>
          </cell>
          <cell r="S25" t="str">
            <v>PIR</v>
          </cell>
          <cell r="T25">
            <v>52</v>
          </cell>
          <cell r="U25" t="str">
            <v>BUC;CAS;ETS;FAF;HCS;PSF;SUZ;THC</v>
          </cell>
          <cell r="V25" t="str">
            <v>BUC;CAS;ETS;FAF;HCS;PSF;SUZ;THC</v>
          </cell>
          <cell r="W25" t="str">
            <v>BUC;CAS;ETS;FAF;HCS;PSF;SUZ;THC</v>
          </cell>
          <cell r="X25" t="str">
            <v>BUC;CAS;ETS;FAF;HCS;PSF;SUZ;THC</v>
          </cell>
        </row>
        <row r="26">
          <cell r="C26" t="str">
            <v>Hakata</v>
          </cell>
          <cell r="D26" t="str">
            <v>HKT</v>
          </cell>
          <cell r="E26" t="str">
            <v>Japan</v>
          </cell>
          <cell r="F26">
            <v>115</v>
          </cell>
          <cell r="G26">
            <v>215</v>
          </cell>
          <cell r="H26" t="str">
            <v>AEM1</v>
          </cell>
          <cell r="I26" t="str">
            <v>SHA</v>
          </cell>
          <cell r="J26">
            <v>44</v>
          </cell>
          <cell r="K26">
            <v>115</v>
          </cell>
          <cell r="L26">
            <v>215</v>
          </cell>
          <cell r="M26" t="str">
            <v>AEM2</v>
          </cell>
          <cell r="N26" t="str">
            <v>SHA</v>
          </cell>
          <cell r="O26">
            <v>62</v>
          </cell>
          <cell r="P26">
            <v>115</v>
          </cell>
          <cell r="Q26">
            <v>215</v>
          </cell>
          <cell r="R26" t="str">
            <v>TSM</v>
          </cell>
          <cell r="S26" t="str">
            <v>PIR</v>
          </cell>
          <cell r="T26">
            <v>60</v>
          </cell>
          <cell r="U26" t="str">
            <v>BUC;CAS;ETS;FAF;HCS;PSF;SUZ;THC</v>
          </cell>
          <cell r="V26" t="str">
            <v>BUC;CAS;ETS;FAF;HCS;PSF;SUZ;THC</v>
          </cell>
          <cell r="W26" t="str">
            <v>BUC;CAS;ETS;FAF;HCS;PSF;SUZ;THC</v>
          </cell>
          <cell r="X26" t="str">
            <v>BUC;CAS;ETS;FAF;HCS;PSF;SUZ;THC</v>
          </cell>
        </row>
        <row r="27">
          <cell r="C27" t="str">
            <v>Kobe</v>
          </cell>
          <cell r="D27" t="str">
            <v>UKB</v>
          </cell>
          <cell r="E27" t="str">
            <v>Japan</v>
          </cell>
          <cell r="F27">
            <v>115</v>
          </cell>
          <cell r="G27">
            <v>215</v>
          </cell>
          <cell r="H27" t="str">
            <v>AEM1</v>
          </cell>
          <cell r="I27" t="str">
            <v>SHA</v>
          </cell>
          <cell r="J27">
            <v>47</v>
          </cell>
          <cell r="K27">
            <v>115</v>
          </cell>
          <cell r="L27">
            <v>215</v>
          </cell>
          <cell r="M27" t="str">
            <v>AEM2</v>
          </cell>
          <cell r="N27" t="str">
            <v>SHA</v>
          </cell>
          <cell r="O27">
            <v>62</v>
          </cell>
          <cell r="P27">
            <v>115</v>
          </cell>
          <cell r="Q27">
            <v>215</v>
          </cell>
          <cell r="R27" t="str">
            <v>TSM</v>
          </cell>
          <cell r="S27" t="str">
            <v>PIR</v>
          </cell>
          <cell r="T27">
            <v>60</v>
          </cell>
          <cell r="U27" t="str">
            <v>BUC;CAS;ETS;FAF;HCS;PSF;SUZ;THC</v>
          </cell>
          <cell r="V27" t="str">
            <v>BUC;CAS;ETS;FAF;HCS;PSF;SUZ;THC</v>
          </cell>
          <cell r="W27" t="str">
            <v>BUC;CAS;ETS;FAF;HCS;PSF;SUZ;THC</v>
          </cell>
          <cell r="X27" t="str">
            <v>BUC;CAS;ETS;FAF;HCS;PSF;SUZ;THC</v>
          </cell>
        </row>
        <row r="28">
          <cell r="C28" t="str">
            <v>Moji</v>
          </cell>
          <cell r="D28" t="str">
            <v>MOJ</v>
          </cell>
          <cell r="E28" t="str">
            <v>Japan</v>
          </cell>
          <cell r="F28">
            <v>115</v>
          </cell>
          <cell r="G28">
            <v>215</v>
          </cell>
          <cell r="H28" t="str">
            <v>AEM1</v>
          </cell>
          <cell r="I28" t="str">
            <v>SHA</v>
          </cell>
          <cell r="J28">
            <v>44</v>
          </cell>
          <cell r="K28">
            <v>115</v>
          </cell>
          <cell r="L28">
            <v>215</v>
          </cell>
          <cell r="M28" t="str">
            <v>AEM2</v>
          </cell>
          <cell r="N28" t="str">
            <v>SHA</v>
          </cell>
          <cell r="O28">
            <v>62</v>
          </cell>
          <cell r="P28">
            <v>115</v>
          </cell>
          <cell r="Q28">
            <v>215</v>
          </cell>
          <cell r="R28" t="str">
            <v>TSM</v>
          </cell>
          <cell r="S28" t="str">
            <v>PIR</v>
          </cell>
          <cell r="T28">
            <v>60</v>
          </cell>
          <cell r="U28" t="str">
            <v>BUC;CAS;ETS;FAF;HCS;PSF;SUZ;THC</v>
          </cell>
          <cell r="V28" t="str">
            <v>BUC;CAS;ETS;FAF;HCS;PSF;SUZ;THC</v>
          </cell>
          <cell r="W28" t="str">
            <v>BUC;CAS;ETS;FAF;HCS;PSF;SUZ;THC</v>
          </cell>
          <cell r="X28" t="str">
            <v>BUC;CAS;ETS;FAF;HCS;PSF;SUZ;THC</v>
          </cell>
        </row>
        <row r="29">
          <cell r="C29" t="str">
            <v>Nagoya</v>
          </cell>
          <cell r="D29" t="str">
            <v>NGO</v>
          </cell>
          <cell r="E29" t="str">
            <v>Japan</v>
          </cell>
          <cell r="F29">
            <v>115</v>
          </cell>
          <cell r="G29">
            <v>215</v>
          </cell>
          <cell r="H29" t="str">
            <v>AEM1</v>
          </cell>
          <cell r="I29" t="str">
            <v>SHA</v>
          </cell>
          <cell r="J29">
            <v>45</v>
          </cell>
          <cell r="K29">
            <v>115</v>
          </cell>
          <cell r="L29">
            <v>215</v>
          </cell>
          <cell r="M29" t="str">
            <v>AEM2</v>
          </cell>
          <cell r="N29" t="str">
            <v>SHA</v>
          </cell>
          <cell r="O29">
            <v>61</v>
          </cell>
          <cell r="P29">
            <v>115</v>
          </cell>
          <cell r="Q29">
            <v>215</v>
          </cell>
          <cell r="R29" t="str">
            <v>TSM</v>
          </cell>
          <cell r="S29" t="str">
            <v>PIR</v>
          </cell>
          <cell r="T29">
            <v>69</v>
          </cell>
          <cell r="U29" t="str">
            <v>BUC;CAS;ETS;FAF;HCS;PSF;SUZ;THC</v>
          </cell>
          <cell r="V29" t="str">
            <v>BUC;CAS;ETS;FAF;HCS;PSF;SUZ;THC</v>
          </cell>
          <cell r="W29" t="str">
            <v>BUC;CAS;ETS;FAF;HCS;PSF;SUZ;THC</v>
          </cell>
          <cell r="X29" t="str">
            <v>BUC;CAS;ETS;FAF;HCS;PSF;SUZ;THC</v>
          </cell>
        </row>
        <row r="30">
          <cell r="C30" t="str">
            <v>Osaka</v>
          </cell>
          <cell r="D30" t="str">
            <v>OSA</v>
          </cell>
          <cell r="E30" t="str">
            <v>Japan</v>
          </cell>
          <cell r="F30">
            <v>115</v>
          </cell>
          <cell r="G30">
            <v>215</v>
          </cell>
          <cell r="H30" t="str">
            <v>AEM3</v>
          </cell>
          <cell r="I30" t="str">
            <v>SHK</v>
          </cell>
          <cell r="J30">
            <v>67</v>
          </cell>
          <cell r="K30">
            <v>115</v>
          </cell>
          <cell r="L30">
            <v>215</v>
          </cell>
          <cell r="M30" t="str">
            <v>AEM2</v>
          </cell>
          <cell r="N30" t="str">
            <v>SHA</v>
          </cell>
          <cell r="O30">
            <v>65</v>
          </cell>
          <cell r="P30">
            <v>115</v>
          </cell>
          <cell r="Q30">
            <v>215</v>
          </cell>
          <cell r="R30" t="str">
            <v>TSM</v>
          </cell>
          <cell r="S30" t="str">
            <v>PIR</v>
          </cell>
          <cell r="T30">
            <v>67</v>
          </cell>
          <cell r="U30" t="str">
            <v>BUC;CAS;ETS;FAF;HCS;PSF;SUZ;THC</v>
          </cell>
          <cell r="V30" t="str">
            <v>BUC;CAS;ETS;FAF;HCS;PSF;SUZ;THC</v>
          </cell>
          <cell r="W30" t="str">
            <v>BUC;CAS;ETS;FAF;HCS;PSF;SUZ;THC</v>
          </cell>
          <cell r="X30" t="str">
            <v>BUC;CAS;ETS;FAF;HCS;PSF;SUZ;THC</v>
          </cell>
        </row>
        <row r="31">
          <cell r="C31" t="str">
            <v>Tokuyama</v>
          </cell>
          <cell r="D31" t="str">
            <v>TKY</v>
          </cell>
          <cell r="E31" t="str">
            <v>Japan</v>
          </cell>
          <cell r="F31">
            <v>265</v>
          </cell>
          <cell r="G31">
            <v>365</v>
          </cell>
          <cell r="H31" t="str">
            <v>AEM1</v>
          </cell>
          <cell r="I31" t="str">
            <v>SHA</v>
          </cell>
          <cell r="J31">
            <v>52</v>
          </cell>
          <cell r="K31">
            <v>265</v>
          </cell>
          <cell r="L31">
            <v>365</v>
          </cell>
          <cell r="M31" t="str">
            <v>AEM2</v>
          </cell>
          <cell r="N31" t="str">
            <v>SHA</v>
          </cell>
          <cell r="O31">
            <v>64</v>
          </cell>
          <cell r="P31">
            <v>265</v>
          </cell>
          <cell r="Q31">
            <v>365</v>
          </cell>
          <cell r="R31" t="str">
            <v>TSM</v>
          </cell>
          <cell r="S31" t="str">
            <v>PIR</v>
          </cell>
          <cell r="T31">
            <v>62</v>
          </cell>
          <cell r="U31" t="str">
            <v>BUC;CAS;ETS;FAF;HCS;PSF;SUZ;THC</v>
          </cell>
          <cell r="V31" t="str">
            <v>BUC;CAS;ETS;FAF;HCS;PSF;SUZ;THC</v>
          </cell>
          <cell r="W31" t="str">
            <v>BUC;CAS;ETS;FAF;HCS;PSF;SUZ;THC</v>
          </cell>
          <cell r="X31" t="str">
            <v>BUC;CAS;ETS;FAF;HCS;PSF;SUZ;THC</v>
          </cell>
        </row>
        <row r="32">
          <cell r="C32" t="str">
            <v>Tokyo</v>
          </cell>
          <cell r="D32" t="str">
            <v>TYO</v>
          </cell>
          <cell r="E32" t="str">
            <v>Japan</v>
          </cell>
          <cell r="F32">
            <v>115</v>
          </cell>
          <cell r="G32">
            <v>215</v>
          </cell>
          <cell r="H32" t="str">
            <v>AEM1</v>
          </cell>
          <cell r="I32" t="str">
            <v>SHA</v>
          </cell>
          <cell r="J32">
            <v>47</v>
          </cell>
          <cell r="K32">
            <v>115</v>
          </cell>
          <cell r="L32">
            <v>215</v>
          </cell>
          <cell r="M32" t="str">
            <v>AEM2</v>
          </cell>
          <cell r="N32" t="str">
            <v>SHA</v>
          </cell>
          <cell r="O32">
            <v>62</v>
          </cell>
          <cell r="P32">
            <v>115</v>
          </cell>
          <cell r="Q32">
            <v>215</v>
          </cell>
          <cell r="R32" t="str">
            <v>TSM</v>
          </cell>
          <cell r="S32" t="str">
            <v>PIR</v>
          </cell>
          <cell r="T32">
            <v>70</v>
          </cell>
          <cell r="U32" t="str">
            <v>BUC;CAS;ETS;FAF;HCS;PSF;SUZ;THC</v>
          </cell>
          <cell r="V32" t="str">
            <v>BUC;CAS;ETS;FAF;HCS;PSF;SUZ;THC</v>
          </cell>
          <cell r="W32" t="str">
            <v>BUC;CAS;ETS;FAF;HCS;PSF;SUZ;THC</v>
          </cell>
          <cell r="X32" t="str">
            <v>BUC;CAS;ETS;FAF;HCS;PSF;SUZ;THC</v>
          </cell>
        </row>
        <row r="33">
          <cell r="C33" t="str">
            <v>Yokohama</v>
          </cell>
          <cell r="D33" t="str">
            <v>YOK</v>
          </cell>
          <cell r="E33" t="str">
            <v>Japan</v>
          </cell>
          <cell r="F33">
            <v>115</v>
          </cell>
          <cell r="G33">
            <v>215</v>
          </cell>
          <cell r="H33" t="str">
            <v>AEM1</v>
          </cell>
          <cell r="I33" t="str">
            <v>SHA</v>
          </cell>
          <cell r="J33">
            <v>47</v>
          </cell>
          <cell r="K33">
            <v>115</v>
          </cell>
          <cell r="L33">
            <v>215</v>
          </cell>
          <cell r="M33" t="str">
            <v>AEM2</v>
          </cell>
          <cell r="N33" t="str">
            <v>SHA</v>
          </cell>
          <cell r="O33">
            <v>60</v>
          </cell>
          <cell r="P33">
            <v>115</v>
          </cell>
          <cell r="Q33">
            <v>215</v>
          </cell>
          <cell r="R33" t="str">
            <v>TSM</v>
          </cell>
          <cell r="S33" t="str">
            <v>PIR</v>
          </cell>
          <cell r="T33">
            <v>71</v>
          </cell>
          <cell r="U33" t="str">
            <v>BUC;CAS;ETS;FAF;HCS;PSF;SUZ;THC</v>
          </cell>
          <cell r="V33" t="str">
            <v>BUC;CAS;ETS;FAF;HCS;PSF;SUZ;THC</v>
          </cell>
          <cell r="W33" t="str">
            <v>BUC;CAS;ETS;FAF;HCS;PSF;SUZ;THC</v>
          </cell>
          <cell r="X33" t="str">
            <v>BUC;CAS;ETS;FAF;HCS;PSF;SUZ;THC</v>
          </cell>
        </row>
        <row r="34">
          <cell r="C34" t="str">
            <v>Kuantan</v>
          </cell>
          <cell r="E34" t="str">
            <v>Malaysia</v>
          </cell>
          <cell r="K34">
            <v>485</v>
          </cell>
          <cell r="L34">
            <v>895</v>
          </cell>
          <cell r="M34" t="str">
            <v>AEM2</v>
          </cell>
          <cell r="N34" t="str">
            <v>PKG</v>
          </cell>
          <cell r="O34">
            <v>52</v>
          </cell>
          <cell r="V34" t="str">
            <v>BUC;CAS;ETS;FAF;HCS;PSF;SUZ;THC</v>
          </cell>
          <cell r="X34" t="str">
            <v>BUC;CAS;ETS;FAF;HCS;PSF;SUZ;THC</v>
          </cell>
        </row>
        <row r="35">
          <cell r="C35" t="str">
            <v>Kuching</v>
          </cell>
          <cell r="D35" t="str">
            <v>KCH</v>
          </cell>
          <cell r="E35" t="str">
            <v>Malaysia</v>
          </cell>
          <cell r="F35">
            <v>530</v>
          </cell>
          <cell r="G35">
            <v>985</v>
          </cell>
          <cell r="H35" t="str">
            <v>AEM1</v>
          </cell>
          <cell r="I35" t="str">
            <v>SIN</v>
          </cell>
          <cell r="J35">
            <v>38</v>
          </cell>
          <cell r="K35">
            <v>530</v>
          </cell>
          <cell r="L35">
            <v>985</v>
          </cell>
          <cell r="M35" t="str">
            <v>AEM2</v>
          </cell>
          <cell r="N35" t="str">
            <v>PKG</v>
          </cell>
          <cell r="O35">
            <v>56</v>
          </cell>
          <cell r="U35" t="str">
            <v>BUC;CAS;ETS;FAF;HCS;PSF;SUZ;THC</v>
          </cell>
          <cell r="V35" t="str">
            <v>BUC;CAS;ETS;FAF;HCS;PSF;SUZ;THC</v>
          </cell>
          <cell r="X35" t="str">
            <v>BUC;CAS;ETS;FAF;HCS;PSF;SUZ;THC</v>
          </cell>
        </row>
        <row r="36">
          <cell r="C36" t="str">
            <v>Penang</v>
          </cell>
          <cell r="D36" t="str">
            <v>PEN</v>
          </cell>
          <cell r="E36" t="str">
            <v>Malaysia</v>
          </cell>
          <cell r="F36">
            <v>115</v>
          </cell>
          <cell r="G36">
            <v>215</v>
          </cell>
          <cell r="H36" t="str">
            <v>AEM1</v>
          </cell>
          <cell r="I36" t="str">
            <v>SIN</v>
          </cell>
          <cell r="J36">
            <v>32</v>
          </cell>
          <cell r="K36">
            <v>115</v>
          </cell>
          <cell r="L36">
            <v>215</v>
          </cell>
          <cell r="M36" t="str">
            <v>AEM2</v>
          </cell>
          <cell r="N36" t="str">
            <v>PKG</v>
          </cell>
          <cell r="O36">
            <v>44</v>
          </cell>
          <cell r="P36">
            <v>115</v>
          </cell>
          <cell r="Q36">
            <v>215</v>
          </cell>
          <cell r="R36" t="str">
            <v>TSM</v>
          </cell>
          <cell r="S36" t="str">
            <v>PIR</v>
          </cell>
          <cell r="T36">
            <v>48</v>
          </cell>
          <cell r="U36" t="str">
            <v>BUC;CAS;ETS;FAF;HCS;PSF;SUZ;THC</v>
          </cell>
          <cell r="V36" t="str">
            <v>BUC;CAS;ETS;FAF;HCS;PSF;SUZ;THC</v>
          </cell>
          <cell r="W36" t="str">
            <v>BUC;CAS;ETS;FAF;HCS;PSF;SUZ;THC</v>
          </cell>
          <cell r="X36" t="str">
            <v>BUC;CAS;ETS;FAF;HCS;PSF;SUZ;THC</v>
          </cell>
        </row>
        <row r="37">
          <cell r="C37" t="str">
            <v>Yangon</v>
          </cell>
          <cell r="D37" t="str">
            <v>RGN</v>
          </cell>
          <cell r="E37" t="str">
            <v>Myanmar</v>
          </cell>
          <cell r="F37">
            <v>265</v>
          </cell>
          <cell r="G37">
            <v>415</v>
          </cell>
          <cell r="H37" t="str">
            <v>AEM1</v>
          </cell>
          <cell r="I37" t="str">
            <v>SIN</v>
          </cell>
          <cell r="J37">
            <v>35</v>
          </cell>
          <cell r="K37">
            <v>265</v>
          </cell>
          <cell r="L37">
            <v>415</v>
          </cell>
          <cell r="M37" t="str">
            <v>AEM2</v>
          </cell>
          <cell r="N37" t="str">
            <v>PKG</v>
          </cell>
          <cell r="O37">
            <v>54</v>
          </cell>
          <cell r="P37">
            <v>265</v>
          </cell>
          <cell r="Q37">
            <v>415</v>
          </cell>
          <cell r="R37" t="str">
            <v>TSM</v>
          </cell>
          <cell r="S37" t="str">
            <v>PIR</v>
          </cell>
          <cell r="T37">
            <v>58</v>
          </cell>
          <cell r="U37" t="str">
            <v>BUC;CAS;ETS;FAF;HCS;PSF;SUZ;THC</v>
          </cell>
          <cell r="V37" t="str">
            <v>BUC;CAS;ETS;FAF;HCS;PSF;SUZ;THC</v>
          </cell>
          <cell r="W37" t="str">
            <v>BUC;CAS;ETS;FAF;HCS;PSF;SUZ;THC</v>
          </cell>
          <cell r="X37" t="str">
            <v>BUC;CAS;ETS;FAF;HCS;PSF;SUZ;THC</v>
          </cell>
        </row>
        <row r="38">
          <cell r="C38" t="str">
            <v>Kwangyang</v>
          </cell>
          <cell r="D38" t="str">
            <v>KAN</v>
          </cell>
          <cell r="E38" t="str">
            <v>South Korea</v>
          </cell>
          <cell r="F38">
            <v>235</v>
          </cell>
          <cell r="G38">
            <v>446</v>
          </cell>
          <cell r="H38" t="str">
            <v>AEM1</v>
          </cell>
          <cell r="I38" t="str">
            <v>SHA</v>
          </cell>
          <cell r="J38">
            <v>51</v>
          </cell>
          <cell r="K38">
            <v>235</v>
          </cell>
          <cell r="L38">
            <v>446</v>
          </cell>
          <cell r="M38" t="str">
            <v>AEM2</v>
          </cell>
          <cell r="N38" t="str">
            <v>SHA</v>
          </cell>
          <cell r="O38">
            <v>62</v>
          </cell>
          <cell r="U38" t="str">
            <v>BUC;CAS;ETS;FAF;HCS;PSF;SUZ;THC</v>
          </cell>
          <cell r="V38" t="str">
            <v>BUC;CAS;ETS;FAF;HCS;PSF;SUZ;THC</v>
          </cell>
          <cell r="X38" t="str">
            <v>BUC;CAS;ETS;FAF;HCS;PSF;SUZ;THC</v>
          </cell>
        </row>
        <row r="39">
          <cell r="C39" t="str">
            <v>Keelung</v>
          </cell>
          <cell r="D39" t="str">
            <v>KEL</v>
          </cell>
          <cell r="E39" t="str">
            <v>Taiwan</v>
          </cell>
          <cell r="F39">
            <v>115</v>
          </cell>
          <cell r="G39">
            <v>215</v>
          </cell>
          <cell r="H39" t="str">
            <v>AEM1</v>
          </cell>
          <cell r="I39" t="str">
            <v>SHA</v>
          </cell>
          <cell r="J39">
            <v>47</v>
          </cell>
          <cell r="K39">
            <v>115</v>
          </cell>
          <cell r="L39">
            <v>215</v>
          </cell>
          <cell r="M39" t="str">
            <v>AEM2</v>
          </cell>
          <cell r="N39" t="str">
            <v>SHA</v>
          </cell>
          <cell r="O39">
            <v>60</v>
          </cell>
          <cell r="P39">
            <v>115</v>
          </cell>
          <cell r="Q39">
            <v>215</v>
          </cell>
          <cell r="R39" t="str">
            <v>TSM</v>
          </cell>
          <cell r="S39" t="str">
            <v>PIR</v>
          </cell>
          <cell r="T39">
            <v>63</v>
          </cell>
          <cell r="U39" t="str">
            <v>BUC;CAS;ETS;FAF;HCS;PSF;SUZ;THC</v>
          </cell>
          <cell r="V39" t="str">
            <v>BUC;CAS;ETS;FAF;HCS;PSF;SUZ;THC</v>
          </cell>
          <cell r="W39" t="str">
            <v>BUC;CAS;ETS;FAF;HCS;PSF;SUZ;THC</v>
          </cell>
          <cell r="X39" t="str">
            <v>BUC;CAS;ETS;FAF;HCS;PSF;SUZ;THC</v>
          </cell>
        </row>
        <row r="40">
          <cell r="C40" t="str">
            <v>Bangkok</v>
          </cell>
          <cell r="D40" t="str">
            <v>BKK</v>
          </cell>
          <cell r="E40" t="str">
            <v>Thailand</v>
          </cell>
          <cell r="F40">
            <v>145</v>
          </cell>
          <cell r="G40">
            <v>235</v>
          </cell>
          <cell r="H40" t="str">
            <v>AEM1</v>
          </cell>
          <cell r="I40" t="str">
            <v>SIN</v>
          </cell>
          <cell r="J40">
            <v>34</v>
          </cell>
          <cell r="P40">
            <v>145</v>
          </cell>
          <cell r="Q40">
            <v>235</v>
          </cell>
          <cell r="R40" t="str">
            <v>TSM</v>
          </cell>
          <cell r="S40" t="str">
            <v>PIR</v>
          </cell>
          <cell r="T40">
            <v>57</v>
          </cell>
          <cell r="U40" t="str">
            <v>BUC;CAS;ETS;FAF;HCS;PSF;SUZ;THC</v>
          </cell>
          <cell r="W40" t="str">
            <v>BUC;CAS;ETS;FAF;HCS;PSF;SUZ;THC</v>
          </cell>
          <cell r="X40" t="str">
            <v>BUC;CAS;ETS;FAF;HCS;PSF;SUZ;THC</v>
          </cell>
        </row>
        <row r="41">
          <cell r="C41" t="str">
            <v>Laem Chabang</v>
          </cell>
          <cell r="D41" t="str">
            <v>LCH</v>
          </cell>
          <cell r="E41" t="str">
            <v>Thailand</v>
          </cell>
          <cell r="F41">
            <v>115</v>
          </cell>
          <cell r="G41">
            <v>215</v>
          </cell>
          <cell r="H41" t="str">
            <v>AEM1</v>
          </cell>
          <cell r="I41" t="str">
            <v>SIN</v>
          </cell>
          <cell r="J41">
            <v>35</v>
          </cell>
          <cell r="K41">
            <v>115</v>
          </cell>
          <cell r="L41">
            <v>215</v>
          </cell>
          <cell r="M41" t="str">
            <v>AEM2</v>
          </cell>
          <cell r="N41" t="str">
            <v>PKG</v>
          </cell>
          <cell r="O41">
            <v>49</v>
          </cell>
          <cell r="P41">
            <v>115</v>
          </cell>
          <cell r="Q41">
            <v>215</v>
          </cell>
          <cell r="R41" t="str">
            <v>TSM</v>
          </cell>
          <cell r="S41" t="str">
            <v>PIR</v>
          </cell>
          <cell r="T41">
            <v>54</v>
          </cell>
          <cell r="U41" t="str">
            <v>BUC;CAS;ETS;FAF;HCS;PSF;SUZ;THC</v>
          </cell>
          <cell r="V41" t="str">
            <v>BUC;CAS;ETS;FAF;HCS;PSF;SUZ;THC</v>
          </cell>
          <cell r="W41" t="str">
            <v>BUC;CAS;ETS;FAF;HCS;PSF;SUZ;THC</v>
          </cell>
          <cell r="X41" t="str">
            <v>BUC;CAS;ETS;FAF;HCS;PSF;SUZ;THC</v>
          </cell>
        </row>
        <row r="42">
          <cell r="C42" t="str">
            <v>Ho Chi Minh</v>
          </cell>
          <cell r="D42" t="str">
            <v>SGN</v>
          </cell>
          <cell r="E42" t="str">
            <v>Vietnam</v>
          </cell>
          <cell r="F42">
            <v>145</v>
          </cell>
          <cell r="G42">
            <v>235</v>
          </cell>
          <cell r="H42" t="str">
            <v>AEM1</v>
          </cell>
          <cell r="I42" t="str">
            <v>SIN</v>
          </cell>
          <cell r="J42">
            <v>34</v>
          </cell>
          <cell r="K42">
            <v>145</v>
          </cell>
          <cell r="L42">
            <v>235</v>
          </cell>
          <cell r="M42" t="str">
            <v>AEM2</v>
          </cell>
          <cell r="N42" t="str">
            <v>PKG</v>
          </cell>
          <cell r="O42">
            <v>49</v>
          </cell>
          <cell r="P42">
            <v>145</v>
          </cell>
          <cell r="Q42">
            <v>235</v>
          </cell>
          <cell r="R42" t="str">
            <v>TSM</v>
          </cell>
          <cell r="S42" t="str">
            <v>PIR</v>
          </cell>
          <cell r="T42">
            <v>59</v>
          </cell>
          <cell r="U42" t="str">
            <v>BUC;CAS;ETS;FAF;HCS;PSF;SUZ;THC</v>
          </cell>
          <cell r="V42" t="str">
            <v>BUC;CAS;ETS;FAF;HCS;PSF;SUZ;THC</v>
          </cell>
          <cell r="W42" t="str">
            <v>BUC;CAS;ETS;FAF;HCS;PSF;SUZ;THC</v>
          </cell>
          <cell r="X42" t="str">
            <v>BUC;CAS;ETS;FAF;HCS;PSF;SUZ;THC</v>
          </cell>
        </row>
        <row r="43">
          <cell r="C43" t="str">
            <v>Kaohsiung</v>
          </cell>
          <cell r="D43" t="str">
            <v>KHH</v>
          </cell>
          <cell r="E43" t="str">
            <v>Taiwan Base Port</v>
          </cell>
          <cell r="F43">
            <v>65</v>
          </cell>
          <cell r="G43">
            <v>115</v>
          </cell>
          <cell r="H43" t="str">
            <v>AEM1</v>
          </cell>
          <cell r="I43" t="str">
            <v>direct</v>
          </cell>
          <cell r="J43">
            <v>43</v>
          </cell>
          <cell r="K43">
            <v>65</v>
          </cell>
          <cell r="L43">
            <v>115</v>
          </cell>
          <cell r="M43" t="str">
            <v>AEM2</v>
          </cell>
          <cell r="N43" t="str">
            <v>SHA</v>
          </cell>
          <cell r="O43">
            <v>63</v>
          </cell>
          <cell r="P43">
            <v>65</v>
          </cell>
          <cell r="Q43">
            <v>115</v>
          </cell>
          <cell r="R43" t="str">
            <v>TSM</v>
          </cell>
          <cell r="S43" t="str">
            <v>PIR</v>
          </cell>
          <cell r="T43">
            <v>67</v>
          </cell>
          <cell r="U43" t="str">
            <v>BUC;CAS;ETS;FAF;HCS;PSF;SUZ;THC</v>
          </cell>
          <cell r="V43" t="str">
            <v>BUC;CAS;ETS;FAF;HCS;PSF;SUZ;THC</v>
          </cell>
          <cell r="W43" t="str">
            <v>BUC;CAS;ETS;FAF;HCS;PSF;SUZ;THC</v>
          </cell>
          <cell r="X43" t="str">
            <v>BUC;CAS;ETS;FAF;HCS;PSF;SUZ;THC</v>
          </cell>
        </row>
        <row r="44">
          <cell r="C44" t="str">
            <v>Umm Qasar North</v>
          </cell>
          <cell r="D44" t="str">
            <v>UQR</v>
          </cell>
          <cell r="E44" t="str">
            <v>Iraq</v>
          </cell>
          <cell r="F44">
            <v>950</v>
          </cell>
          <cell r="G44">
            <v>1150</v>
          </cell>
          <cell r="H44" t="str">
            <v>AEM3</v>
          </cell>
          <cell r="I44" t="str">
            <v>JEA</v>
          </cell>
          <cell r="J44">
            <v>50</v>
          </cell>
          <cell r="K44">
            <v>950</v>
          </cell>
          <cell r="L44">
            <v>1150</v>
          </cell>
          <cell r="M44" t="str">
            <v>TSM</v>
          </cell>
          <cell r="N44" t="str">
            <v>JEA</v>
          </cell>
          <cell r="O44">
            <v>48</v>
          </cell>
          <cell r="P44">
            <v>950</v>
          </cell>
          <cell r="Q44">
            <v>1150</v>
          </cell>
          <cell r="R44" t="str">
            <v>EPI3</v>
          </cell>
          <cell r="S44" t="str">
            <v>KHL</v>
          </cell>
          <cell r="T44">
            <v>32</v>
          </cell>
          <cell r="U44" t="str">
            <v>BUC;FAF;HCS;SUZ;WRS</v>
          </cell>
          <cell r="V44" t="str">
            <v>BUC;FAF;HCS;SUZ;WRS</v>
          </cell>
          <cell r="W44" t="str">
            <v>BUC;FAF;HCS;SUZ;WRS</v>
          </cell>
          <cell r="X44" t="str">
            <v>BUC;FAF;HCS;SUZ;WRS</v>
          </cell>
        </row>
        <row r="45">
          <cell r="C45" t="str">
            <v>Ajman</v>
          </cell>
          <cell r="D45" t="str">
            <v>AJM</v>
          </cell>
          <cell r="E45" t="str">
            <v>United Arab Emirates *</v>
          </cell>
          <cell r="F45">
            <v>650</v>
          </cell>
          <cell r="G45">
            <v>750</v>
          </cell>
          <cell r="H45" t="str">
            <v>AEM3</v>
          </cell>
          <cell r="I45" t="str">
            <v>JEA</v>
          </cell>
          <cell r="J45">
            <v>50</v>
          </cell>
          <cell r="K45">
            <v>650</v>
          </cell>
          <cell r="L45">
            <v>750</v>
          </cell>
          <cell r="M45" t="str">
            <v>TSM</v>
          </cell>
          <cell r="N45" t="str">
            <v>JEA</v>
          </cell>
          <cell r="O45">
            <v>48</v>
          </cell>
          <cell r="P45">
            <v>650</v>
          </cell>
          <cell r="Q45">
            <v>750</v>
          </cell>
          <cell r="R45" t="str">
            <v>EPI3</v>
          </cell>
          <cell r="S45" t="str">
            <v>KHL</v>
          </cell>
          <cell r="T45">
            <v>34</v>
          </cell>
          <cell r="U45" t="str">
            <v>BUC;FAF;HCS;SUZ;WRS</v>
          </cell>
          <cell r="V45" t="str">
            <v>BUC;FAF;HCS;SUZ;WRS</v>
          </cell>
          <cell r="W45" t="str">
            <v>BUC;FAF;HCS;SUZ;WRS</v>
          </cell>
          <cell r="X45" t="str">
            <v>BUC;FAF;HCS;SUZ;WRS</v>
          </cell>
        </row>
        <row r="46">
          <cell r="C46" t="str">
            <v>Djibouti</v>
          </cell>
          <cell r="E46" t="str">
            <v>Djibouti </v>
          </cell>
        </row>
        <row r="47">
          <cell r="C47" t="str">
            <v>Shuaiba</v>
          </cell>
          <cell r="E47" t="str">
            <v>Kuwait *</v>
          </cell>
          <cell r="K47">
            <v>700</v>
          </cell>
          <cell r="L47">
            <v>850</v>
          </cell>
          <cell r="M47" t="str">
            <v>TSM</v>
          </cell>
          <cell r="N47" t="str">
            <v>KHL</v>
          </cell>
          <cell r="O47">
            <v>53</v>
          </cell>
          <cell r="P47">
            <v>700</v>
          </cell>
          <cell r="Q47">
            <v>850</v>
          </cell>
          <cell r="R47" t="str">
            <v>EPI3</v>
          </cell>
          <cell r="S47" t="str">
            <v>KHL</v>
          </cell>
          <cell r="T47">
            <v>37</v>
          </cell>
          <cell r="V47" t="str">
            <v>BUC;FAF;HCS;SUZ;WRS</v>
          </cell>
          <cell r="W47" t="str">
            <v>BUC;FAF;HCS;SUZ;WRS</v>
          </cell>
          <cell r="X47" t="str">
            <v>BUC;FAF;HCS;SUZ;WRS</v>
          </cell>
        </row>
        <row r="48">
          <cell r="C48" t="str">
            <v>Shuwaikh</v>
          </cell>
          <cell r="D48" t="str">
            <v>SWK</v>
          </cell>
          <cell r="E48" t="str">
            <v>Kuwait *</v>
          </cell>
          <cell r="F48">
            <v>700</v>
          </cell>
          <cell r="G48">
            <v>850</v>
          </cell>
          <cell r="H48" t="str">
            <v>AEM3</v>
          </cell>
          <cell r="I48" t="str">
            <v>KHL</v>
          </cell>
          <cell r="J48">
            <v>55</v>
          </cell>
          <cell r="P48">
            <v>700</v>
          </cell>
          <cell r="Q48">
            <v>850</v>
          </cell>
          <cell r="R48" t="str">
            <v>EPI3</v>
          </cell>
          <cell r="S48" t="str">
            <v>KHL</v>
          </cell>
          <cell r="T48">
            <v>37</v>
          </cell>
          <cell r="U48" t="str">
            <v>BUC;FAF;HCS;SUZ;WRS</v>
          </cell>
          <cell r="W48" t="str">
            <v>BUC;FAF;HCS;SUZ;WRS</v>
          </cell>
          <cell r="X48" t="str">
            <v>BUC;FAF;HCS;SUZ;WRS</v>
          </cell>
        </row>
        <row r="49">
          <cell r="C49" t="str">
            <v>Sohar</v>
          </cell>
          <cell r="D49" t="str">
            <v>SOH</v>
          </cell>
          <cell r="E49" t="str">
            <v>Oman *</v>
          </cell>
          <cell r="F49">
            <v>700</v>
          </cell>
          <cell r="G49">
            <v>850</v>
          </cell>
          <cell r="H49" t="str">
            <v>AEM3</v>
          </cell>
          <cell r="I49" t="str">
            <v>JEA</v>
          </cell>
          <cell r="J49">
            <v>50</v>
          </cell>
          <cell r="K49">
            <v>700</v>
          </cell>
          <cell r="L49">
            <v>850</v>
          </cell>
          <cell r="M49" t="str">
            <v>TSM</v>
          </cell>
          <cell r="N49" t="str">
            <v>JEA</v>
          </cell>
          <cell r="O49">
            <v>48</v>
          </cell>
          <cell r="P49">
            <v>700</v>
          </cell>
          <cell r="Q49">
            <v>850</v>
          </cell>
          <cell r="R49" t="str">
            <v>EPI3</v>
          </cell>
          <cell r="S49" t="str">
            <v>KHL</v>
          </cell>
          <cell r="T49">
            <v>32</v>
          </cell>
          <cell r="U49" t="str">
            <v>BUC;FAF;HCS;SUZ;WRS</v>
          </cell>
          <cell r="V49" t="str">
            <v>BUC;FAF;HCS;SUZ;WRS</v>
          </cell>
          <cell r="W49" t="str">
            <v>BUC;FAF;HCS;SUZ;WRS</v>
          </cell>
          <cell r="X49" t="str">
            <v>BUC;FAF;HCS;SUZ;WRS</v>
          </cell>
        </row>
        <row r="50">
          <cell r="C50" t="str">
            <v>Dammam</v>
          </cell>
          <cell r="D50" t="str">
            <v>DMN</v>
          </cell>
          <cell r="E50" t="str">
            <v>Saudi Arabia *</v>
          </cell>
          <cell r="F50">
            <v>600</v>
          </cell>
          <cell r="G50">
            <v>600</v>
          </cell>
          <cell r="H50" t="str">
            <v>AEM3</v>
          </cell>
          <cell r="I50" t="str">
            <v>PIR</v>
          </cell>
          <cell r="J50">
            <v>52</v>
          </cell>
          <cell r="K50">
            <v>600</v>
          </cell>
          <cell r="L50">
            <v>600</v>
          </cell>
          <cell r="M50" t="str">
            <v>TSM</v>
          </cell>
          <cell r="N50" t="str">
            <v>PIR</v>
          </cell>
          <cell r="O50">
            <v>50</v>
          </cell>
          <cell r="P50">
            <v>600</v>
          </cell>
          <cell r="Q50">
            <v>600</v>
          </cell>
          <cell r="R50" t="str">
            <v>EPI3</v>
          </cell>
          <cell r="S50" t="str">
            <v>KHL</v>
          </cell>
          <cell r="T50">
            <v>36</v>
          </cell>
          <cell r="U50" t="str">
            <v>BUC;FAF;HCS;SUZ;WRS</v>
          </cell>
          <cell r="V50" t="str">
            <v>BUC;FAF;HCS;SUZ;WRS</v>
          </cell>
          <cell r="W50" t="str">
            <v>BUC;FAF;HCS;SUZ;WRS</v>
          </cell>
          <cell r="X50" t="str">
            <v>BUC;FAF;HCS;SUZ;WRS</v>
          </cell>
        </row>
        <row r="51">
          <cell r="C51" t="str">
            <v>Riyadh</v>
          </cell>
          <cell r="D51" t="str">
            <v>RUH</v>
          </cell>
          <cell r="E51" t="str">
            <v>Saudi Arabia *</v>
          </cell>
          <cell r="H51" t="str">
            <v>AEM3</v>
          </cell>
          <cell r="I51" t="str">
            <v>DMN</v>
          </cell>
          <cell r="J51">
            <v>64</v>
          </cell>
          <cell r="M51" t="str">
            <v>TSM</v>
          </cell>
          <cell r="N51" t="str">
            <v>DMN</v>
          </cell>
          <cell r="O51">
            <v>62</v>
          </cell>
          <cell r="R51" t="str">
            <v>EPI3</v>
          </cell>
          <cell r="S51" t="str">
            <v>DMN</v>
          </cell>
          <cell r="T51">
            <v>48</v>
          </cell>
        </row>
        <row r="52">
          <cell r="C52" t="str">
            <v>Jubail</v>
          </cell>
          <cell r="E52" t="str">
            <v>Saudi Arabia *</v>
          </cell>
        </row>
        <row r="53">
          <cell r="C53" t="str">
            <v>Khalifa Port</v>
          </cell>
          <cell r="D53" t="str">
            <v>KHL</v>
          </cell>
          <cell r="E53" t="str">
            <v>United Arab Emirates *</v>
          </cell>
          <cell r="F53">
            <v>550</v>
          </cell>
          <cell r="G53">
            <v>550</v>
          </cell>
          <cell r="H53" t="str">
            <v>AEM3</v>
          </cell>
          <cell r="I53" t="str">
            <v>PIR</v>
          </cell>
          <cell r="J53">
            <v>39</v>
          </cell>
          <cell r="K53">
            <v>550</v>
          </cell>
          <cell r="L53">
            <v>550</v>
          </cell>
          <cell r="M53" t="str">
            <v>TSM</v>
          </cell>
          <cell r="N53" t="str">
            <v>PIR</v>
          </cell>
          <cell r="O53">
            <v>37</v>
          </cell>
          <cell r="P53">
            <v>450</v>
          </cell>
          <cell r="Q53">
            <v>450</v>
          </cell>
          <cell r="R53" t="str">
            <v>EPI3</v>
          </cell>
          <cell r="S53" t="str">
            <v>direct</v>
          </cell>
          <cell r="T53">
            <v>28</v>
          </cell>
          <cell r="U53" t="str">
            <v>BUC;FAF;HCS;SUZ;WRS</v>
          </cell>
          <cell r="V53" t="str">
            <v>BUC;FAF;HCS;SUZ;WRS</v>
          </cell>
          <cell r="W53" t="str">
            <v>BUC;FAF;HCS;SUZ;WRS</v>
          </cell>
          <cell r="X53" t="str">
            <v>BUC;FAF;HCS;SUZ;WRS</v>
          </cell>
        </row>
        <row r="54">
          <cell r="C54" t="str">
            <v>Ras Al Khaimah</v>
          </cell>
          <cell r="D54" t="str">
            <v>RKT</v>
          </cell>
          <cell r="E54" t="str">
            <v>United Arab Emirates *</v>
          </cell>
          <cell r="F54">
            <v>700</v>
          </cell>
          <cell r="G54">
            <v>850</v>
          </cell>
          <cell r="H54" t="str">
            <v>AEM3</v>
          </cell>
          <cell r="I54" t="str">
            <v>JEA</v>
          </cell>
          <cell r="J54">
            <v>50</v>
          </cell>
          <cell r="K54">
            <v>700</v>
          </cell>
          <cell r="L54">
            <v>850</v>
          </cell>
          <cell r="M54" t="str">
            <v>TSM</v>
          </cell>
          <cell r="N54" t="str">
            <v>JEA</v>
          </cell>
          <cell r="O54">
            <v>48</v>
          </cell>
          <cell r="P54">
            <v>700</v>
          </cell>
          <cell r="Q54">
            <v>850</v>
          </cell>
          <cell r="R54" t="str">
            <v>EPI3</v>
          </cell>
          <cell r="S54" t="str">
            <v>JEA</v>
          </cell>
          <cell r="T54">
            <v>38</v>
          </cell>
          <cell r="U54" t="str">
            <v>BUC;FAF;HCS;SUZ;WRS</v>
          </cell>
          <cell r="V54" t="str">
            <v>BUC;FAF;HCS;SUZ;WRS</v>
          </cell>
          <cell r="W54" t="str">
            <v>BUC;FAF;HCS;SUZ;WRS</v>
          </cell>
          <cell r="X54" t="str">
            <v>BUC;FAF;HCS;SUZ;WRS</v>
          </cell>
        </row>
        <row r="55">
          <cell r="C55" t="str">
            <v>Sharjah</v>
          </cell>
          <cell r="D55" t="str">
            <v>SHJ</v>
          </cell>
          <cell r="E55" t="str">
            <v>United Arab Emirates *</v>
          </cell>
          <cell r="F55">
            <v>650</v>
          </cell>
          <cell r="G55">
            <v>750</v>
          </cell>
          <cell r="H55" t="str">
            <v>AEM3</v>
          </cell>
          <cell r="I55" t="str">
            <v>PIR</v>
          </cell>
          <cell r="J55">
            <v>56</v>
          </cell>
          <cell r="K55">
            <v>650</v>
          </cell>
          <cell r="L55">
            <v>750</v>
          </cell>
          <cell r="M55" t="str">
            <v>TSM</v>
          </cell>
          <cell r="N55" t="str">
            <v>PIR</v>
          </cell>
          <cell r="O55">
            <v>53</v>
          </cell>
          <cell r="P55">
            <v>650</v>
          </cell>
          <cell r="Q55">
            <v>750</v>
          </cell>
          <cell r="R55" t="str">
            <v>EPI3</v>
          </cell>
          <cell r="S55" t="str">
            <v>KHL</v>
          </cell>
          <cell r="T55">
            <v>33</v>
          </cell>
          <cell r="U55" t="str">
            <v>BUC;FAF;HCS;SUZ;WRS</v>
          </cell>
          <cell r="V55" t="str">
            <v>BUC;FAF;HCS;SUZ;WRS</v>
          </cell>
          <cell r="W55" t="str">
            <v>BUC;FAF;HCS;SUZ;WRS</v>
          </cell>
          <cell r="X55" t="str">
            <v>BUC;FAF;HCS;SUZ;WRS</v>
          </cell>
        </row>
        <row r="56">
          <cell r="C56" t="str">
            <v>Hamad</v>
          </cell>
          <cell r="D56" t="str">
            <v>HMD</v>
          </cell>
          <cell r="E56" t="str">
            <v>Qatar *</v>
          </cell>
          <cell r="F56">
            <v>550</v>
          </cell>
          <cell r="G56">
            <v>650</v>
          </cell>
          <cell r="H56" t="str">
            <v>AEM3</v>
          </cell>
          <cell r="I56" t="str">
            <v>PIR</v>
          </cell>
          <cell r="J56">
            <v>59</v>
          </cell>
          <cell r="K56">
            <v>550</v>
          </cell>
          <cell r="L56">
            <v>650</v>
          </cell>
          <cell r="M56" t="str">
            <v>TSM</v>
          </cell>
          <cell r="N56" t="str">
            <v>PIR</v>
          </cell>
          <cell r="O56">
            <v>57</v>
          </cell>
          <cell r="P56">
            <v>550</v>
          </cell>
          <cell r="Q56">
            <v>650</v>
          </cell>
          <cell r="R56" t="str">
            <v>EPI3</v>
          </cell>
          <cell r="S56" t="str">
            <v>KHL</v>
          </cell>
          <cell r="T56">
            <v>36</v>
          </cell>
          <cell r="U56" t="str">
            <v>BUC;FAF;HCS;SUZ;WRS</v>
          </cell>
          <cell r="V56" t="str">
            <v>BUC;FAF;HCS;SUZ;WRS</v>
          </cell>
          <cell r="W56" t="str">
            <v>BUC;FAF;HCS;SUZ;WRS</v>
          </cell>
          <cell r="X56" t="str">
            <v>BUC;FAF;HCS;SUZ;WRS</v>
          </cell>
        </row>
        <row r="57">
          <cell r="C57" t="str">
            <v>Karachi</v>
          </cell>
          <cell r="D57" t="str">
            <v>KHI</v>
          </cell>
          <cell r="E57" t="str">
            <v>Pakistan</v>
          </cell>
          <cell r="F57">
            <v>450</v>
          </cell>
          <cell r="G57">
            <v>450</v>
          </cell>
          <cell r="H57" t="str">
            <v>AEM1</v>
          </cell>
          <cell r="I57" t="str">
            <v>SIN</v>
          </cell>
          <cell r="J57">
            <v>50</v>
          </cell>
          <cell r="K57">
            <v>450</v>
          </cell>
          <cell r="L57">
            <v>450</v>
          </cell>
          <cell r="M57" t="str">
            <v>AEM2</v>
          </cell>
          <cell r="N57" t="str">
            <v>PKG</v>
          </cell>
          <cell r="O57">
            <v>53</v>
          </cell>
          <cell r="P57">
            <v>450</v>
          </cell>
          <cell r="Q57">
            <v>450</v>
          </cell>
          <cell r="R57" t="str">
            <v>EPI3</v>
          </cell>
          <cell r="S57" t="str">
            <v>direct</v>
          </cell>
          <cell r="T57">
            <v>34</v>
          </cell>
          <cell r="U57" t="str">
            <v>BUC;FAF;HCS;SUZ</v>
          </cell>
          <cell r="V57" t="str">
            <v>BUC;FAF;HCS;SUZ</v>
          </cell>
          <cell r="W57" t="str">
            <v>BUC;FAF;HCS;SUZ</v>
          </cell>
          <cell r="X57" t="str">
            <v>BUC;FAF;HCS;SUZ</v>
          </cell>
        </row>
        <row r="58">
          <cell r="C58" t="str">
            <v>Chittagong</v>
          </cell>
          <cell r="D58" t="str">
            <v>CGP</v>
          </cell>
          <cell r="E58" t="str">
            <v>Bangladesh</v>
          </cell>
          <cell r="F58">
            <v>1635</v>
          </cell>
          <cell r="G58">
            <v>1635</v>
          </cell>
          <cell r="H58" t="str">
            <v>AEM3</v>
          </cell>
          <cell r="I58" t="str">
            <v>PKG</v>
          </cell>
          <cell r="J58">
            <v>49</v>
          </cell>
          <cell r="K58">
            <v>1635</v>
          </cell>
          <cell r="L58">
            <v>1635</v>
          </cell>
          <cell r="M58" t="str">
            <v>AEM2</v>
          </cell>
          <cell r="N58" t="str">
            <v>PKG</v>
          </cell>
          <cell r="O58">
            <v>46</v>
          </cell>
          <cell r="P58">
            <v>715</v>
          </cell>
          <cell r="Q58">
            <v>1415</v>
          </cell>
          <cell r="R58" t="str">
            <v>TSM</v>
          </cell>
          <cell r="S58" t="str">
            <v>PIR</v>
          </cell>
          <cell r="T58">
            <v>50</v>
          </cell>
          <cell r="U58" t="str">
            <v>BUC;FAF;HCS;SUZ;THC</v>
          </cell>
          <cell r="V58" t="str">
            <v>BUC;FAF;HCS;SUZ;THC</v>
          </cell>
          <cell r="W58" t="str">
            <v>BUC;CAS;ETS;FAF;HCS;PSF;SUZ;THC</v>
          </cell>
        </row>
        <row r="59">
          <cell r="C59" t="str">
            <v>Kochi</v>
          </cell>
          <cell r="E59" t="str">
            <v>India</v>
          </cell>
        </row>
        <row r="60">
          <cell r="C60" t="str">
            <v>Qinzhou</v>
          </cell>
          <cell r="D60" t="str">
            <v>QZH</v>
          </cell>
          <cell r="E60" t="str">
            <v>China</v>
          </cell>
          <cell r="F60">
            <v>165</v>
          </cell>
          <cell r="G60">
            <v>265</v>
          </cell>
          <cell r="H60" t="str">
            <v>AEM1</v>
          </cell>
          <cell r="I60" t="str">
            <v>SIN</v>
          </cell>
          <cell r="J60">
            <v>34</v>
          </cell>
          <cell r="K60">
            <v>165</v>
          </cell>
          <cell r="L60">
            <v>265</v>
          </cell>
          <cell r="M60" t="str">
            <v>AEM2</v>
          </cell>
          <cell r="N60" t="str">
            <v>PKG</v>
          </cell>
          <cell r="O60">
            <v>52</v>
          </cell>
          <cell r="P60">
            <v>165</v>
          </cell>
          <cell r="Q60">
            <v>265</v>
          </cell>
          <cell r="R60" t="str">
            <v>TSM</v>
          </cell>
          <cell r="S60" t="str">
            <v>PIR</v>
          </cell>
          <cell r="T60">
            <v>57</v>
          </cell>
          <cell r="U60" t="str">
            <v>BUC;CAS;ETS;FAF;HCS;PSF;SUZ;THC</v>
          </cell>
          <cell r="V60" t="str">
            <v>BUC;CAS;ETS;FAF;HCS;PSF;SUZ;THC</v>
          </cell>
          <cell r="W60" t="str">
            <v>BUC;CAS;ETS;FAF;HCS;PSF;SUZ;THC</v>
          </cell>
          <cell r="X60" t="str">
            <v>BUC;CAS;ETS;FAF;HCS;PSF;SUZ;THC</v>
          </cell>
        </row>
        <row r="61">
          <cell r="C61" t="str">
            <v>Sanshui</v>
          </cell>
          <cell r="D61" t="str">
            <v>SJQ</v>
          </cell>
          <cell r="E61" t="str">
            <v>China</v>
          </cell>
          <cell r="F61">
            <v>165</v>
          </cell>
          <cell r="G61">
            <v>265</v>
          </cell>
          <cell r="H61" t="str">
            <v>AEM1</v>
          </cell>
          <cell r="I61" t="str">
            <v>HKG</v>
          </cell>
          <cell r="J61">
            <v>48</v>
          </cell>
          <cell r="K61">
            <v>165</v>
          </cell>
          <cell r="L61">
            <v>265</v>
          </cell>
          <cell r="M61" t="str">
            <v>AEM2</v>
          </cell>
          <cell r="N61" t="str">
            <v>NSH</v>
          </cell>
          <cell r="O61">
            <v>65</v>
          </cell>
          <cell r="P61">
            <v>165</v>
          </cell>
          <cell r="Q61">
            <v>265</v>
          </cell>
          <cell r="R61" t="str">
            <v>TSM</v>
          </cell>
          <cell r="S61" t="str">
            <v>PIR</v>
          </cell>
          <cell r="T61">
            <v>65</v>
          </cell>
          <cell r="U61" t="str">
            <v>BUC;CAS;ETS;FAF;HCS;PSF;SUZ;THC</v>
          </cell>
          <cell r="V61" t="str">
            <v>BUC;CAS;ETS;FAF;HCS;PSF;SUZ;THC</v>
          </cell>
          <cell r="W61" t="str">
            <v>BUC;CAS;ETS;FAF;HCS;PSF;SUZ;THC</v>
          </cell>
          <cell r="X61" t="str">
            <v>BUC;CAS;ETS;FAF;HCS;PSF;SUZ;THC</v>
          </cell>
        </row>
        <row r="62">
          <cell r="C62" t="str">
            <v>Shunde New Port</v>
          </cell>
          <cell r="D62" t="str">
            <v>SNP</v>
          </cell>
          <cell r="E62" t="str">
            <v>China</v>
          </cell>
          <cell r="F62">
            <v>165</v>
          </cell>
          <cell r="G62">
            <v>265</v>
          </cell>
          <cell r="H62" t="str">
            <v>AEM3</v>
          </cell>
          <cell r="I62" t="str">
            <v>SHK</v>
          </cell>
          <cell r="J62">
            <v>63</v>
          </cell>
          <cell r="P62">
            <v>165</v>
          </cell>
          <cell r="Q62">
            <v>265</v>
          </cell>
          <cell r="R62" t="str">
            <v>TSM</v>
          </cell>
          <cell r="S62" t="str">
            <v>PIR</v>
          </cell>
          <cell r="T62">
            <v>64</v>
          </cell>
          <cell r="U62" t="str">
            <v>BUC;CAS;ETS;FAF;HCS;PSF;SUZ;THC</v>
          </cell>
          <cell r="W62" t="str">
            <v>BUC;CAS;ETS;FAF;HCS;PSF;SUZ;THC</v>
          </cell>
          <cell r="X62" t="str">
            <v>BUC;CAS;ETS;FAF;HCS;PSF;SUZ;THC</v>
          </cell>
        </row>
        <row r="63">
          <cell r="C63" t="str">
            <v>Xinhui</v>
          </cell>
          <cell r="D63" t="str">
            <v>XIN</v>
          </cell>
          <cell r="E63" t="str">
            <v>China</v>
          </cell>
          <cell r="F63">
            <v>165</v>
          </cell>
          <cell r="G63">
            <v>265</v>
          </cell>
          <cell r="H63" t="str">
            <v>AEM1</v>
          </cell>
          <cell r="I63" t="str">
            <v>HKG</v>
          </cell>
          <cell r="J63">
            <v>52</v>
          </cell>
          <cell r="K63">
            <v>165</v>
          </cell>
          <cell r="L63">
            <v>265</v>
          </cell>
          <cell r="M63" t="str">
            <v>AEM2</v>
          </cell>
          <cell r="N63" t="str">
            <v>NSH</v>
          </cell>
          <cell r="O63">
            <v>64</v>
          </cell>
          <cell r="P63">
            <v>165</v>
          </cell>
          <cell r="Q63">
            <v>265</v>
          </cell>
          <cell r="R63" t="str">
            <v>TSM</v>
          </cell>
          <cell r="S63" t="str">
            <v>PIR</v>
          </cell>
          <cell r="T63">
            <v>67</v>
          </cell>
          <cell r="U63" t="str">
            <v>BUC;CAS;ETS;FAF;HCS;PSF;SUZ;THC</v>
          </cell>
          <cell r="V63" t="str">
            <v>BUC;CAS;ETS;FAF;HCS;PSF;SUZ;THC</v>
          </cell>
          <cell r="W63" t="str">
            <v>BUC;CAS;ETS;FAF;HCS;PSF;SUZ;THC</v>
          </cell>
          <cell r="X63" t="str">
            <v>BUC;CAS;ETS;FAF;HCS;PSF;SUZ;THC</v>
          </cell>
        </row>
        <row r="64">
          <cell r="C64" t="str">
            <v>Yunfu</v>
          </cell>
          <cell r="D64" t="str">
            <v>YNF</v>
          </cell>
          <cell r="E64" t="str">
            <v>China</v>
          </cell>
          <cell r="F64">
            <v>165</v>
          </cell>
          <cell r="G64">
            <v>265</v>
          </cell>
          <cell r="H64" t="str">
            <v>AEM1</v>
          </cell>
          <cell r="I64" t="str">
            <v>HKG</v>
          </cell>
          <cell r="J64">
            <v>48</v>
          </cell>
          <cell r="K64">
            <v>165</v>
          </cell>
          <cell r="L64">
            <v>265</v>
          </cell>
          <cell r="M64" t="str">
            <v>AEM2</v>
          </cell>
          <cell r="N64" t="str">
            <v>NSH</v>
          </cell>
          <cell r="O64">
            <v>69</v>
          </cell>
          <cell r="P64">
            <v>165</v>
          </cell>
          <cell r="Q64">
            <v>265</v>
          </cell>
          <cell r="R64" t="str">
            <v>TSM</v>
          </cell>
          <cell r="S64" t="str">
            <v>PIR</v>
          </cell>
          <cell r="T64">
            <v>66</v>
          </cell>
          <cell r="U64" t="str">
            <v>BUC;CAS;ETS;FAF;HCS;PSF;SUZ;THC</v>
          </cell>
          <cell r="V64" t="str">
            <v>BUC;CAS;ETS;FAF;HCS;PSF;SUZ;THC</v>
          </cell>
          <cell r="W64" t="str">
            <v>BUC;CAS;ETS;FAF;HCS;PSF;SUZ;THC</v>
          </cell>
          <cell r="X64" t="str">
            <v>BUC;CAS;ETS;FAF;HCS;PSF;SUZ;THC</v>
          </cell>
        </row>
        <row r="65">
          <cell r="C65" t="str">
            <v>Belawan</v>
          </cell>
          <cell r="D65" t="str">
            <v>BLW</v>
          </cell>
          <cell r="E65" t="str">
            <v>Indonesia</v>
          </cell>
          <cell r="F65">
            <v>215</v>
          </cell>
          <cell r="G65">
            <v>315</v>
          </cell>
          <cell r="H65" t="str">
            <v>AEM2</v>
          </cell>
          <cell r="I65" t="str">
            <v>PKG</v>
          </cell>
          <cell r="J65">
            <v>47</v>
          </cell>
          <cell r="K65">
            <v>215</v>
          </cell>
          <cell r="L65">
            <v>315</v>
          </cell>
          <cell r="M65" t="str">
            <v>AEM2</v>
          </cell>
          <cell r="N65" t="str">
            <v>PKG</v>
          </cell>
          <cell r="O65">
            <v>44</v>
          </cell>
          <cell r="P65">
            <v>215</v>
          </cell>
          <cell r="Q65">
            <v>315</v>
          </cell>
          <cell r="R65" t="str">
            <v>TSM</v>
          </cell>
          <cell r="S65" t="str">
            <v>PIR</v>
          </cell>
          <cell r="T65">
            <v>49</v>
          </cell>
          <cell r="U65" t="str">
            <v>BUC;CAS;ETS;FAF;HCS;PSF;SUZ;THC</v>
          </cell>
          <cell r="V65" t="str">
            <v>BUC;CAS;ETS;FAF;HCS;PSF;SUZ;THC</v>
          </cell>
          <cell r="W65" t="str">
            <v>BUC;CAS;ETS;FAF;HCS;PSF;SUZ;THC</v>
          </cell>
          <cell r="X65" t="str">
            <v>BUC;CAS;ETS;FAF;HCS;PSF;SUZ;THC</v>
          </cell>
        </row>
        <row r="66">
          <cell r="C66" t="str">
            <v>Bintulu</v>
          </cell>
          <cell r="E66" t="str">
            <v>Malaysia</v>
          </cell>
          <cell r="K66">
            <v>365</v>
          </cell>
          <cell r="L66">
            <v>615</v>
          </cell>
          <cell r="M66" t="str">
            <v>AEM2</v>
          </cell>
          <cell r="N66" t="str">
            <v>PKG</v>
          </cell>
          <cell r="O66">
            <v>60</v>
          </cell>
          <cell r="V66" t="str">
            <v>BUC;CAS;ETS;FAF;HCS;PSF;SUZ;THC</v>
          </cell>
          <cell r="X66" t="str">
            <v>BUC;CAS;ETS;FAF;HCS;PSF;SUZ;THC</v>
          </cell>
        </row>
        <row r="67">
          <cell r="C67" t="str">
            <v>Pasir Gudang</v>
          </cell>
          <cell r="D67" t="str">
            <v>PGU</v>
          </cell>
          <cell r="E67" t="str">
            <v>Malaysia</v>
          </cell>
          <cell r="F67">
            <v>115</v>
          </cell>
          <cell r="G67">
            <v>215</v>
          </cell>
          <cell r="H67" t="str">
            <v>AEM1</v>
          </cell>
          <cell r="I67" t="str">
            <v>SIN</v>
          </cell>
          <cell r="J67">
            <v>35</v>
          </cell>
          <cell r="K67">
            <v>115</v>
          </cell>
          <cell r="L67">
            <v>215</v>
          </cell>
          <cell r="M67" t="str">
            <v>AEM2</v>
          </cell>
          <cell r="N67" t="str">
            <v>PKG</v>
          </cell>
          <cell r="O67">
            <v>53</v>
          </cell>
          <cell r="P67">
            <v>115</v>
          </cell>
          <cell r="Q67">
            <v>215</v>
          </cell>
          <cell r="R67" t="str">
            <v>TSM</v>
          </cell>
          <cell r="S67" t="str">
            <v>PIR</v>
          </cell>
          <cell r="T67">
            <v>58</v>
          </cell>
          <cell r="U67" t="str">
            <v>BUC;CAS;ETS;FAF;HCS;PSF;SUZ;THC</v>
          </cell>
          <cell r="V67" t="str">
            <v>BUC;CAS;ETS;FAF;HCS;PSF;SUZ;THC</v>
          </cell>
          <cell r="W67" t="str">
            <v>BUC;CAS;ETS;FAF;HCS;PSF;SUZ;THC</v>
          </cell>
          <cell r="X67" t="str">
            <v>BUC;CAS;ETS;FAF;HCS;PSF;SUZ;THC</v>
          </cell>
        </row>
        <row r="68">
          <cell r="C68" t="str">
            <v>Manila North Harbour</v>
          </cell>
          <cell r="D68" t="str">
            <v>MNL</v>
          </cell>
          <cell r="E68" t="str">
            <v>Philippines</v>
          </cell>
          <cell r="F68">
            <v>215</v>
          </cell>
          <cell r="G68">
            <v>315</v>
          </cell>
          <cell r="H68" t="str">
            <v>AEM1</v>
          </cell>
          <cell r="I68" t="str">
            <v>SIN</v>
          </cell>
          <cell r="J68">
            <v>36</v>
          </cell>
          <cell r="K68">
            <v>215</v>
          </cell>
          <cell r="L68">
            <v>315</v>
          </cell>
          <cell r="M68" t="str">
            <v>AEM2</v>
          </cell>
          <cell r="N68" t="str">
            <v>PKG</v>
          </cell>
          <cell r="O68">
            <v>48</v>
          </cell>
          <cell r="P68">
            <v>215</v>
          </cell>
          <cell r="Q68">
            <v>315</v>
          </cell>
          <cell r="R68" t="str">
            <v>ESE2</v>
          </cell>
          <cell r="S68" t="str">
            <v>FXT</v>
          </cell>
          <cell r="T68">
            <v>50</v>
          </cell>
          <cell r="U68" t="str">
            <v>BUC;CAS;ETS;FAF;HCS;PSF;SUZ;THC</v>
          </cell>
          <cell r="V68" t="str">
            <v>BUC;CAS;ETS;FAF;HCS;PSF;SUZ;THC</v>
          </cell>
          <cell r="W68" t="str">
            <v>BUC;CAS;ETS;FAF;HCS;PSF;SUZ;THC</v>
          </cell>
          <cell r="X68" t="str">
            <v>BUC;CAS;ETS;FAF;HCS;PSF;SUZ;THC</v>
          </cell>
        </row>
        <row r="69">
          <cell r="C69" t="str">
            <v>Qingdao</v>
          </cell>
          <cell r="D69" t="str">
            <v>TAO</v>
          </cell>
          <cell r="E69" t="str">
            <v>China Base Port</v>
          </cell>
          <cell r="F69">
            <v>65</v>
          </cell>
          <cell r="G69">
            <v>115</v>
          </cell>
          <cell r="H69" t="str">
            <v>AEM1</v>
          </cell>
          <cell r="I69" t="str">
            <v>direct</v>
          </cell>
          <cell r="J69">
            <v>36</v>
          </cell>
          <cell r="K69">
            <v>65</v>
          </cell>
          <cell r="L69">
            <v>115</v>
          </cell>
          <cell r="M69" t="str">
            <v>AEM2</v>
          </cell>
          <cell r="N69" t="str">
            <v>direct</v>
          </cell>
          <cell r="O69">
            <v>50</v>
          </cell>
          <cell r="P69">
            <v>65</v>
          </cell>
          <cell r="Q69">
            <v>115</v>
          </cell>
          <cell r="R69" t="str">
            <v>TSM</v>
          </cell>
          <cell r="S69" t="str">
            <v>PIR</v>
          </cell>
          <cell r="T69">
            <v>60</v>
          </cell>
          <cell r="U69" t="str">
            <v>BUC;CAS;ETS;FAF;HCS;PSF;SUZ;THC</v>
          </cell>
          <cell r="V69" t="str">
            <v>BUC;CAS;ETS;FAF;HCS;PSF;SUZ;THC</v>
          </cell>
          <cell r="W69" t="str">
            <v>BUC;CAS;ETS;FAF;HCS;PSF;SUZ;THC</v>
          </cell>
          <cell r="X69" t="str">
            <v>BUC;CAS;ETS;FAF;HCS;PSF;SUZ;THC</v>
          </cell>
        </row>
        <row r="70">
          <cell r="C70" t="str">
            <v>Luzhou</v>
          </cell>
          <cell r="D70" t="str">
            <v>LZU</v>
          </cell>
          <cell r="E70" t="str">
            <v>China</v>
          </cell>
          <cell r="F70">
            <v>667</v>
          </cell>
          <cell r="G70">
            <v>885</v>
          </cell>
          <cell r="H70" t="str">
            <v>AEM1</v>
          </cell>
          <cell r="I70" t="str">
            <v>SHA</v>
          </cell>
          <cell r="J70">
            <v>60</v>
          </cell>
          <cell r="K70">
            <v>667</v>
          </cell>
          <cell r="L70">
            <v>885</v>
          </cell>
          <cell r="M70" t="str">
            <v>AEM2</v>
          </cell>
          <cell r="N70" t="str">
            <v>SHA</v>
          </cell>
          <cell r="O70">
            <v>78</v>
          </cell>
          <cell r="U70" t="str">
            <v>BUC;CAS;ETS;FAF;HCS;PSF;SUZ;THC</v>
          </cell>
          <cell r="V70" t="str">
            <v>BUC;CAS;ETS;FAF;HCS;PSF;SUZ;THC</v>
          </cell>
          <cell r="X70" t="str">
            <v>BUC;CAS;ETS;FAF;HCS;PSF;SUZ;THC</v>
          </cell>
        </row>
        <row r="71">
          <cell r="C71" t="str">
            <v>Aqaba</v>
          </cell>
          <cell r="D71" t="str">
            <v>AQB</v>
          </cell>
          <cell r="E71" t="str">
            <v>Jordan ***</v>
          </cell>
          <cell r="F71">
            <v>900</v>
          </cell>
          <cell r="G71">
            <v>1350</v>
          </cell>
          <cell r="H71" t="str">
            <v>AEM3</v>
          </cell>
          <cell r="I71" t="str">
            <v>PIR</v>
          </cell>
          <cell r="J71">
            <v>35</v>
          </cell>
          <cell r="K71">
            <v>900</v>
          </cell>
          <cell r="L71">
            <v>1350</v>
          </cell>
          <cell r="M71" t="str">
            <v>TSM</v>
          </cell>
          <cell r="N71" t="str">
            <v>PIR</v>
          </cell>
          <cell r="O71">
            <v>33</v>
          </cell>
          <cell r="P71">
            <v>900</v>
          </cell>
          <cell r="Q71">
            <v>1350</v>
          </cell>
          <cell r="R71" t="str">
            <v>EPI3</v>
          </cell>
          <cell r="S71" t="str">
            <v>JEA</v>
          </cell>
          <cell r="T71">
            <v>48</v>
          </cell>
          <cell r="U71" t="str">
            <v>BUC;FAF;HCS;SUZ;WRS</v>
          </cell>
          <cell r="V71" t="str">
            <v>BUC;FAF;HCS;SUZ;WRS</v>
          </cell>
          <cell r="W71" t="str">
            <v>BUC;FAF;HCS;SUZ;WRS</v>
          </cell>
          <cell r="X71" t="str">
            <v>BUC;FAF;HCS;SUZ;WRS</v>
          </cell>
        </row>
        <row r="72">
          <cell r="C72" t="str">
            <v>Nansha</v>
          </cell>
          <cell r="D72" t="str">
            <v>NSH</v>
          </cell>
          <cell r="E72" t="str">
            <v>China Base Port</v>
          </cell>
          <cell r="F72">
            <v>65</v>
          </cell>
          <cell r="G72">
            <v>115</v>
          </cell>
          <cell r="H72" t="str">
            <v>AEM3</v>
          </cell>
          <cell r="I72" t="str">
            <v>direct</v>
          </cell>
          <cell r="J72">
            <v>59</v>
          </cell>
          <cell r="K72">
            <v>65</v>
          </cell>
          <cell r="L72">
            <v>115</v>
          </cell>
          <cell r="M72" t="str">
            <v>AEM2</v>
          </cell>
          <cell r="N72" t="str">
            <v>direct</v>
          </cell>
          <cell r="O72">
            <v>62</v>
          </cell>
          <cell r="P72">
            <v>65</v>
          </cell>
          <cell r="Q72">
            <v>115</v>
          </cell>
          <cell r="R72" t="str">
            <v>TSM</v>
          </cell>
          <cell r="S72" t="str">
            <v>PIR</v>
          </cell>
          <cell r="T72">
            <v>60</v>
          </cell>
          <cell r="U72" t="str">
            <v>BUC;CAS;ETS;FAF;HCS;PSF;SUZ;THC</v>
          </cell>
          <cell r="V72" t="str">
            <v>BUC;CAS;ETS;FAF;HCS;PSF;SUZ;THC</v>
          </cell>
          <cell r="W72" t="str">
            <v>BUC;CAS;ETS;FAF;HCS;PSF;SUZ;THC</v>
          </cell>
          <cell r="X72" t="str">
            <v>BUC;CAS;ETS;FAF;HCS;PSF;SUZ;THC</v>
          </cell>
        </row>
        <row r="73">
          <cell r="C73" t="str">
            <v>Dalian</v>
          </cell>
          <cell r="D73" t="str">
            <v>DLC</v>
          </cell>
          <cell r="E73" t="str">
            <v>China Base Port</v>
          </cell>
          <cell r="F73">
            <v>65</v>
          </cell>
          <cell r="G73">
            <v>115</v>
          </cell>
          <cell r="H73" t="str">
            <v>AEM1</v>
          </cell>
          <cell r="I73" t="str">
            <v>SIN</v>
          </cell>
          <cell r="J73">
            <v>44</v>
          </cell>
          <cell r="K73">
            <v>65</v>
          </cell>
          <cell r="L73">
            <v>115</v>
          </cell>
          <cell r="M73" t="str">
            <v>AEM2</v>
          </cell>
          <cell r="N73" t="str">
            <v>PKG</v>
          </cell>
          <cell r="O73">
            <v>56</v>
          </cell>
          <cell r="P73">
            <v>65</v>
          </cell>
          <cell r="Q73">
            <v>115</v>
          </cell>
          <cell r="R73" t="str">
            <v>TSM</v>
          </cell>
          <cell r="S73" t="str">
            <v>PIR</v>
          </cell>
          <cell r="T73">
            <v>60</v>
          </cell>
          <cell r="U73" t="str">
            <v>BUC;CAS;ETS;FAF;HCS;PSF;SUZ;THC</v>
          </cell>
          <cell r="V73" t="str">
            <v>BUC;CAS;ETS;FAF;HCS;PSF;SUZ;THC</v>
          </cell>
          <cell r="W73" t="str">
            <v>BUC;CAS;ETS;FAF;HCS;PSF;SUZ;THC</v>
          </cell>
          <cell r="X73" t="str">
            <v>BUC;CAS;ETS;FAF;HCS;PSF;SUZ;THC</v>
          </cell>
        </row>
        <row r="74">
          <cell r="C74" t="str">
            <v>Hong Kong</v>
          </cell>
          <cell r="D74" t="str">
            <v>HKG</v>
          </cell>
          <cell r="E74" t="str">
            <v>China Base Port</v>
          </cell>
          <cell r="F74">
            <v>65</v>
          </cell>
          <cell r="G74">
            <v>115</v>
          </cell>
          <cell r="H74" t="str">
            <v>AEM1</v>
          </cell>
          <cell r="I74" t="str">
            <v>direct</v>
          </cell>
          <cell r="J74">
            <v>45</v>
          </cell>
          <cell r="K74">
            <v>65</v>
          </cell>
          <cell r="L74">
            <v>115</v>
          </cell>
          <cell r="M74" t="str">
            <v>AEM2</v>
          </cell>
          <cell r="N74" t="str">
            <v>PKG</v>
          </cell>
          <cell r="O74">
            <v>52</v>
          </cell>
          <cell r="P74">
            <v>65</v>
          </cell>
          <cell r="Q74">
            <v>115</v>
          </cell>
          <cell r="R74" t="str">
            <v>ESE2</v>
          </cell>
          <cell r="S74" t="str">
            <v>FXT</v>
          </cell>
          <cell r="T74">
            <v>54</v>
          </cell>
          <cell r="U74" t="str">
            <v>BUC;CAS;ETS;FAF;HCS;PSF;SUZ;THC</v>
          </cell>
          <cell r="V74" t="str">
            <v>BUC;CAS;ETS;FAF;HCS;PSF;SUZ;THC</v>
          </cell>
          <cell r="W74" t="str">
            <v>BUC;CAS;ETS;FAF;HCS;PSF;SUZ;THC</v>
          </cell>
          <cell r="X74" t="str">
            <v>BUC;CAS;ETS;FAF;HCS;PSF;SUZ;THC</v>
          </cell>
        </row>
        <row r="75">
          <cell r="C75" t="str">
            <v>Jiangmen</v>
          </cell>
          <cell r="D75" t="str">
            <v>JMN</v>
          </cell>
          <cell r="E75" t="str">
            <v>China</v>
          </cell>
          <cell r="H75" t="str">
            <v>AEM1</v>
          </cell>
          <cell r="I75" t="str">
            <v>HKG</v>
          </cell>
          <cell r="J75">
            <v>48</v>
          </cell>
          <cell r="M75" t="str">
            <v>AEM2</v>
          </cell>
          <cell r="N75" t="str">
            <v>NSH</v>
          </cell>
          <cell r="O75">
            <v>71</v>
          </cell>
          <cell r="R75" t="str">
            <v>TSM</v>
          </cell>
          <cell r="S75" t="str">
            <v>PIR</v>
          </cell>
          <cell r="T75">
            <v>65</v>
          </cell>
          <cell r="U75" t="str">
            <v>BUC;CAS;ETS;FAF;HCS;PSF;SUZ;THC</v>
          </cell>
          <cell r="V75" t="str">
            <v>BUC;CAS;ETS;FAF;HCS;PSF;SUZ;THC</v>
          </cell>
          <cell r="W75" t="str">
            <v>BUC;CAS;ETS;FAF;HCS;PSF;SUZ;THC</v>
          </cell>
          <cell r="X75" t="str">
            <v>BUC;CAS;ETS;FAF;HCS;PSF;SUZ;THC</v>
          </cell>
        </row>
        <row r="76">
          <cell r="C76" t="str">
            <v>Jiaoxin</v>
          </cell>
          <cell r="D76" t="str">
            <v>JIO</v>
          </cell>
          <cell r="E76" t="str">
            <v>China</v>
          </cell>
          <cell r="H76" t="str">
            <v>AEM1</v>
          </cell>
          <cell r="I76" t="str">
            <v>HKG</v>
          </cell>
          <cell r="J76">
            <v>52</v>
          </cell>
          <cell r="M76" t="str">
            <v>AEM2</v>
          </cell>
          <cell r="N76" t="str">
            <v>NSH</v>
          </cell>
          <cell r="O76">
            <v>69</v>
          </cell>
          <cell r="R76" t="str">
            <v>TSM</v>
          </cell>
          <cell r="S76" t="str">
            <v>PIR</v>
          </cell>
          <cell r="T76">
            <v>65</v>
          </cell>
          <cell r="U76" t="str">
            <v>BUC;CAS;ETS;FAF;HCS;PSF;SUZ;THC</v>
          </cell>
          <cell r="V76" t="str">
            <v>BUC;CAS;ETS;FAF;HCS;PSF;SUZ;THC</v>
          </cell>
          <cell r="W76" t="str">
            <v>BUC;CAS;ETS;FAF;HCS;PSF;SUZ;THC</v>
          </cell>
          <cell r="X76" t="str">
            <v>BUC;CAS;ETS;FAF;HCS;PSF;SUZ;THC</v>
          </cell>
        </row>
        <row r="77">
          <cell r="C77" t="str">
            <v>Lianhuashan</v>
          </cell>
          <cell r="D77" t="str">
            <v>LIH</v>
          </cell>
          <cell r="E77" t="str">
            <v>China</v>
          </cell>
          <cell r="H77" t="str">
            <v>AEM1</v>
          </cell>
          <cell r="I77" t="str">
            <v>HKG</v>
          </cell>
          <cell r="J77">
            <v>47</v>
          </cell>
          <cell r="M77" t="str">
            <v>AEM2</v>
          </cell>
          <cell r="N77" t="str">
            <v>NSH</v>
          </cell>
          <cell r="O77">
            <v>69</v>
          </cell>
          <cell r="R77" t="str">
            <v>TSM</v>
          </cell>
          <cell r="S77" t="str">
            <v>PIR</v>
          </cell>
          <cell r="T77">
            <v>70</v>
          </cell>
          <cell r="U77" t="str">
            <v>BUC;CAS;ETS;FAF;HCS;PSF;SUZ;THC</v>
          </cell>
          <cell r="V77" t="str">
            <v>BUC;CAS;ETS;FAF;HCS;PSF;SUZ;THC</v>
          </cell>
          <cell r="W77" t="str">
            <v>BUC;CAS;ETS;FAF;HCS;PSF;SUZ;THC</v>
          </cell>
          <cell r="X77" t="str">
            <v>BUC;CAS;ETS;FAF;HCS;PSF;SUZ;THC</v>
          </cell>
        </row>
        <row r="78">
          <cell r="C78" t="str">
            <v>Ningbo</v>
          </cell>
          <cell r="D78" t="str">
            <v>NGB</v>
          </cell>
          <cell r="E78" t="str">
            <v>China Base Port</v>
          </cell>
          <cell r="F78">
            <v>65</v>
          </cell>
          <cell r="G78">
            <v>115</v>
          </cell>
          <cell r="H78" t="str">
            <v>AEM1</v>
          </cell>
          <cell r="I78" t="str">
            <v>direct</v>
          </cell>
          <cell r="J78">
            <v>41</v>
          </cell>
          <cell r="K78">
            <v>65</v>
          </cell>
          <cell r="L78">
            <v>115</v>
          </cell>
          <cell r="M78" t="str">
            <v>AEM2</v>
          </cell>
          <cell r="N78" t="str">
            <v>direct</v>
          </cell>
          <cell r="O78">
            <v>57</v>
          </cell>
          <cell r="P78">
            <v>65</v>
          </cell>
          <cell r="Q78">
            <v>115</v>
          </cell>
          <cell r="R78" t="str">
            <v>TSM</v>
          </cell>
          <cell r="S78" t="str">
            <v>PIR</v>
          </cell>
          <cell r="T78">
            <v>54</v>
          </cell>
          <cell r="U78" t="str">
            <v>BUC;CAS;ETS;FAF;HCS;PSF;SUZ;THC</v>
          </cell>
          <cell r="V78" t="str">
            <v>BUC;CAS;ETS;FAF;HCS;PSF;SUZ;THC</v>
          </cell>
          <cell r="W78" t="str">
            <v>BUC;CAS;ETS;FAF;HCS;PSF;SUZ;THC</v>
          </cell>
          <cell r="X78" t="str">
            <v>BUC;CAS;ETS;FAF;HCS;PSF;SUZ;THC</v>
          </cell>
        </row>
        <row r="79">
          <cell r="C79" t="str">
            <v>Shanghai</v>
          </cell>
          <cell r="D79" t="str">
            <v>SHA</v>
          </cell>
          <cell r="E79" t="str">
            <v>China Base Port</v>
          </cell>
          <cell r="F79">
            <v>65</v>
          </cell>
          <cell r="G79">
            <v>115</v>
          </cell>
          <cell r="H79" t="str">
            <v>AEM1</v>
          </cell>
          <cell r="I79" t="str">
            <v>direct</v>
          </cell>
          <cell r="J79">
            <v>39</v>
          </cell>
          <cell r="K79">
            <v>65</v>
          </cell>
          <cell r="L79">
            <v>115</v>
          </cell>
          <cell r="M79" t="str">
            <v>AEM2</v>
          </cell>
          <cell r="N79" t="str">
            <v>direct</v>
          </cell>
          <cell r="O79">
            <v>54</v>
          </cell>
          <cell r="P79">
            <v>65</v>
          </cell>
          <cell r="Q79">
            <v>115</v>
          </cell>
          <cell r="R79" t="str">
            <v>ESE2</v>
          </cell>
          <cell r="S79" t="str">
            <v>FXT</v>
          </cell>
          <cell r="T79">
            <v>48</v>
          </cell>
          <cell r="U79" t="str">
            <v>BUC;CAS;ETS;FAF;HCS;PSF;SUZ;THC</v>
          </cell>
          <cell r="V79" t="str">
            <v>BUC;CAS;ETS;FAF;HCS;PSF;SUZ;THC</v>
          </cell>
          <cell r="W79" t="str">
            <v>BUC;CAS;ETS;FAF;HCS;PSF;SUZ;THC</v>
          </cell>
          <cell r="X79" t="str">
            <v>BUC;CAS;ETS;FAF;HCS;PSF;SUZ;THC</v>
          </cell>
        </row>
        <row r="80">
          <cell r="C80" t="str">
            <v>Shekou</v>
          </cell>
          <cell r="D80" t="str">
            <v>SHK</v>
          </cell>
          <cell r="E80" t="str">
            <v>China Base Port</v>
          </cell>
          <cell r="F80">
            <v>65</v>
          </cell>
          <cell r="G80">
            <v>115</v>
          </cell>
          <cell r="H80" t="str">
            <v>AEM3</v>
          </cell>
          <cell r="I80" t="str">
            <v>direct</v>
          </cell>
          <cell r="J80">
            <v>58</v>
          </cell>
          <cell r="K80">
            <v>65</v>
          </cell>
          <cell r="L80">
            <v>115</v>
          </cell>
          <cell r="M80" t="str">
            <v>AEM2</v>
          </cell>
          <cell r="N80" t="str">
            <v>direct</v>
          </cell>
          <cell r="O80">
            <v>63</v>
          </cell>
          <cell r="P80">
            <v>65</v>
          </cell>
          <cell r="Q80">
            <v>115</v>
          </cell>
          <cell r="R80" t="str">
            <v>TSM</v>
          </cell>
          <cell r="S80" t="str">
            <v>PIR</v>
          </cell>
          <cell r="T80">
            <v>59</v>
          </cell>
          <cell r="U80" t="str">
            <v>BUC;CAS;ETS;FAF;HCS;PSF;SUZ;THC</v>
          </cell>
          <cell r="V80" t="str">
            <v>BUC;CAS;ETS;FAF;HCS;PSF;SUZ;THC</v>
          </cell>
          <cell r="W80" t="str">
            <v>BUC;CAS;ETS;FAF;HCS;PSF;SUZ;THC</v>
          </cell>
          <cell r="X80" t="str">
            <v>BUC;CAS;ETS;FAF;HCS;PSF;SUZ;THC</v>
          </cell>
        </row>
        <row r="81">
          <cell r="C81" t="str">
            <v>Xiamen</v>
          </cell>
          <cell r="D81" t="str">
            <v>XMN</v>
          </cell>
          <cell r="E81" t="str">
            <v>China Base Port</v>
          </cell>
          <cell r="F81">
            <v>65</v>
          </cell>
          <cell r="G81">
            <v>115</v>
          </cell>
          <cell r="H81" t="str">
            <v>AEM3</v>
          </cell>
          <cell r="I81" t="str">
            <v>direct</v>
          </cell>
          <cell r="J81">
            <v>56</v>
          </cell>
          <cell r="K81">
            <v>65</v>
          </cell>
          <cell r="L81">
            <v>115</v>
          </cell>
          <cell r="M81" t="str">
            <v>AEM2</v>
          </cell>
          <cell r="N81" t="str">
            <v>direct</v>
          </cell>
          <cell r="O81">
            <v>61</v>
          </cell>
          <cell r="P81">
            <v>65</v>
          </cell>
          <cell r="Q81">
            <v>115</v>
          </cell>
          <cell r="R81" t="str">
            <v>ESE2</v>
          </cell>
          <cell r="S81" t="str">
            <v>FXT</v>
          </cell>
          <cell r="T81">
            <v>51</v>
          </cell>
          <cell r="U81" t="str">
            <v>BUC;CAS;ETS;FAF;HCS;PSF;SUZ;THC</v>
          </cell>
          <cell r="V81" t="str">
            <v>BUC;CAS;ETS;FAF;HCS;PSF;SUZ;THC</v>
          </cell>
          <cell r="W81" t="str">
            <v>BUC;CAS;ETS;FAF;HCS;PSF;SUZ;THC</v>
          </cell>
          <cell r="X81" t="str">
            <v>BUC;CAS;ETS;FAF;HCS;PSF;SUZ;THC</v>
          </cell>
        </row>
        <row r="82">
          <cell r="C82" t="str">
            <v>Yantian</v>
          </cell>
          <cell r="D82" t="str">
            <v>YTN</v>
          </cell>
          <cell r="E82" t="str">
            <v>China Base Port</v>
          </cell>
          <cell r="F82">
            <v>65</v>
          </cell>
          <cell r="G82">
            <v>115</v>
          </cell>
          <cell r="H82" t="str">
            <v>AEM1</v>
          </cell>
          <cell r="I82" t="str">
            <v>direct</v>
          </cell>
          <cell r="J82">
            <v>47</v>
          </cell>
          <cell r="P82">
            <v>65</v>
          </cell>
          <cell r="Q82">
            <v>115</v>
          </cell>
          <cell r="R82" t="str">
            <v>ESE2</v>
          </cell>
          <cell r="S82" t="str">
            <v>FXT</v>
          </cell>
          <cell r="T82">
            <v>55</v>
          </cell>
          <cell r="U82" t="str">
            <v>BUC;CAS;ETS;FAF;HCS;PSF;SUZ;THC</v>
          </cell>
          <cell r="W82" t="str">
            <v>BUC;CAS;ETS;FAF;HCS;PSF;SUZ;THC</v>
          </cell>
          <cell r="X82" t="str">
            <v>BUC;CAS;ETS;FAF;HCS;PSF;SUZ;THC</v>
          </cell>
        </row>
        <row r="83">
          <cell r="C83" t="str">
            <v>Xingang</v>
          </cell>
          <cell r="D83" t="str">
            <v>TSN</v>
          </cell>
          <cell r="E83" t="str">
            <v>China Base Port</v>
          </cell>
          <cell r="F83">
            <v>65</v>
          </cell>
          <cell r="G83">
            <v>115</v>
          </cell>
          <cell r="H83" t="str">
            <v>AEM1</v>
          </cell>
          <cell r="I83" t="str">
            <v>SIN</v>
          </cell>
          <cell r="J83">
            <v>46</v>
          </cell>
          <cell r="K83">
            <v>65</v>
          </cell>
          <cell r="L83">
            <v>115</v>
          </cell>
          <cell r="M83" t="str">
            <v>AEM2</v>
          </cell>
          <cell r="N83" t="str">
            <v>PKG</v>
          </cell>
          <cell r="O83">
            <v>57</v>
          </cell>
          <cell r="P83">
            <v>65</v>
          </cell>
          <cell r="Q83">
            <v>115</v>
          </cell>
          <cell r="R83" t="str">
            <v>TSM</v>
          </cell>
          <cell r="S83" t="str">
            <v>PIR</v>
          </cell>
          <cell r="T83">
            <v>57</v>
          </cell>
          <cell r="U83" t="str">
            <v>BUC;CAS;ETS;FAF;HCS;PSF;SUZ;THC</v>
          </cell>
          <cell r="V83" t="str">
            <v>BUC;CAS;ETS;FAF;HCS;PSF;SUZ;THC</v>
          </cell>
          <cell r="W83" t="str">
            <v>BUC;CAS;ETS;FAF;HCS;PSF;SUZ;THC</v>
          </cell>
          <cell r="X83" t="str">
            <v>BUC;CAS;ETS;FAF;HCS;PSF;SUZ;THC</v>
          </cell>
        </row>
        <row r="84">
          <cell r="C84" t="str">
            <v>Busan</v>
          </cell>
          <cell r="D84" t="str">
            <v>PUS</v>
          </cell>
          <cell r="E84" t="str">
            <v>South Korea Base Port</v>
          </cell>
          <cell r="F84">
            <v>65</v>
          </cell>
          <cell r="G84">
            <v>115</v>
          </cell>
          <cell r="H84" t="str">
            <v>AEM1</v>
          </cell>
          <cell r="I84" t="str">
            <v>SHA</v>
          </cell>
          <cell r="J84">
            <v>41</v>
          </cell>
          <cell r="K84">
            <v>65</v>
          </cell>
          <cell r="L84">
            <v>115</v>
          </cell>
          <cell r="M84" t="str">
            <v>AEM2</v>
          </cell>
          <cell r="N84" t="str">
            <v>SHA</v>
          </cell>
          <cell r="O84">
            <v>60</v>
          </cell>
          <cell r="P84">
            <v>65</v>
          </cell>
          <cell r="Q84">
            <v>115</v>
          </cell>
          <cell r="R84" t="str">
            <v>ESE2</v>
          </cell>
          <cell r="S84" t="str">
            <v>FXT</v>
          </cell>
          <cell r="T84">
            <v>55</v>
          </cell>
          <cell r="U84" t="str">
            <v>BUC;CAS;ETS;FAF;HCS;PSF;SUZ;THC</v>
          </cell>
          <cell r="V84" t="str">
            <v>BUC;CAS;ETS;FAF;HCS;PSF;SUZ;THC</v>
          </cell>
          <cell r="W84" t="str">
            <v>BUC;CAS;ETS;FAF;HCS;PSF;SUZ;THC</v>
          </cell>
          <cell r="X84" t="str">
            <v>BUC;CAS;ETS;FAF;HCS;PSF;SUZ;THC</v>
          </cell>
        </row>
        <row r="85">
          <cell r="C85" t="str">
            <v>Port kelang</v>
          </cell>
          <cell r="D85" t="str">
            <v>PKG</v>
          </cell>
          <cell r="E85" t="str">
            <v>Malaysia Base Port</v>
          </cell>
          <cell r="F85">
            <v>65</v>
          </cell>
          <cell r="G85">
            <v>115</v>
          </cell>
          <cell r="H85" t="str">
            <v>AEM2</v>
          </cell>
          <cell r="I85" t="str">
            <v>direct</v>
          </cell>
          <cell r="J85">
            <v>42</v>
          </cell>
          <cell r="K85">
            <v>65</v>
          </cell>
          <cell r="L85">
            <v>115</v>
          </cell>
          <cell r="M85" t="str">
            <v>AEM2</v>
          </cell>
          <cell r="N85" t="str">
            <v>direct</v>
          </cell>
          <cell r="O85">
            <v>40</v>
          </cell>
          <cell r="R85" t="str">
            <v>ESE2</v>
          </cell>
          <cell r="S85" t="str">
            <v>FXT</v>
          </cell>
          <cell r="T85">
            <v>40</v>
          </cell>
          <cell r="U85" t="str">
            <v>BUC;CAS;ETS;FAF;HCS;PSF;SUZ;THC</v>
          </cell>
          <cell r="V85" t="str">
            <v>BUC;CAS;ETS;FAF;HCS;PSF;SUZ;THC</v>
          </cell>
          <cell r="W85" t="str">
            <v>BUC;CAS;ETS;FAF;HCS;PSF;SUZ;THC</v>
          </cell>
          <cell r="X85" t="str">
            <v>BUC;CAS;ETS;FAF;HCS;PSF;SUZ;THC</v>
          </cell>
        </row>
        <row r="86">
          <cell r="C86" t="str">
            <v>Davao</v>
          </cell>
          <cell r="D86" t="str">
            <v>DVO</v>
          </cell>
          <cell r="E86" t="str">
            <v>Philippines</v>
          </cell>
          <cell r="H86" t="str">
            <v>AEM1</v>
          </cell>
          <cell r="I86" t="str">
            <v>SHA</v>
          </cell>
          <cell r="J86">
            <v>65</v>
          </cell>
          <cell r="U86" t="str">
            <v>BUC;CAS;ETS;FAF;HCS;PSF;SUZ;THC</v>
          </cell>
          <cell r="X86" t="str">
            <v>BUC;CAS;ETS;FAF;HCS;PSF;SUZ;THC</v>
          </cell>
        </row>
        <row r="87">
          <cell r="C87" t="str">
            <v>General Santos</v>
          </cell>
          <cell r="D87" t="str">
            <v>GES</v>
          </cell>
          <cell r="E87" t="str">
            <v>Philippines</v>
          </cell>
          <cell r="H87" t="str">
            <v>AEM1</v>
          </cell>
          <cell r="I87" t="str">
            <v>SIN</v>
          </cell>
          <cell r="J87">
            <v>38</v>
          </cell>
          <cell r="M87" t="str">
            <v>AEM2</v>
          </cell>
          <cell r="N87" t="str">
            <v>PKG</v>
          </cell>
          <cell r="O87">
            <v>57</v>
          </cell>
          <cell r="U87" t="str">
            <v>BUC;CAS;ETS;FAF;HCS;PSF;SUZ;THC</v>
          </cell>
          <cell r="V87" t="str">
            <v>BUC;CAS;ETS;FAF;HCS;PSF;SUZ;THC</v>
          </cell>
          <cell r="X87" t="str">
            <v>BUC;CAS;ETS;FAF;HCS;PSF;SUZ;THC</v>
          </cell>
        </row>
        <row r="88">
          <cell r="C88" t="str">
            <v>Singapore</v>
          </cell>
          <cell r="D88" t="str">
            <v>SIN</v>
          </cell>
          <cell r="E88" t="str">
            <v>Singapore Base Port</v>
          </cell>
          <cell r="F88">
            <v>65</v>
          </cell>
          <cell r="G88">
            <v>115</v>
          </cell>
          <cell r="H88" t="str">
            <v>AEM1</v>
          </cell>
          <cell r="I88" t="str">
            <v>direct</v>
          </cell>
          <cell r="J88">
            <v>28</v>
          </cell>
          <cell r="K88">
            <v>65</v>
          </cell>
          <cell r="L88">
            <v>115</v>
          </cell>
          <cell r="M88" t="str">
            <v>AEM2</v>
          </cell>
          <cell r="N88" t="str">
            <v>PKG</v>
          </cell>
          <cell r="O88">
            <v>46</v>
          </cell>
          <cell r="P88">
            <v>65</v>
          </cell>
          <cell r="Q88">
            <v>115</v>
          </cell>
          <cell r="R88" t="str">
            <v>TSM</v>
          </cell>
          <cell r="S88" t="str">
            <v>PIR</v>
          </cell>
          <cell r="T88">
            <v>51</v>
          </cell>
          <cell r="U88" t="str">
            <v>BUC;CAS;ETS;FAF;HCS;PSF;SUZ;THC</v>
          </cell>
          <cell r="V88" t="str">
            <v>BUC;CAS;ETS;FAF;HCS;PSF;SUZ;THC</v>
          </cell>
          <cell r="W88" t="str">
            <v>BUC;CAS;ETS;FAF;HCS;PSF;SUZ;THC</v>
          </cell>
          <cell r="X88" t="str">
            <v>BUC;CAS;ETS;FAF;HCS;PSF;SUZ;THC</v>
          </cell>
        </row>
        <row r="89">
          <cell r="C89" t="str">
            <v>Chennai</v>
          </cell>
          <cell r="D89" t="str">
            <v>MAA</v>
          </cell>
          <cell r="E89" t="str">
            <v>India</v>
          </cell>
          <cell r="F89">
            <v>450</v>
          </cell>
          <cell r="G89">
            <v>450</v>
          </cell>
          <cell r="H89" t="str">
            <v>AEM1</v>
          </cell>
          <cell r="I89" t="str">
            <v>SIN</v>
          </cell>
          <cell r="J89">
            <v>40</v>
          </cell>
          <cell r="K89">
            <v>450</v>
          </cell>
          <cell r="L89">
            <v>450</v>
          </cell>
          <cell r="M89" t="str">
            <v>AEM2</v>
          </cell>
          <cell r="N89" t="str">
            <v>PKG</v>
          </cell>
          <cell r="O89">
            <v>51</v>
          </cell>
          <cell r="R89" t="str">
            <v>TSM</v>
          </cell>
          <cell r="S89" t="str">
            <v>PIR</v>
          </cell>
          <cell r="T89">
            <v>49</v>
          </cell>
          <cell r="U89" t="str">
            <v>BUC;FAF;HCS;SUZ</v>
          </cell>
          <cell r="V89" t="str">
            <v>BUC;FAF;HCS;SUZ</v>
          </cell>
          <cell r="W89" t="str">
            <v>BUC;CAS;ETS;FAF;HCS;PSF;SUZ;THC</v>
          </cell>
        </row>
        <row r="90">
          <cell r="C90" t="str">
            <v>Jeddah</v>
          </cell>
          <cell r="D90" t="str">
            <v>JED</v>
          </cell>
          <cell r="E90" t="str">
            <v xml:space="preserve">Saudi Arabia </v>
          </cell>
          <cell r="F90">
            <v>450</v>
          </cell>
          <cell r="G90">
            <v>450</v>
          </cell>
          <cell r="H90" t="str">
            <v>AEM3</v>
          </cell>
          <cell r="I90" t="str">
            <v>PIR</v>
          </cell>
          <cell r="J90">
            <v>29</v>
          </cell>
          <cell r="K90">
            <v>450</v>
          </cell>
          <cell r="L90">
            <v>450</v>
          </cell>
          <cell r="M90" t="str">
            <v>TSM</v>
          </cell>
          <cell r="N90" t="str">
            <v>PIR</v>
          </cell>
          <cell r="O90">
            <v>27</v>
          </cell>
          <cell r="P90">
            <v>450</v>
          </cell>
          <cell r="Q90">
            <v>450</v>
          </cell>
          <cell r="R90" t="str">
            <v>TSM</v>
          </cell>
          <cell r="S90" t="str">
            <v>PIR</v>
          </cell>
          <cell r="T90">
            <v>30</v>
          </cell>
          <cell r="U90" t="str">
            <v>BUC;FAF;HCS;SUZ;WRS</v>
          </cell>
          <cell r="V90" t="str">
            <v>BUC;FAF;HCS;SUZ;WRS</v>
          </cell>
          <cell r="W90" t="str">
            <v>BUC;FAF;HCS;SUZ;WRS</v>
          </cell>
          <cell r="X90" t="str">
            <v>BUC;FAF;HCS;SUZ;WRS</v>
          </cell>
        </row>
        <row r="91">
          <cell r="C91" t="str">
            <v>Jebel Ali</v>
          </cell>
          <cell r="D91" t="str">
            <v>JEA</v>
          </cell>
          <cell r="E91" t="str">
            <v>United Arab Emirates *</v>
          </cell>
          <cell r="F91">
            <v>450</v>
          </cell>
          <cell r="G91">
            <v>450</v>
          </cell>
          <cell r="H91" t="str">
            <v>AEM3</v>
          </cell>
          <cell r="I91" t="str">
            <v>PIR</v>
          </cell>
          <cell r="J91">
            <v>41</v>
          </cell>
          <cell r="K91">
            <v>450</v>
          </cell>
          <cell r="L91">
            <v>450</v>
          </cell>
          <cell r="M91" t="str">
            <v>TSM</v>
          </cell>
          <cell r="N91" t="str">
            <v>PIR</v>
          </cell>
          <cell r="O91">
            <v>39</v>
          </cell>
          <cell r="P91">
            <v>450</v>
          </cell>
          <cell r="Q91">
            <v>450</v>
          </cell>
          <cell r="R91" t="str">
            <v>EPI3</v>
          </cell>
          <cell r="S91" t="str">
            <v>direct</v>
          </cell>
          <cell r="T91">
            <v>29</v>
          </cell>
          <cell r="U91" t="str">
            <v>BUC;FAF;HCS;SUZ;WRS</v>
          </cell>
          <cell r="V91" t="str">
            <v>BUC;FAF;HCS;SUZ;WRS</v>
          </cell>
          <cell r="W91" t="str">
            <v>BUC;FAF;HCS;SUZ;WRS</v>
          </cell>
          <cell r="X91" t="str">
            <v>BUC;FAF;HCS;SUZ;WRS</v>
          </cell>
        </row>
        <row r="92">
          <cell r="C92" t="str">
            <v>Nhava Sheva</v>
          </cell>
          <cell r="D92" t="str">
            <v>NVA</v>
          </cell>
          <cell r="E92" t="str">
            <v>India</v>
          </cell>
          <cell r="F92">
            <v>450</v>
          </cell>
          <cell r="G92">
            <v>450</v>
          </cell>
          <cell r="H92" t="str">
            <v>AEM3</v>
          </cell>
          <cell r="I92" t="str">
            <v>PIR</v>
          </cell>
          <cell r="J92">
            <v>49</v>
          </cell>
          <cell r="K92">
            <v>450</v>
          </cell>
          <cell r="L92">
            <v>450</v>
          </cell>
          <cell r="M92" t="str">
            <v>TSM</v>
          </cell>
          <cell r="N92" t="str">
            <v>PIR</v>
          </cell>
          <cell r="O92">
            <v>46</v>
          </cell>
          <cell r="P92">
            <v>450</v>
          </cell>
          <cell r="Q92">
            <v>450</v>
          </cell>
          <cell r="R92" t="str">
            <v>EPI3</v>
          </cell>
          <cell r="S92" t="str">
            <v>direct</v>
          </cell>
          <cell r="T92">
            <v>38</v>
          </cell>
          <cell r="U92" t="str">
            <v>BUC;FAF;HCS;SUZ</v>
          </cell>
          <cell r="V92" t="str">
            <v>BUC;FAF;HCS;SUZ</v>
          </cell>
          <cell r="W92" t="str">
            <v>BUC;FAF;HCS;SUZ</v>
          </cell>
          <cell r="X92" t="str">
            <v>BUC;FAF;HCS;SUZ</v>
          </cell>
        </row>
        <row r="93">
          <cell r="C93" t="str">
            <v>Mundra</v>
          </cell>
          <cell r="D93" t="str">
            <v>MUN</v>
          </cell>
          <cell r="E93" t="str">
            <v>India</v>
          </cell>
          <cell r="F93">
            <v>450</v>
          </cell>
          <cell r="G93">
            <v>450</v>
          </cell>
          <cell r="H93" t="str">
            <v>AEM3</v>
          </cell>
          <cell r="I93" t="str">
            <v>PIR</v>
          </cell>
          <cell r="J93">
            <v>47</v>
          </cell>
          <cell r="K93">
            <v>450</v>
          </cell>
          <cell r="L93">
            <v>450</v>
          </cell>
          <cell r="M93" t="str">
            <v>TSM</v>
          </cell>
          <cell r="N93" t="str">
            <v>PIR</v>
          </cell>
          <cell r="O93">
            <v>44</v>
          </cell>
          <cell r="P93">
            <v>450</v>
          </cell>
          <cell r="Q93">
            <v>450</v>
          </cell>
          <cell r="R93" t="str">
            <v>EPI3</v>
          </cell>
          <cell r="S93" t="str">
            <v>direct</v>
          </cell>
          <cell r="T93">
            <v>40</v>
          </cell>
          <cell r="U93" t="str">
            <v>BUC;FAF;HCS;SUZ</v>
          </cell>
          <cell r="V93" t="str">
            <v>BUC;FAF;HCS;SUZ</v>
          </cell>
          <cell r="W93" t="str">
            <v>BUC;FAF;HCS;SUZ</v>
          </cell>
          <cell r="X93" t="str">
            <v>BUC;FAF;HCS;SUZ</v>
          </cell>
        </row>
        <row r="94">
          <cell r="C94" t="str">
            <v>Colombo</v>
          </cell>
          <cell r="D94" t="str">
            <v>CMB</v>
          </cell>
          <cell r="E94" t="str">
            <v>Sri Lanka</v>
          </cell>
          <cell r="F94">
            <v>450</v>
          </cell>
          <cell r="G94">
            <v>450</v>
          </cell>
          <cell r="H94" t="str">
            <v>AEM3</v>
          </cell>
          <cell r="I94" t="str">
            <v>PIR</v>
          </cell>
          <cell r="J94">
            <v>53</v>
          </cell>
          <cell r="K94">
            <v>450</v>
          </cell>
          <cell r="L94">
            <v>450</v>
          </cell>
          <cell r="M94" t="str">
            <v>TSM</v>
          </cell>
          <cell r="N94" t="str">
            <v>PIR</v>
          </cell>
          <cell r="O94">
            <v>51</v>
          </cell>
          <cell r="U94" t="str">
            <v>BUC;FAF;HCS;SUZ</v>
          </cell>
          <cell r="V94" t="str">
            <v>BUC;FAF;HCS;SUZ</v>
          </cell>
          <cell r="X94" t="str">
            <v>BUC;FAF;HCS;SUZ</v>
          </cell>
        </row>
        <row r="95">
          <cell r="C95" t="str">
            <v>Adelaide</v>
          </cell>
        </row>
        <row r="96">
          <cell r="C96" t="str">
            <v>Brisbane</v>
          </cell>
        </row>
        <row r="97">
          <cell r="C97" t="str">
            <v>Melbourne</v>
          </cell>
        </row>
        <row r="98">
          <cell r="C98" t="str">
            <v>Fremantle</v>
          </cell>
        </row>
        <row r="99">
          <cell r="C99" t="str">
            <v>Sydney</v>
          </cell>
        </row>
        <row r="100">
          <cell r="C100" t="str">
            <v>Auckland</v>
          </cell>
        </row>
        <row r="101">
          <cell r="C101" t="str">
            <v>Lyttelton</v>
          </cell>
        </row>
        <row r="102">
          <cell r="C102" t="str">
            <v>Napier</v>
          </cell>
        </row>
        <row r="103">
          <cell r="C103" t="str">
            <v>Tauranga</v>
          </cell>
        </row>
        <row r="104">
          <cell r="C104" t="str">
            <v>Wellington</v>
          </cell>
        </row>
        <row r="105">
          <cell r="C105" t="str">
            <v>Timaru</v>
          </cell>
        </row>
      </sheetData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ynconhub.coscoshipping.com/" TargetMode="External"/><Relationship Id="rId13" Type="http://schemas.openxmlformats.org/officeDocument/2006/relationships/hyperlink" Target="https://elines.coscoshipping.com/local/sn/schedule/outbound" TargetMode="External"/><Relationship Id="rId3" Type="http://schemas.openxmlformats.org/officeDocument/2006/relationships/hyperlink" Target="https://world.lines.coscoshipping.com/spain/en/services/tariffs/1/1" TargetMode="External"/><Relationship Id="rId7" Type="http://schemas.openxmlformats.org/officeDocument/2006/relationships/hyperlink" Target="https://elines.coscoshipping.com/ebusiness/demurrageDetentionTariff" TargetMode="External"/><Relationship Id="rId12" Type="http://schemas.openxmlformats.org/officeDocument/2006/relationships/hyperlink" Target="http://elines.coscoshipping.com/ebusiness/demurrageDetentionTariff" TargetMode="External"/><Relationship Id="rId2" Type="http://schemas.openxmlformats.org/officeDocument/2006/relationships/hyperlink" Target="https://world.lines.coscoshipping.com/statics/sites/main/local/spain/es/services/Tarifas/PublishingImages/Pages/default/COSCO%20Transport%20Conditions%202023%20-%20Espa%C3%B1ol%20v3.0.pdf" TargetMode="External"/><Relationship Id="rId1" Type="http://schemas.openxmlformats.org/officeDocument/2006/relationships/hyperlink" Target="http://elines.coscoshipping.com/ebusiness/demurrageDetentionTariff" TargetMode="External"/><Relationship Id="rId6" Type="http://schemas.openxmlformats.org/officeDocument/2006/relationships/hyperlink" Target="https://world.lines.coscoshipping.com/statics/sites/main/local/spain/es/services/Tarifas/PublishingImages/Pages/default/COSCO%20Transport%20Conditions%202023%20-%20Espa%C3%B1ol%20v3.0.pdf" TargetMode="External"/><Relationship Id="rId11" Type="http://schemas.openxmlformats.org/officeDocument/2006/relationships/hyperlink" Target="http://elines.coscoshipping.com/ebusiness/EuropeTradePrice" TargetMode="External"/><Relationship Id="rId5" Type="http://schemas.openxmlformats.org/officeDocument/2006/relationships/hyperlink" Target="https://world.lines.coscoshipping.com/statics/sites/main/local/spain/en/services/tariffs/PublishingImages/Pages/default/COSCO%20Transport%20Conditions%202023.pdf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https://apc01.safelinks.protection.outlook.com/?url=http%3A%2F%2Fpkapp.pka.gov.my%2Fdg%2Funno.php%3Funno%3D3462%26Search%3DSearch&amp;data=05%7C01%7Candreas.betzold%40coscoshipping.de%7C354962dd5b0546dcdcc808da546321e5%7Cff308fd09421454ab8b34d36252ab3a3%7C0%7C0%7C637915082001854931%7CUnknown%7CTWFpbGZsb3d8eyJWIjoiMC4wLjAwMDAiLCJQIjoiV2luMzIiLCJBTiI6Ik1haWwiLCJXVCI6Mn0%3D%7C3000%7C%7C%7C&amp;sdata=WAkuVEoe4TB6lA4kKiJ7ga2M1HAePb22ISdBIXuNsKU%3D&amp;reserved=0" TargetMode="External"/><Relationship Id="rId4" Type="http://schemas.openxmlformats.org/officeDocument/2006/relationships/hyperlink" Target="https://world.lines.coscoshipping.com/spain/en/services/barcelonaschedules/1/1" TargetMode="External"/><Relationship Id="rId9" Type="http://schemas.openxmlformats.org/officeDocument/2006/relationships/hyperlink" Target="https://synconhub.coscoshipping.com/zh-cn/region/de/helps/tutorial-video/" TargetMode="External"/><Relationship Id="rId14" Type="http://schemas.openxmlformats.org/officeDocument/2006/relationships/hyperlink" Target="https://world.lines.coscoshipping.com/spain/es/services/Tarifas/1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D40D-DEFB-4073-AE4F-170E3DB27DD7}">
  <dimension ref="A1:CF170"/>
  <sheetViews>
    <sheetView tabSelected="1" topLeftCell="A156" workbookViewId="0">
      <selection activeCell="D179" sqref="D179"/>
    </sheetView>
  </sheetViews>
  <sheetFormatPr defaultColWidth="11.44140625" defaultRowHeight="10.199999999999999" x14ac:dyDescent="0.2"/>
  <cols>
    <col min="1" max="1" width="4.6640625" style="2" customWidth="1"/>
    <col min="2" max="2" width="16.5546875" style="3" customWidth="1"/>
    <col min="3" max="3" width="8.5546875" style="3" customWidth="1"/>
    <col min="4" max="4" width="18.6640625" style="3" customWidth="1"/>
    <col min="5" max="5" width="10.33203125" style="3" bestFit="1" customWidth="1"/>
    <col min="6" max="6" width="0.44140625" style="3" customWidth="1"/>
    <col min="7" max="7" width="8.5546875" style="3" customWidth="1"/>
    <col min="8" max="8" width="8.5546875" style="3" bestFit="1" customWidth="1"/>
    <col min="9" max="11" width="8.88671875" style="3" bestFit="1" customWidth="1"/>
    <col min="12" max="12" width="0.44140625" style="4" customWidth="1"/>
    <col min="13" max="13" width="8.33203125" style="3" bestFit="1" customWidth="1"/>
    <col min="14" max="14" width="11.88671875" style="3" customWidth="1"/>
    <col min="15" max="15" width="8.88671875" style="3" customWidth="1"/>
    <col min="16" max="16" width="8" style="3" bestFit="1" customWidth="1"/>
    <col min="17" max="17" width="10.44140625" style="3" customWidth="1"/>
    <col min="18" max="18" width="0.44140625" style="4" customWidth="1"/>
    <col min="19" max="19" width="9.5546875" style="3" bestFit="1" customWidth="1"/>
    <col min="20" max="20" width="12.5546875" style="3" bestFit="1" customWidth="1"/>
    <col min="21" max="21" width="8.88671875" style="3" bestFit="1" customWidth="1"/>
    <col min="22" max="23" width="8.33203125" style="3" bestFit="1" customWidth="1"/>
    <col min="24" max="24" width="0.44140625" style="4" customWidth="1"/>
    <col min="25" max="25" width="8.88671875" style="3" customWidth="1"/>
    <col min="26" max="27" width="8.88671875" style="5" customWidth="1"/>
    <col min="28" max="28" width="8.33203125" style="5" bestFit="1" customWidth="1"/>
    <col min="29" max="29" width="7.33203125" style="5" bestFit="1" customWidth="1"/>
    <col min="30" max="30" width="0.33203125" style="5" customWidth="1"/>
    <col min="31" max="31" width="27.88671875" style="3" bestFit="1" customWidth="1"/>
    <col min="32" max="32" width="31" style="5" bestFit="1" customWidth="1"/>
    <col min="33" max="84" width="11.44140625" style="5"/>
    <col min="85" max="16384" width="11.44140625" style="7"/>
  </cols>
  <sheetData>
    <row r="1" spans="2:32" x14ac:dyDescent="0.2">
      <c r="AD1" s="6"/>
    </row>
    <row r="2" spans="2:32" ht="16.5" customHeight="1" x14ac:dyDescent="0.2">
      <c r="Y2" s="8"/>
      <c r="Z2" s="8"/>
      <c r="AA2" s="8"/>
      <c r="AB2" s="8"/>
      <c r="AC2" s="8"/>
      <c r="AD2" s="9"/>
      <c r="AE2" s="8"/>
      <c r="AF2" s="8"/>
    </row>
    <row r="3" spans="2:32" s="8" customFormat="1" ht="16.5" customHeight="1" x14ac:dyDescent="0.3">
      <c r="B3" s="10" t="s">
        <v>0</v>
      </c>
      <c r="C3" s="11"/>
      <c r="D3" s="11"/>
      <c r="E3" s="11"/>
      <c r="F3" s="11"/>
      <c r="G3" s="11"/>
      <c r="H3" s="11"/>
      <c r="I3" s="11"/>
      <c r="J3" s="11"/>
      <c r="K3" s="12"/>
      <c r="L3" s="13"/>
      <c r="M3" s="13"/>
      <c r="N3" s="13"/>
      <c r="AD3" s="9"/>
    </row>
    <row r="4" spans="2:32" s="8" customFormat="1" ht="12" x14ac:dyDescent="0.3">
      <c r="B4" s="14" t="s">
        <v>1</v>
      </c>
      <c r="C4" s="15"/>
      <c r="D4" s="16" t="s">
        <v>2</v>
      </c>
      <c r="E4" s="16"/>
      <c r="F4" s="16"/>
      <c r="G4" s="16"/>
      <c r="H4" s="16"/>
      <c r="I4" s="16"/>
      <c r="J4" s="16"/>
      <c r="K4" s="17"/>
      <c r="L4" s="13"/>
      <c r="M4" s="13"/>
      <c r="N4" s="13"/>
      <c r="AD4" s="9"/>
    </row>
    <row r="5" spans="2:32" s="8" customFormat="1" ht="25.2" customHeight="1" x14ac:dyDescent="0.3">
      <c r="B5" s="18" t="s">
        <v>3</v>
      </c>
      <c r="C5" s="19"/>
      <c r="D5" s="20" t="s">
        <v>4</v>
      </c>
      <c r="E5" s="20"/>
      <c r="F5" s="20"/>
      <c r="G5" s="20"/>
      <c r="H5" s="20"/>
      <c r="I5" s="20"/>
      <c r="J5" s="20"/>
      <c r="K5" s="21"/>
      <c r="L5" s="13"/>
      <c r="M5" s="13"/>
      <c r="N5" s="13"/>
      <c r="AD5" s="9"/>
    </row>
    <row r="6" spans="2:32" s="8" customFormat="1" ht="16.5" customHeight="1" x14ac:dyDescent="0.3">
      <c r="B6" s="22" t="s">
        <v>5</v>
      </c>
      <c r="C6" s="22"/>
      <c r="D6" s="23"/>
      <c r="E6" s="23"/>
      <c r="F6" s="24"/>
      <c r="G6" s="25"/>
      <c r="H6" s="25"/>
      <c r="I6" s="25"/>
      <c r="J6" s="13"/>
      <c r="K6" s="13"/>
      <c r="L6" s="4"/>
      <c r="M6" s="13"/>
      <c r="N6" s="13"/>
      <c r="AD6" s="9"/>
    </row>
    <row r="7" spans="2:32" s="8" customFormat="1" ht="16.5" customHeight="1" x14ac:dyDescent="0.3">
      <c r="B7" s="26"/>
      <c r="C7" s="26"/>
      <c r="D7" s="26"/>
      <c r="E7" s="26"/>
      <c r="F7" s="27"/>
      <c r="G7" s="28"/>
      <c r="H7" s="25"/>
      <c r="I7" s="25"/>
      <c r="J7" s="13"/>
      <c r="K7" s="13"/>
      <c r="L7" s="4"/>
      <c r="M7" s="13"/>
      <c r="N7" s="26" t="s">
        <v>6</v>
      </c>
      <c r="O7" s="29"/>
      <c r="P7" s="29"/>
      <c r="Q7" s="29"/>
      <c r="R7" s="29"/>
      <c r="S7" s="29"/>
      <c r="T7" s="29"/>
      <c r="U7" s="29"/>
      <c r="V7" s="29"/>
      <c r="W7" s="29"/>
      <c r="AD7" s="9"/>
    </row>
    <row r="8" spans="2:32" s="8" customFormat="1" ht="16.5" customHeight="1" x14ac:dyDescent="0.3">
      <c r="B8" s="30"/>
      <c r="C8" s="30"/>
      <c r="D8" s="31"/>
      <c r="E8" s="31"/>
      <c r="F8" s="24"/>
      <c r="G8" s="31"/>
      <c r="H8" s="31"/>
      <c r="I8" s="31"/>
      <c r="J8" s="13"/>
      <c r="K8" s="13"/>
      <c r="L8" s="4"/>
      <c r="M8" s="13"/>
      <c r="N8" s="32"/>
      <c r="O8" s="29"/>
      <c r="P8" s="29"/>
      <c r="Q8" s="29"/>
      <c r="R8" s="29"/>
      <c r="S8" s="29"/>
      <c r="T8" s="29"/>
      <c r="U8" s="29"/>
      <c r="V8" s="29"/>
      <c r="W8" s="29"/>
      <c r="AD8" s="9"/>
    </row>
    <row r="9" spans="2:32" s="8" customFormat="1" ht="16.5" customHeight="1" x14ac:dyDescent="0.3">
      <c r="B9" s="33"/>
      <c r="C9" s="33"/>
      <c r="D9" s="34"/>
      <c r="E9" s="24"/>
      <c r="F9" s="24"/>
      <c r="G9" s="35"/>
      <c r="H9" s="36"/>
      <c r="I9" s="36"/>
      <c r="J9" s="37"/>
      <c r="K9" s="37"/>
      <c r="L9" s="4"/>
      <c r="M9" s="13"/>
      <c r="N9" s="38" t="s">
        <v>7</v>
      </c>
      <c r="O9" s="39"/>
      <c r="P9" s="39"/>
      <c r="Q9" s="39"/>
      <c r="R9" s="39"/>
      <c r="S9" s="39"/>
      <c r="T9" s="29"/>
      <c r="U9" s="29"/>
      <c r="V9" s="29"/>
      <c r="W9" s="29"/>
      <c r="AD9" s="9"/>
    </row>
    <row r="10" spans="2:32" s="8" customFormat="1" ht="16.5" customHeight="1" x14ac:dyDescent="0.3">
      <c r="B10" s="33"/>
      <c r="C10" s="33"/>
      <c r="D10" s="34"/>
      <c r="E10" s="24"/>
      <c r="F10" s="40"/>
      <c r="G10" s="35"/>
      <c r="H10" s="36"/>
      <c r="I10" s="36"/>
      <c r="J10" s="37"/>
      <c r="K10" s="37"/>
      <c r="L10" s="4"/>
      <c r="M10" s="13"/>
      <c r="N10" s="38"/>
      <c r="O10" s="39"/>
      <c r="P10" s="39"/>
      <c r="Q10" s="39"/>
      <c r="R10" s="39"/>
      <c r="S10" s="39"/>
      <c r="T10" s="29"/>
      <c r="U10" s="29"/>
      <c r="V10" s="29"/>
      <c r="W10" s="29"/>
      <c r="AD10" s="9"/>
    </row>
    <row r="11" spans="2:32" s="8" customFormat="1" ht="16.5" customHeight="1" x14ac:dyDescent="0.3">
      <c r="B11" s="33"/>
      <c r="C11" s="33"/>
      <c r="D11" s="34"/>
      <c r="E11" s="24"/>
      <c r="F11" s="40"/>
      <c r="G11" s="35"/>
      <c r="H11" s="36"/>
      <c r="I11" s="36"/>
      <c r="J11" s="37"/>
      <c r="K11" s="37"/>
      <c r="L11" s="4"/>
      <c r="M11" s="13"/>
      <c r="N11" s="38" t="s">
        <v>8</v>
      </c>
      <c r="O11" s="39"/>
      <c r="P11" s="39"/>
      <c r="Q11" s="39"/>
      <c r="R11" s="39"/>
      <c r="S11" s="39"/>
      <c r="T11" s="29"/>
      <c r="U11" s="29"/>
      <c r="V11" s="29"/>
      <c r="W11" s="29"/>
      <c r="AD11" s="9"/>
    </row>
    <row r="12" spans="2:32" ht="16.5" customHeight="1" x14ac:dyDescent="0.2">
      <c r="AD12" s="6"/>
    </row>
    <row r="13" spans="2:32" x14ac:dyDescent="0.2">
      <c r="AD13" s="6"/>
    </row>
    <row r="14" spans="2:32" x14ac:dyDescent="0.2">
      <c r="AD14" s="6"/>
    </row>
    <row r="15" spans="2:32" x14ac:dyDescent="0.2">
      <c r="AD15" s="6"/>
    </row>
    <row r="16" spans="2:32" s="8" customFormat="1" ht="27.6" x14ac:dyDescent="0.3">
      <c r="B16" s="41" t="s">
        <v>9</v>
      </c>
      <c r="C16" s="42" t="s">
        <v>10</v>
      </c>
      <c r="D16" s="41" t="s">
        <v>11</v>
      </c>
      <c r="E16" s="42" t="s">
        <v>12</v>
      </c>
      <c r="F16" s="43"/>
      <c r="G16" s="42" t="s">
        <v>13</v>
      </c>
      <c r="H16" s="42"/>
      <c r="I16" s="42"/>
      <c r="J16" s="42"/>
      <c r="K16" s="42"/>
      <c r="L16" s="4"/>
      <c r="M16" s="42" t="s">
        <v>14</v>
      </c>
      <c r="N16" s="42"/>
      <c r="O16" s="42"/>
      <c r="P16" s="42"/>
      <c r="Q16" s="42"/>
      <c r="R16" s="4"/>
      <c r="S16" s="42" t="s">
        <v>15</v>
      </c>
      <c r="T16" s="42"/>
      <c r="U16" s="42"/>
      <c r="V16" s="42"/>
      <c r="W16" s="42"/>
      <c r="X16" s="44"/>
      <c r="Y16" s="42" t="s">
        <v>16</v>
      </c>
      <c r="Z16" s="42"/>
      <c r="AA16" s="42"/>
      <c r="AB16" s="42"/>
      <c r="AC16" s="42"/>
      <c r="AD16" s="45"/>
      <c r="AE16" s="46" t="s">
        <v>17</v>
      </c>
      <c r="AF16" s="46" t="s">
        <v>18</v>
      </c>
    </row>
    <row r="17" spans="2:32" s="47" customFormat="1" ht="13.8" x14ac:dyDescent="0.3">
      <c r="B17" s="41"/>
      <c r="C17" s="42"/>
      <c r="D17" s="41"/>
      <c r="E17" s="42"/>
      <c r="F17" s="43"/>
      <c r="G17" s="48" t="s">
        <v>19</v>
      </c>
      <c r="H17" s="48" t="s">
        <v>20</v>
      </c>
      <c r="I17" s="48" t="s">
        <v>21</v>
      </c>
      <c r="J17" s="48" t="s">
        <v>22</v>
      </c>
      <c r="K17" s="48" t="s">
        <v>23</v>
      </c>
      <c r="L17" s="4"/>
      <c r="M17" s="48" t="s">
        <v>19</v>
      </c>
      <c r="N17" s="48" t="s">
        <v>20</v>
      </c>
      <c r="O17" s="48" t="s">
        <v>21</v>
      </c>
      <c r="P17" s="48" t="s">
        <v>22</v>
      </c>
      <c r="Q17" s="48" t="s">
        <v>23</v>
      </c>
      <c r="R17" s="4"/>
      <c r="S17" s="48" t="s">
        <v>19</v>
      </c>
      <c r="T17" s="48" t="s">
        <v>20</v>
      </c>
      <c r="U17" s="48" t="s">
        <v>21</v>
      </c>
      <c r="V17" s="48" t="s">
        <v>22</v>
      </c>
      <c r="W17" s="48" t="s">
        <v>23</v>
      </c>
      <c r="X17" s="44"/>
      <c r="Y17" s="48" t="s">
        <v>19</v>
      </c>
      <c r="Z17" s="48" t="s">
        <v>20</v>
      </c>
      <c r="AA17" s="48" t="s">
        <v>21</v>
      </c>
      <c r="AB17" s="48" t="s">
        <v>22</v>
      </c>
      <c r="AC17" s="48" t="s">
        <v>23</v>
      </c>
      <c r="AD17" s="45"/>
      <c r="AE17" s="46"/>
      <c r="AF17" s="46"/>
    </row>
    <row r="18" spans="2:32" s="8" customFormat="1" ht="16.5" customHeight="1" x14ac:dyDescent="0.3">
      <c r="B18" s="49" t="s">
        <v>24</v>
      </c>
      <c r="C18" s="49" t="s">
        <v>25</v>
      </c>
      <c r="D18" s="50" t="s">
        <v>26</v>
      </c>
      <c r="E18" s="51" t="s">
        <v>27</v>
      </c>
      <c r="F18" s="4"/>
      <c r="G18" s="52">
        <v>265</v>
      </c>
      <c r="H18" s="52">
        <v>415</v>
      </c>
      <c r="I18" s="52" t="s">
        <v>28</v>
      </c>
      <c r="J18" s="52" t="s">
        <v>29</v>
      </c>
      <c r="K18" s="53">
        <v>57</v>
      </c>
      <c r="L18" s="54"/>
      <c r="M18" s="52">
        <v>265</v>
      </c>
      <c r="N18" s="52">
        <v>415</v>
      </c>
      <c r="O18" s="52" t="s">
        <v>30</v>
      </c>
      <c r="P18" s="52" t="s">
        <v>31</v>
      </c>
      <c r="Q18" s="53">
        <v>35</v>
      </c>
      <c r="R18" s="4"/>
      <c r="S18" s="52">
        <v>265</v>
      </c>
      <c r="T18" s="52">
        <v>415</v>
      </c>
      <c r="U18" s="53" t="s">
        <v>32</v>
      </c>
      <c r="V18" s="53" t="s">
        <v>33</v>
      </c>
      <c r="W18" s="53">
        <v>57</v>
      </c>
      <c r="X18" s="44"/>
      <c r="Y18" s="52">
        <v>545</v>
      </c>
      <c r="Z18" s="52">
        <v>695</v>
      </c>
      <c r="AA18" s="52" t="s">
        <v>30</v>
      </c>
      <c r="AB18" s="52" t="s">
        <v>31</v>
      </c>
      <c r="AC18" s="53">
        <v>38</v>
      </c>
      <c r="AE18" s="53" t="s">
        <v>34</v>
      </c>
      <c r="AF18" s="50"/>
    </row>
    <row r="19" spans="2:32" s="55" customFormat="1" ht="16.5" customHeight="1" x14ac:dyDescent="0.3">
      <c r="B19" s="49" t="s">
        <v>35</v>
      </c>
      <c r="C19" s="49" t="s">
        <v>36</v>
      </c>
      <c r="D19" s="49" t="s">
        <v>37</v>
      </c>
      <c r="E19" s="49" t="s">
        <v>27</v>
      </c>
      <c r="F19" s="4"/>
      <c r="G19" s="56">
        <v>165</v>
      </c>
      <c r="H19" s="56">
        <v>265</v>
      </c>
      <c r="I19" s="52" t="s">
        <v>28</v>
      </c>
      <c r="J19" s="49" t="s">
        <v>38</v>
      </c>
      <c r="K19" s="57">
        <v>74</v>
      </c>
      <c r="L19" s="54"/>
      <c r="M19" s="56">
        <v>165</v>
      </c>
      <c r="N19" s="56">
        <v>265</v>
      </c>
      <c r="O19" s="56" t="s">
        <v>30</v>
      </c>
      <c r="P19" s="49" t="s">
        <v>38</v>
      </c>
      <c r="Q19" s="57">
        <v>52</v>
      </c>
      <c r="R19" s="54"/>
      <c r="S19" s="56" t="s">
        <v>39</v>
      </c>
      <c r="T19" s="56" t="s">
        <v>39</v>
      </c>
      <c r="U19" s="58" t="s">
        <v>39</v>
      </c>
      <c r="V19" s="59" t="s">
        <v>39</v>
      </c>
      <c r="W19" s="60" t="s">
        <v>39</v>
      </c>
      <c r="X19" s="61"/>
      <c r="Y19" s="56">
        <v>445</v>
      </c>
      <c r="Z19" s="56">
        <v>545</v>
      </c>
      <c r="AA19" s="56" t="s">
        <v>30</v>
      </c>
      <c r="AB19" s="49" t="s">
        <v>38</v>
      </c>
      <c r="AC19" s="57">
        <v>55</v>
      </c>
      <c r="AE19" s="50" t="s">
        <v>34</v>
      </c>
      <c r="AF19" s="62"/>
    </row>
    <row r="20" spans="2:32" s="8" customFormat="1" ht="16.5" customHeight="1" x14ac:dyDescent="0.3">
      <c r="B20" s="49" t="s">
        <v>40</v>
      </c>
      <c r="C20" s="49" t="s">
        <v>41</v>
      </c>
      <c r="D20" s="50" t="s">
        <v>37</v>
      </c>
      <c r="E20" s="51" t="s">
        <v>27</v>
      </c>
      <c r="F20" s="4"/>
      <c r="G20" s="56">
        <v>115</v>
      </c>
      <c r="H20" s="56">
        <v>215</v>
      </c>
      <c r="I20" s="52" t="s">
        <v>28</v>
      </c>
      <c r="J20" s="58" t="s">
        <v>38</v>
      </c>
      <c r="K20" s="50">
        <v>68</v>
      </c>
      <c r="L20" s="4"/>
      <c r="M20" s="56">
        <v>115</v>
      </c>
      <c r="N20" s="56">
        <v>215</v>
      </c>
      <c r="O20" s="56" t="s">
        <v>30</v>
      </c>
      <c r="P20" s="51" t="s">
        <v>38</v>
      </c>
      <c r="Q20" s="50">
        <v>45</v>
      </c>
      <c r="R20" s="4"/>
      <c r="S20" s="56" t="s">
        <v>39</v>
      </c>
      <c r="T20" s="56" t="s">
        <v>39</v>
      </c>
      <c r="U20" s="58" t="s">
        <v>39</v>
      </c>
      <c r="V20" s="59" t="s">
        <v>39</v>
      </c>
      <c r="W20" s="60" t="s">
        <v>39</v>
      </c>
      <c r="X20" s="44"/>
      <c r="Y20" s="56">
        <v>395</v>
      </c>
      <c r="Z20" s="56">
        <v>495</v>
      </c>
      <c r="AA20" s="56" t="s">
        <v>30</v>
      </c>
      <c r="AB20" s="51" t="s">
        <v>38</v>
      </c>
      <c r="AC20" s="50">
        <v>48</v>
      </c>
      <c r="AE20" s="50" t="s">
        <v>34</v>
      </c>
      <c r="AF20" s="50"/>
    </row>
    <row r="21" spans="2:32" s="55" customFormat="1" ht="16.5" customHeight="1" x14ac:dyDescent="0.3">
      <c r="B21" s="49" t="s">
        <v>42</v>
      </c>
      <c r="C21" s="49" t="s">
        <v>43</v>
      </c>
      <c r="D21" s="50" t="s">
        <v>37</v>
      </c>
      <c r="E21" s="51" t="s">
        <v>27</v>
      </c>
      <c r="F21" s="4"/>
      <c r="G21" s="56">
        <v>115</v>
      </c>
      <c r="H21" s="56">
        <v>215</v>
      </c>
      <c r="I21" s="52" t="s">
        <v>28</v>
      </c>
      <c r="J21" s="58" t="s">
        <v>38</v>
      </c>
      <c r="K21" s="50">
        <v>66</v>
      </c>
      <c r="L21" s="54"/>
      <c r="M21" s="56">
        <v>115</v>
      </c>
      <c r="N21" s="56">
        <v>215</v>
      </c>
      <c r="O21" s="56" t="s">
        <v>30</v>
      </c>
      <c r="P21" s="51" t="s">
        <v>38</v>
      </c>
      <c r="Q21" s="50">
        <v>46</v>
      </c>
      <c r="R21" s="54"/>
      <c r="S21" s="56" t="s">
        <v>39</v>
      </c>
      <c r="T21" s="56" t="s">
        <v>39</v>
      </c>
      <c r="U21" s="58" t="s">
        <v>39</v>
      </c>
      <c r="V21" s="59" t="s">
        <v>39</v>
      </c>
      <c r="W21" s="60" t="s">
        <v>39</v>
      </c>
      <c r="X21" s="61"/>
      <c r="Y21" s="56">
        <v>395</v>
      </c>
      <c r="Z21" s="56">
        <v>495</v>
      </c>
      <c r="AA21" s="56" t="s">
        <v>30</v>
      </c>
      <c r="AB21" s="51" t="s">
        <v>38</v>
      </c>
      <c r="AC21" s="50">
        <v>49</v>
      </c>
      <c r="AE21" s="50" t="s">
        <v>34</v>
      </c>
      <c r="AF21" s="50"/>
    </row>
    <row r="22" spans="2:32" s="55" customFormat="1" ht="16.5" customHeight="1" x14ac:dyDescent="0.3">
      <c r="B22" s="49" t="s">
        <v>44</v>
      </c>
      <c r="C22" s="49" t="s">
        <v>45</v>
      </c>
      <c r="D22" s="50" t="s">
        <v>37</v>
      </c>
      <c r="E22" s="51" t="s">
        <v>27</v>
      </c>
      <c r="F22" s="4"/>
      <c r="G22" s="56">
        <v>190</v>
      </c>
      <c r="H22" s="56">
        <v>365</v>
      </c>
      <c r="I22" s="52" t="s">
        <v>28</v>
      </c>
      <c r="J22" s="58" t="s">
        <v>46</v>
      </c>
      <c r="K22" s="50">
        <v>69</v>
      </c>
      <c r="L22" s="54"/>
      <c r="M22" s="56">
        <v>190</v>
      </c>
      <c r="N22" s="56">
        <v>365</v>
      </c>
      <c r="O22" s="56" t="s">
        <v>30</v>
      </c>
      <c r="P22" s="58" t="s">
        <v>46</v>
      </c>
      <c r="Q22" s="50">
        <v>46</v>
      </c>
      <c r="R22" s="54"/>
      <c r="S22" s="56">
        <v>190</v>
      </c>
      <c r="T22" s="56">
        <v>365</v>
      </c>
      <c r="U22" s="58" t="s">
        <v>32</v>
      </c>
      <c r="V22" s="59" t="s">
        <v>33</v>
      </c>
      <c r="W22" s="60">
        <v>55</v>
      </c>
      <c r="X22" s="61"/>
      <c r="Y22" s="56">
        <v>470</v>
      </c>
      <c r="Z22" s="56">
        <v>645</v>
      </c>
      <c r="AA22" s="56" t="s">
        <v>30</v>
      </c>
      <c r="AB22" s="58" t="s">
        <v>46</v>
      </c>
      <c r="AC22" s="50">
        <v>49</v>
      </c>
      <c r="AE22" s="50" t="s">
        <v>34</v>
      </c>
      <c r="AF22" s="50" t="s">
        <v>47</v>
      </c>
    </row>
    <row r="23" spans="2:32" s="55" customFormat="1" ht="16.5" customHeight="1" x14ac:dyDescent="0.3">
      <c r="B23" s="49" t="s">
        <v>48</v>
      </c>
      <c r="C23" s="49" t="s">
        <v>49</v>
      </c>
      <c r="D23" s="50" t="s">
        <v>37</v>
      </c>
      <c r="E23" s="51" t="s">
        <v>27</v>
      </c>
      <c r="F23" s="4"/>
      <c r="G23" s="56">
        <v>165</v>
      </c>
      <c r="H23" s="56">
        <v>265</v>
      </c>
      <c r="I23" s="52" t="s">
        <v>28</v>
      </c>
      <c r="J23" s="63" t="s">
        <v>50</v>
      </c>
      <c r="K23" s="60">
        <v>83</v>
      </c>
      <c r="L23" s="54"/>
      <c r="M23" s="56">
        <v>165</v>
      </c>
      <c r="N23" s="56">
        <v>265</v>
      </c>
      <c r="O23" s="56" t="s">
        <v>30</v>
      </c>
      <c r="P23" s="63" t="s">
        <v>51</v>
      </c>
      <c r="Q23" s="60">
        <v>53</v>
      </c>
      <c r="R23" s="54"/>
      <c r="S23" s="56">
        <v>165</v>
      </c>
      <c r="T23" s="56">
        <v>265</v>
      </c>
      <c r="U23" s="63" t="s">
        <v>32</v>
      </c>
      <c r="V23" s="59" t="s">
        <v>33</v>
      </c>
      <c r="W23" s="60">
        <v>69</v>
      </c>
      <c r="X23" s="61"/>
      <c r="Y23" s="56">
        <v>445</v>
      </c>
      <c r="Z23" s="56">
        <v>545</v>
      </c>
      <c r="AA23" s="56" t="s">
        <v>30</v>
      </c>
      <c r="AB23" s="63" t="s">
        <v>51</v>
      </c>
      <c r="AC23" s="60">
        <v>56</v>
      </c>
      <c r="AE23" s="50" t="s">
        <v>34</v>
      </c>
      <c r="AF23" s="50"/>
    </row>
    <row r="24" spans="2:32" s="55" customFormat="1" ht="16.5" customHeight="1" x14ac:dyDescent="0.3">
      <c r="B24" s="64" t="s">
        <v>52</v>
      </c>
      <c r="C24" s="64" t="s">
        <v>53</v>
      </c>
      <c r="D24" s="65" t="s">
        <v>54</v>
      </c>
      <c r="E24" s="66" t="s">
        <v>27</v>
      </c>
      <c r="F24" s="4"/>
      <c r="G24" s="67">
        <v>65</v>
      </c>
      <c r="H24" s="67">
        <v>115</v>
      </c>
      <c r="I24" s="68" t="s">
        <v>28</v>
      </c>
      <c r="J24" s="69" t="s">
        <v>29</v>
      </c>
      <c r="K24" s="70">
        <v>60</v>
      </c>
      <c r="L24" s="54"/>
      <c r="M24" s="67">
        <v>65</v>
      </c>
      <c r="N24" s="67">
        <v>115</v>
      </c>
      <c r="O24" s="67" t="s">
        <v>30</v>
      </c>
      <c r="P24" s="66" t="s">
        <v>31</v>
      </c>
      <c r="Q24" s="70">
        <v>44</v>
      </c>
      <c r="R24" s="54"/>
      <c r="S24" s="67">
        <v>65</v>
      </c>
      <c r="T24" s="67">
        <v>115</v>
      </c>
      <c r="U24" s="71" t="s">
        <v>32</v>
      </c>
      <c r="V24" s="72" t="s">
        <v>33</v>
      </c>
      <c r="W24" s="73">
        <v>60</v>
      </c>
      <c r="X24" s="61"/>
      <c r="Y24" s="67">
        <v>345</v>
      </c>
      <c r="Z24" s="67">
        <v>395</v>
      </c>
      <c r="AA24" s="67" t="s">
        <v>30</v>
      </c>
      <c r="AB24" s="66" t="s">
        <v>31</v>
      </c>
      <c r="AC24" s="70">
        <v>47</v>
      </c>
      <c r="AE24" s="70" t="s">
        <v>34</v>
      </c>
      <c r="AF24" s="70"/>
    </row>
    <row r="25" spans="2:32" s="74" customFormat="1" ht="16.5" customHeight="1" x14ac:dyDescent="0.3">
      <c r="B25" s="64" t="s">
        <v>55</v>
      </c>
      <c r="C25" s="64" t="s">
        <v>51</v>
      </c>
      <c r="D25" s="65" t="s">
        <v>54</v>
      </c>
      <c r="E25" s="66" t="s">
        <v>27</v>
      </c>
      <c r="F25" s="4"/>
      <c r="G25" s="67">
        <v>65</v>
      </c>
      <c r="H25" s="67">
        <v>115</v>
      </c>
      <c r="I25" s="68" t="s">
        <v>28</v>
      </c>
      <c r="J25" s="69" t="s">
        <v>29</v>
      </c>
      <c r="K25" s="70">
        <v>49</v>
      </c>
      <c r="L25" s="54"/>
      <c r="M25" s="67">
        <v>65</v>
      </c>
      <c r="N25" s="67">
        <v>115</v>
      </c>
      <c r="O25" s="67" t="s">
        <v>30</v>
      </c>
      <c r="P25" s="66" t="s">
        <v>56</v>
      </c>
      <c r="Q25" s="70">
        <v>45</v>
      </c>
      <c r="R25" s="54"/>
      <c r="S25" s="67">
        <v>65</v>
      </c>
      <c r="T25" s="67">
        <v>115</v>
      </c>
      <c r="U25" s="71" t="s">
        <v>57</v>
      </c>
      <c r="V25" s="72" t="s">
        <v>58</v>
      </c>
      <c r="W25" s="73">
        <v>54</v>
      </c>
      <c r="X25" s="61"/>
      <c r="Y25" s="67">
        <v>345</v>
      </c>
      <c r="Z25" s="67">
        <v>395</v>
      </c>
      <c r="AA25" s="67" t="s">
        <v>30</v>
      </c>
      <c r="AB25" s="66" t="s">
        <v>56</v>
      </c>
      <c r="AC25" s="70">
        <v>48</v>
      </c>
      <c r="AE25" s="70" t="s">
        <v>34</v>
      </c>
      <c r="AF25" s="70"/>
    </row>
    <row r="26" spans="2:32" s="55" customFormat="1" ht="16.5" customHeight="1" x14ac:dyDescent="0.3">
      <c r="B26" s="49" t="s">
        <v>59</v>
      </c>
      <c r="C26" s="49" t="s">
        <v>60</v>
      </c>
      <c r="D26" s="50" t="s">
        <v>37</v>
      </c>
      <c r="E26" s="51" t="s">
        <v>27</v>
      </c>
      <c r="F26" s="4"/>
      <c r="G26" s="56">
        <v>165</v>
      </c>
      <c r="H26" s="56">
        <v>265</v>
      </c>
      <c r="I26" s="52" t="s">
        <v>28</v>
      </c>
      <c r="J26" s="58" t="s">
        <v>50</v>
      </c>
      <c r="K26" s="50">
        <v>73</v>
      </c>
      <c r="L26" s="54"/>
      <c r="M26" s="56">
        <v>165</v>
      </c>
      <c r="N26" s="56">
        <v>265</v>
      </c>
      <c r="O26" s="56" t="s">
        <v>30</v>
      </c>
      <c r="P26" s="63" t="s">
        <v>51</v>
      </c>
      <c r="Q26" s="60">
        <v>52</v>
      </c>
      <c r="R26" s="54"/>
      <c r="S26" s="56">
        <v>165</v>
      </c>
      <c r="T26" s="56">
        <v>265</v>
      </c>
      <c r="U26" s="63" t="s">
        <v>32</v>
      </c>
      <c r="V26" s="59" t="s">
        <v>33</v>
      </c>
      <c r="W26" s="60">
        <v>65</v>
      </c>
      <c r="X26" s="61"/>
      <c r="Y26" s="56">
        <v>445</v>
      </c>
      <c r="Z26" s="56">
        <v>545</v>
      </c>
      <c r="AA26" s="56" t="s">
        <v>30</v>
      </c>
      <c r="AB26" s="63" t="s">
        <v>51</v>
      </c>
      <c r="AC26" s="60">
        <v>55</v>
      </c>
      <c r="AE26" s="50" t="s">
        <v>34</v>
      </c>
      <c r="AF26" s="50"/>
    </row>
    <row r="27" spans="2:32" s="55" customFormat="1" ht="16.5" customHeight="1" x14ac:dyDescent="0.3">
      <c r="B27" s="49" t="s">
        <v>61</v>
      </c>
      <c r="C27" s="49" t="s">
        <v>62</v>
      </c>
      <c r="D27" s="50" t="s">
        <v>37</v>
      </c>
      <c r="E27" s="51" t="s">
        <v>27</v>
      </c>
      <c r="F27" s="4"/>
      <c r="G27" s="56">
        <v>165</v>
      </c>
      <c r="H27" s="56">
        <v>265</v>
      </c>
      <c r="I27" s="52" t="s">
        <v>28</v>
      </c>
      <c r="J27" s="58" t="s">
        <v>50</v>
      </c>
      <c r="K27" s="50">
        <v>70</v>
      </c>
      <c r="L27" s="54"/>
      <c r="M27" s="56">
        <v>165</v>
      </c>
      <c r="N27" s="56">
        <v>265</v>
      </c>
      <c r="O27" s="56" t="s">
        <v>30</v>
      </c>
      <c r="P27" s="63" t="s">
        <v>51</v>
      </c>
      <c r="Q27" s="60">
        <v>53</v>
      </c>
      <c r="R27" s="54"/>
      <c r="S27" s="56">
        <v>165</v>
      </c>
      <c r="T27" s="56">
        <v>265</v>
      </c>
      <c r="U27" s="63" t="s">
        <v>32</v>
      </c>
      <c r="V27" s="59" t="s">
        <v>33</v>
      </c>
      <c r="W27" s="60">
        <v>65</v>
      </c>
      <c r="X27" s="61"/>
      <c r="Y27" s="56">
        <v>445</v>
      </c>
      <c r="Z27" s="56">
        <v>545</v>
      </c>
      <c r="AA27" s="56" t="s">
        <v>30</v>
      </c>
      <c r="AB27" s="63" t="s">
        <v>51</v>
      </c>
      <c r="AC27" s="60">
        <v>56</v>
      </c>
      <c r="AE27" s="50" t="s">
        <v>34</v>
      </c>
      <c r="AF27" s="50"/>
    </row>
    <row r="28" spans="2:32" s="55" customFormat="1" ht="16.5" customHeight="1" x14ac:dyDescent="0.3">
      <c r="B28" s="75" t="s">
        <v>63</v>
      </c>
      <c r="C28" s="75" t="s">
        <v>64</v>
      </c>
      <c r="D28" s="60" t="s">
        <v>37</v>
      </c>
      <c r="E28" s="59" t="s">
        <v>27</v>
      </c>
      <c r="F28" s="4"/>
      <c r="G28" s="56">
        <v>165</v>
      </c>
      <c r="H28" s="56">
        <v>315</v>
      </c>
      <c r="I28" s="52" t="s">
        <v>28</v>
      </c>
      <c r="J28" s="58" t="s">
        <v>46</v>
      </c>
      <c r="K28" s="50">
        <v>77</v>
      </c>
      <c r="L28" s="76"/>
      <c r="M28" s="56">
        <v>165</v>
      </c>
      <c r="N28" s="56">
        <v>315</v>
      </c>
      <c r="O28" s="56" t="s">
        <v>30</v>
      </c>
      <c r="P28" s="58" t="s">
        <v>46</v>
      </c>
      <c r="Q28" s="50">
        <v>54</v>
      </c>
      <c r="R28" s="76"/>
      <c r="S28" s="56" t="s">
        <v>39</v>
      </c>
      <c r="T28" s="56" t="s">
        <v>39</v>
      </c>
      <c r="U28" s="58" t="s">
        <v>39</v>
      </c>
      <c r="V28" s="59" t="s">
        <v>39</v>
      </c>
      <c r="W28" s="60" t="s">
        <v>39</v>
      </c>
      <c r="X28" s="44"/>
      <c r="Y28" s="56">
        <v>445</v>
      </c>
      <c r="Z28" s="56">
        <v>595</v>
      </c>
      <c r="AA28" s="56" t="s">
        <v>30</v>
      </c>
      <c r="AB28" s="58" t="s">
        <v>46</v>
      </c>
      <c r="AC28" s="50">
        <v>57</v>
      </c>
      <c r="AE28" s="50" t="s">
        <v>34</v>
      </c>
      <c r="AF28" s="77" t="s">
        <v>65</v>
      </c>
    </row>
    <row r="29" spans="2:32" s="55" customFormat="1" ht="16.5" customHeight="1" x14ac:dyDescent="0.3">
      <c r="B29" s="75" t="s">
        <v>66</v>
      </c>
      <c r="C29" s="75" t="s">
        <v>67</v>
      </c>
      <c r="D29" s="50" t="s">
        <v>37</v>
      </c>
      <c r="E29" s="51" t="s">
        <v>27</v>
      </c>
      <c r="F29" s="4"/>
      <c r="G29" s="56">
        <v>667</v>
      </c>
      <c r="H29" s="56">
        <v>885</v>
      </c>
      <c r="I29" s="52" t="s">
        <v>28</v>
      </c>
      <c r="J29" s="58" t="s">
        <v>38</v>
      </c>
      <c r="K29" s="50">
        <v>83</v>
      </c>
      <c r="L29" s="54"/>
      <c r="M29" s="56">
        <v>667</v>
      </c>
      <c r="N29" s="56">
        <v>885</v>
      </c>
      <c r="O29" s="56" t="s">
        <v>30</v>
      </c>
      <c r="P29" s="51" t="s">
        <v>38</v>
      </c>
      <c r="Q29" s="50">
        <v>60</v>
      </c>
      <c r="R29" s="54"/>
      <c r="S29" s="56" t="s">
        <v>39</v>
      </c>
      <c r="T29" s="56" t="s">
        <v>39</v>
      </c>
      <c r="U29" s="58" t="s">
        <v>39</v>
      </c>
      <c r="V29" s="59" t="s">
        <v>39</v>
      </c>
      <c r="W29" s="60" t="s">
        <v>39</v>
      </c>
      <c r="X29" s="61"/>
      <c r="Y29" s="56">
        <v>947</v>
      </c>
      <c r="Z29" s="56">
        <v>1165</v>
      </c>
      <c r="AA29" s="56" t="s">
        <v>30</v>
      </c>
      <c r="AB29" s="51" t="s">
        <v>38</v>
      </c>
      <c r="AC29" s="50">
        <v>63</v>
      </c>
      <c r="AE29" s="50" t="s">
        <v>34</v>
      </c>
      <c r="AF29" s="50"/>
    </row>
    <row r="30" spans="2:32" s="8" customFormat="1" ht="16.5" customHeight="1" x14ac:dyDescent="0.3">
      <c r="B30" s="75" t="s">
        <v>68</v>
      </c>
      <c r="C30" s="75" t="s">
        <v>69</v>
      </c>
      <c r="D30" s="49" t="s">
        <v>37</v>
      </c>
      <c r="E30" s="49" t="s">
        <v>27</v>
      </c>
      <c r="F30" s="4"/>
      <c r="G30" s="56">
        <v>165</v>
      </c>
      <c r="H30" s="56">
        <v>265</v>
      </c>
      <c r="I30" s="52" t="s">
        <v>28</v>
      </c>
      <c r="J30" s="58" t="s">
        <v>50</v>
      </c>
      <c r="K30" s="50">
        <v>75</v>
      </c>
      <c r="L30" s="54"/>
      <c r="M30" s="56">
        <v>165</v>
      </c>
      <c r="N30" s="56">
        <v>265</v>
      </c>
      <c r="O30" s="56" t="s">
        <v>30</v>
      </c>
      <c r="P30" s="63" t="s">
        <v>51</v>
      </c>
      <c r="Q30" s="60">
        <v>53</v>
      </c>
      <c r="R30" s="54"/>
      <c r="S30" s="56">
        <v>165</v>
      </c>
      <c r="T30" s="56">
        <v>265</v>
      </c>
      <c r="U30" s="78" t="s">
        <v>32</v>
      </c>
      <c r="V30" s="59" t="s">
        <v>33</v>
      </c>
      <c r="W30" s="60">
        <v>62</v>
      </c>
      <c r="X30" s="61"/>
      <c r="Y30" s="56">
        <v>445</v>
      </c>
      <c r="Z30" s="56">
        <v>545</v>
      </c>
      <c r="AA30" s="56" t="s">
        <v>30</v>
      </c>
      <c r="AB30" s="63" t="s">
        <v>51</v>
      </c>
      <c r="AC30" s="60">
        <v>56</v>
      </c>
      <c r="AE30" s="50" t="s">
        <v>34</v>
      </c>
      <c r="AF30" s="50"/>
    </row>
    <row r="31" spans="2:32" s="8" customFormat="1" ht="16.5" customHeight="1" x14ac:dyDescent="0.3">
      <c r="B31" s="75" t="s">
        <v>70</v>
      </c>
      <c r="C31" s="75" t="s">
        <v>71</v>
      </c>
      <c r="D31" s="50" t="s">
        <v>37</v>
      </c>
      <c r="E31" s="51" t="s">
        <v>27</v>
      </c>
      <c r="F31" s="4"/>
      <c r="G31" s="56">
        <v>115</v>
      </c>
      <c r="H31" s="56">
        <v>215</v>
      </c>
      <c r="I31" s="52" t="s">
        <v>28</v>
      </c>
      <c r="J31" s="58" t="s">
        <v>38</v>
      </c>
      <c r="K31" s="50">
        <v>64</v>
      </c>
      <c r="L31" s="4"/>
      <c r="M31" s="56">
        <v>115</v>
      </c>
      <c r="N31" s="56">
        <v>215</v>
      </c>
      <c r="O31" s="56" t="s">
        <v>30</v>
      </c>
      <c r="P31" s="58" t="s">
        <v>38</v>
      </c>
      <c r="Q31" s="50">
        <v>41</v>
      </c>
      <c r="R31" s="4"/>
      <c r="S31" s="56" t="s">
        <v>39</v>
      </c>
      <c r="T31" s="56" t="s">
        <v>39</v>
      </c>
      <c r="U31" s="58" t="s">
        <v>39</v>
      </c>
      <c r="V31" s="59" t="s">
        <v>39</v>
      </c>
      <c r="W31" s="60" t="s">
        <v>39</v>
      </c>
      <c r="X31" s="44"/>
      <c r="Y31" s="56">
        <v>395</v>
      </c>
      <c r="Z31" s="56">
        <v>495</v>
      </c>
      <c r="AA31" s="56" t="s">
        <v>30</v>
      </c>
      <c r="AB31" s="58" t="s">
        <v>38</v>
      </c>
      <c r="AC31" s="50">
        <v>44</v>
      </c>
      <c r="AE31" s="50" t="s">
        <v>34</v>
      </c>
      <c r="AF31" s="50"/>
    </row>
    <row r="32" spans="2:32" s="8" customFormat="1" ht="16.5" customHeight="1" x14ac:dyDescent="0.3">
      <c r="B32" s="64" t="s">
        <v>72</v>
      </c>
      <c r="C32" s="64" t="s">
        <v>50</v>
      </c>
      <c r="D32" s="65" t="s">
        <v>54</v>
      </c>
      <c r="E32" s="66" t="s">
        <v>27</v>
      </c>
      <c r="F32" s="4"/>
      <c r="G32" s="67">
        <v>65</v>
      </c>
      <c r="H32" s="67">
        <v>115</v>
      </c>
      <c r="I32" s="68" t="s">
        <v>28</v>
      </c>
      <c r="J32" s="69" t="s">
        <v>56</v>
      </c>
      <c r="K32" s="70">
        <v>67</v>
      </c>
      <c r="L32" s="54"/>
      <c r="M32" s="67">
        <v>65</v>
      </c>
      <c r="N32" s="67">
        <v>115</v>
      </c>
      <c r="O32" s="67" t="s">
        <v>73</v>
      </c>
      <c r="P32" s="66" t="s">
        <v>56</v>
      </c>
      <c r="Q32" s="70">
        <v>59</v>
      </c>
      <c r="R32" s="54"/>
      <c r="S32" s="67">
        <v>65</v>
      </c>
      <c r="T32" s="67">
        <v>115</v>
      </c>
      <c r="U32" s="71" t="s">
        <v>32</v>
      </c>
      <c r="V32" s="72" t="s">
        <v>33</v>
      </c>
      <c r="W32" s="73">
        <v>60</v>
      </c>
      <c r="X32" s="44"/>
      <c r="Y32" s="67">
        <v>345</v>
      </c>
      <c r="Z32" s="67">
        <v>395</v>
      </c>
      <c r="AA32" s="67" t="s">
        <v>73</v>
      </c>
      <c r="AB32" s="66" t="s">
        <v>56</v>
      </c>
      <c r="AC32" s="70">
        <v>62</v>
      </c>
      <c r="AE32" s="70" t="s">
        <v>34</v>
      </c>
      <c r="AF32" s="70"/>
    </row>
    <row r="33" spans="2:32" s="8" customFormat="1" ht="16.5" customHeight="1" x14ac:dyDescent="0.3">
      <c r="B33" s="75" t="s">
        <v>74</v>
      </c>
      <c r="C33" s="75" t="s">
        <v>75</v>
      </c>
      <c r="D33" s="50" t="s">
        <v>37</v>
      </c>
      <c r="E33" s="51" t="s">
        <v>27</v>
      </c>
      <c r="F33" s="4"/>
      <c r="G33" s="56">
        <v>115</v>
      </c>
      <c r="H33" s="56">
        <v>215</v>
      </c>
      <c r="I33" s="52" t="s">
        <v>28</v>
      </c>
      <c r="J33" s="58" t="s">
        <v>38</v>
      </c>
      <c r="K33" s="50">
        <v>65</v>
      </c>
      <c r="L33" s="54"/>
      <c r="M33" s="56">
        <v>115</v>
      </c>
      <c r="N33" s="56">
        <v>215</v>
      </c>
      <c r="O33" s="56" t="s">
        <v>30</v>
      </c>
      <c r="P33" s="51" t="s">
        <v>38</v>
      </c>
      <c r="Q33" s="50">
        <v>42</v>
      </c>
      <c r="R33" s="54"/>
      <c r="S33" s="56" t="s">
        <v>39</v>
      </c>
      <c r="T33" s="56" t="s">
        <v>39</v>
      </c>
      <c r="U33" s="58" t="s">
        <v>39</v>
      </c>
      <c r="V33" s="59" t="s">
        <v>39</v>
      </c>
      <c r="W33" s="60" t="s">
        <v>39</v>
      </c>
      <c r="X33" s="61"/>
      <c r="Y33" s="56">
        <v>395</v>
      </c>
      <c r="Z33" s="56">
        <v>495</v>
      </c>
      <c r="AA33" s="56" t="s">
        <v>30</v>
      </c>
      <c r="AB33" s="51" t="s">
        <v>38</v>
      </c>
      <c r="AC33" s="50">
        <v>45</v>
      </c>
      <c r="AE33" s="50" t="s">
        <v>34</v>
      </c>
      <c r="AF33" s="50"/>
    </row>
    <row r="34" spans="2:32" s="55" customFormat="1" ht="16.5" customHeight="1" x14ac:dyDescent="0.3">
      <c r="B34" s="64" t="s">
        <v>76</v>
      </c>
      <c r="C34" s="64" t="s">
        <v>46</v>
      </c>
      <c r="D34" s="65" t="s">
        <v>54</v>
      </c>
      <c r="E34" s="66" t="s">
        <v>27</v>
      </c>
      <c r="F34" s="4"/>
      <c r="G34" s="67">
        <v>65</v>
      </c>
      <c r="H34" s="67">
        <v>115</v>
      </c>
      <c r="I34" s="68" t="s">
        <v>28</v>
      </c>
      <c r="J34" s="69" t="s">
        <v>56</v>
      </c>
      <c r="K34" s="70">
        <v>63</v>
      </c>
      <c r="L34" s="54"/>
      <c r="M34" s="67">
        <v>65</v>
      </c>
      <c r="N34" s="67">
        <v>115</v>
      </c>
      <c r="O34" s="67" t="s">
        <v>30</v>
      </c>
      <c r="P34" s="66" t="s">
        <v>56</v>
      </c>
      <c r="Q34" s="70">
        <v>41</v>
      </c>
      <c r="R34" s="54"/>
      <c r="S34" s="67">
        <v>65</v>
      </c>
      <c r="T34" s="67">
        <v>115</v>
      </c>
      <c r="U34" s="69" t="s">
        <v>32</v>
      </c>
      <c r="V34" s="72" t="s">
        <v>33</v>
      </c>
      <c r="W34" s="73">
        <v>54</v>
      </c>
      <c r="X34" s="61"/>
      <c r="Y34" s="67">
        <v>345</v>
      </c>
      <c r="Z34" s="67">
        <v>395</v>
      </c>
      <c r="AA34" s="67" t="s">
        <v>30</v>
      </c>
      <c r="AB34" s="66" t="s">
        <v>56</v>
      </c>
      <c r="AC34" s="70">
        <v>44</v>
      </c>
      <c r="AE34" s="70" t="s">
        <v>34</v>
      </c>
      <c r="AF34" s="70"/>
    </row>
    <row r="35" spans="2:32" s="55" customFormat="1" ht="16.5" customHeight="1" x14ac:dyDescent="0.3">
      <c r="B35" s="64" t="s">
        <v>77</v>
      </c>
      <c r="C35" s="64" t="s">
        <v>78</v>
      </c>
      <c r="D35" s="65" t="s">
        <v>54</v>
      </c>
      <c r="E35" s="66" t="s">
        <v>27</v>
      </c>
      <c r="F35" s="4"/>
      <c r="G35" s="67">
        <v>65</v>
      </c>
      <c r="H35" s="67">
        <v>115</v>
      </c>
      <c r="I35" s="68" t="s">
        <v>28</v>
      </c>
      <c r="J35" s="69" t="s">
        <v>56</v>
      </c>
      <c r="K35" s="70">
        <v>53</v>
      </c>
      <c r="L35" s="54"/>
      <c r="M35" s="67">
        <v>65</v>
      </c>
      <c r="N35" s="67">
        <v>115</v>
      </c>
      <c r="O35" s="67" t="s">
        <v>30</v>
      </c>
      <c r="P35" s="66" t="s">
        <v>56</v>
      </c>
      <c r="Q35" s="70">
        <v>36</v>
      </c>
      <c r="R35" s="54"/>
      <c r="S35" s="67">
        <v>65</v>
      </c>
      <c r="T35" s="67">
        <v>115</v>
      </c>
      <c r="U35" s="71" t="s">
        <v>32</v>
      </c>
      <c r="V35" s="72" t="s">
        <v>33</v>
      </c>
      <c r="W35" s="73">
        <v>59</v>
      </c>
      <c r="X35" s="61"/>
      <c r="Y35" s="67">
        <v>345</v>
      </c>
      <c r="Z35" s="67">
        <v>395</v>
      </c>
      <c r="AA35" s="67" t="s">
        <v>30</v>
      </c>
      <c r="AB35" s="66" t="s">
        <v>56</v>
      </c>
      <c r="AC35" s="70">
        <v>39</v>
      </c>
      <c r="AE35" s="70" t="s">
        <v>34</v>
      </c>
      <c r="AF35" s="70"/>
    </row>
    <row r="36" spans="2:32" s="8" customFormat="1" ht="16.5" customHeight="1" x14ac:dyDescent="0.3">
      <c r="B36" s="75" t="s">
        <v>79</v>
      </c>
      <c r="C36" s="75" t="s">
        <v>80</v>
      </c>
      <c r="D36" s="50" t="s">
        <v>37</v>
      </c>
      <c r="E36" s="51" t="s">
        <v>27</v>
      </c>
      <c r="F36" s="4"/>
      <c r="G36" s="56">
        <v>165</v>
      </c>
      <c r="H36" s="56">
        <v>265</v>
      </c>
      <c r="I36" s="52" t="s">
        <v>28</v>
      </c>
      <c r="J36" s="58" t="s">
        <v>29</v>
      </c>
      <c r="K36" s="50">
        <v>49</v>
      </c>
      <c r="L36" s="54"/>
      <c r="M36" s="56">
        <v>165</v>
      </c>
      <c r="N36" s="56">
        <v>265</v>
      </c>
      <c r="O36" s="56" t="s">
        <v>30</v>
      </c>
      <c r="P36" s="51" t="s">
        <v>31</v>
      </c>
      <c r="Q36" s="50">
        <v>34</v>
      </c>
      <c r="R36" s="54"/>
      <c r="S36" s="56">
        <v>165</v>
      </c>
      <c r="T36" s="56">
        <v>265</v>
      </c>
      <c r="U36" s="58" t="s">
        <v>39</v>
      </c>
      <c r="V36" s="59" t="s">
        <v>39</v>
      </c>
      <c r="W36" s="60" t="s">
        <v>39</v>
      </c>
      <c r="X36" s="61"/>
      <c r="Y36" s="56">
        <v>445</v>
      </c>
      <c r="Z36" s="56">
        <v>545</v>
      </c>
      <c r="AA36" s="56" t="s">
        <v>30</v>
      </c>
      <c r="AB36" s="51" t="s">
        <v>31</v>
      </c>
      <c r="AC36" s="50">
        <v>37</v>
      </c>
      <c r="AE36" s="50" t="s">
        <v>34</v>
      </c>
      <c r="AF36" s="50"/>
    </row>
    <row r="37" spans="2:32" s="4" customFormat="1" ht="16.5" customHeight="1" x14ac:dyDescent="0.3">
      <c r="B37" s="75" t="s">
        <v>81</v>
      </c>
      <c r="C37" s="75" t="s">
        <v>82</v>
      </c>
      <c r="D37" s="50" t="s">
        <v>37</v>
      </c>
      <c r="E37" s="51" t="s">
        <v>27</v>
      </c>
      <c r="G37" s="56" t="s">
        <v>39</v>
      </c>
      <c r="H37" s="56" t="s">
        <v>39</v>
      </c>
      <c r="I37" s="52" t="s">
        <v>39</v>
      </c>
      <c r="J37" s="58" t="s">
        <v>39</v>
      </c>
      <c r="K37" s="50" t="s">
        <v>39</v>
      </c>
      <c r="L37" s="54"/>
      <c r="M37" s="56">
        <v>165</v>
      </c>
      <c r="N37" s="56">
        <v>265</v>
      </c>
      <c r="O37" s="56" t="s">
        <v>73</v>
      </c>
      <c r="P37" s="51" t="s">
        <v>83</v>
      </c>
      <c r="Q37" s="50">
        <v>63</v>
      </c>
      <c r="R37" s="54"/>
      <c r="S37" s="56">
        <v>165</v>
      </c>
      <c r="T37" s="56">
        <v>265</v>
      </c>
      <c r="U37" s="58" t="s">
        <v>32</v>
      </c>
      <c r="V37" s="59" t="s">
        <v>33</v>
      </c>
      <c r="W37" s="60">
        <v>64</v>
      </c>
      <c r="X37" s="79"/>
      <c r="Y37" s="56">
        <v>445</v>
      </c>
      <c r="Z37" s="56">
        <v>545</v>
      </c>
      <c r="AA37" s="56" t="s">
        <v>73</v>
      </c>
      <c r="AB37" s="51" t="s">
        <v>83</v>
      </c>
      <c r="AC37" s="50">
        <v>66</v>
      </c>
      <c r="AE37" s="50" t="s">
        <v>34</v>
      </c>
      <c r="AF37" s="50"/>
    </row>
    <row r="38" spans="2:32" s="54" customFormat="1" ht="16.5" customHeight="1" x14ac:dyDescent="0.3">
      <c r="B38" s="64" t="s">
        <v>84</v>
      </c>
      <c r="C38" s="64" t="s">
        <v>38</v>
      </c>
      <c r="D38" s="65" t="s">
        <v>54</v>
      </c>
      <c r="E38" s="66" t="s">
        <v>27</v>
      </c>
      <c r="F38" s="4"/>
      <c r="G38" s="67">
        <v>65</v>
      </c>
      <c r="H38" s="67">
        <v>115</v>
      </c>
      <c r="I38" s="68" t="s">
        <v>28</v>
      </c>
      <c r="J38" s="69" t="s">
        <v>56</v>
      </c>
      <c r="K38" s="70">
        <v>60</v>
      </c>
      <c r="L38" s="4"/>
      <c r="M38" s="67">
        <v>65</v>
      </c>
      <c r="N38" s="67">
        <v>115</v>
      </c>
      <c r="O38" s="67" t="s">
        <v>30</v>
      </c>
      <c r="P38" s="66" t="s">
        <v>56</v>
      </c>
      <c r="Q38" s="70">
        <v>39</v>
      </c>
      <c r="R38" s="4"/>
      <c r="S38" s="67">
        <v>65</v>
      </c>
      <c r="T38" s="67">
        <v>115</v>
      </c>
      <c r="U38" s="71" t="s">
        <v>57</v>
      </c>
      <c r="V38" s="72" t="s">
        <v>58</v>
      </c>
      <c r="W38" s="73">
        <v>48</v>
      </c>
      <c r="X38" s="44"/>
      <c r="Y38" s="67">
        <v>345</v>
      </c>
      <c r="Z38" s="67">
        <v>395</v>
      </c>
      <c r="AA38" s="67" t="s">
        <v>30</v>
      </c>
      <c r="AB38" s="66" t="s">
        <v>56</v>
      </c>
      <c r="AC38" s="70">
        <v>42</v>
      </c>
      <c r="AE38" s="70" t="s">
        <v>34</v>
      </c>
      <c r="AF38" s="70"/>
    </row>
    <row r="39" spans="2:32" s="55" customFormat="1" ht="16.5" customHeight="1" x14ac:dyDescent="0.3">
      <c r="B39" s="64" t="s">
        <v>85</v>
      </c>
      <c r="C39" s="64" t="s">
        <v>83</v>
      </c>
      <c r="D39" s="65" t="s">
        <v>54</v>
      </c>
      <c r="E39" s="66" t="s">
        <v>27</v>
      </c>
      <c r="F39" s="4"/>
      <c r="G39" s="67">
        <v>65</v>
      </c>
      <c r="H39" s="67">
        <v>115</v>
      </c>
      <c r="I39" s="68" t="s">
        <v>28</v>
      </c>
      <c r="J39" s="69" t="s">
        <v>56</v>
      </c>
      <c r="K39" s="70">
        <v>68</v>
      </c>
      <c r="L39" s="54"/>
      <c r="M39" s="67">
        <v>65</v>
      </c>
      <c r="N39" s="67">
        <v>115</v>
      </c>
      <c r="O39" s="67" t="s">
        <v>73</v>
      </c>
      <c r="P39" s="66" t="s">
        <v>56</v>
      </c>
      <c r="Q39" s="70">
        <v>58</v>
      </c>
      <c r="R39" s="54"/>
      <c r="S39" s="67">
        <v>65</v>
      </c>
      <c r="T39" s="67">
        <v>115</v>
      </c>
      <c r="U39" s="71" t="s">
        <v>32</v>
      </c>
      <c r="V39" s="72" t="s">
        <v>33</v>
      </c>
      <c r="W39" s="73">
        <v>58</v>
      </c>
      <c r="X39" s="44"/>
      <c r="Y39" s="67">
        <v>345</v>
      </c>
      <c r="Z39" s="67">
        <v>395</v>
      </c>
      <c r="AA39" s="67" t="s">
        <v>73</v>
      </c>
      <c r="AB39" s="66" t="s">
        <v>56</v>
      </c>
      <c r="AC39" s="70">
        <v>61</v>
      </c>
      <c r="AE39" s="70" t="s">
        <v>34</v>
      </c>
      <c r="AF39" s="70"/>
    </row>
    <row r="40" spans="2:32" s="55" customFormat="1" ht="16.5" customHeight="1" x14ac:dyDescent="0.3">
      <c r="B40" s="75" t="s">
        <v>86</v>
      </c>
      <c r="C40" s="75" t="s">
        <v>87</v>
      </c>
      <c r="D40" s="50" t="s">
        <v>37</v>
      </c>
      <c r="E40" s="51" t="s">
        <v>27</v>
      </c>
      <c r="F40" s="4"/>
      <c r="G40" s="56">
        <v>115</v>
      </c>
      <c r="H40" s="56">
        <v>215</v>
      </c>
      <c r="I40" s="52" t="s">
        <v>28</v>
      </c>
      <c r="J40" s="58" t="s">
        <v>38</v>
      </c>
      <c r="K40" s="50">
        <v>63</v>
      </c>
      <c r="L40" s="4"/>
      <c r="M40" s="56">
        <v>115</v>
      </c>
      <c r="N40" s="56">
        <v>215</v>
      </c>
      <c r="O40" s="56" t="s">
        <v>30</v>
      </c>
      <c r="P40" s="51" t="s">
        <v>38</v>
      </c>
      <c r="Q40" s="50">
        <v>43</v>
      </c>
      <c r="R40" s="4"/>
      <c r="S40" s="56" t="s">
        <v>39</v>
      </c>
      <c r="T40" s="56" t="s">
        <v>39</v>
      </c>
      <c r="U40" s="58" t="s">
        <v>39</v>
      </c>
      <c r="V40" s="59" t="s">
        <v>39</v>
      </c>
      <c r="W40" s="60" t="s">
        <v>39</v>
      </c>
      <c r="X40" s="44"/>
      <c r="Y40" s="56">
        <v>395</v>
      </c>
      <c r="Z40" s="56">
        <v>495</v>
      </c>
      <c r="AA40" s="56" t="s">
        <v>30</v>
      </c>
      <c r="AB40" s="51" t="s">
        <v>38</v>
      </c>
      <c r="AC40" s="50">
        <v>46</v>
      </c>
      <c r="AE40" s="50" t="s">
        <v>34</v>
      </c>
      <c r="AF40" s="50"/>
    </row>
    <row r="41" spans="2:32" s="55" customFormat="1" ht="16.5" customHeight="1" x14ac:dyDescent="0.3">
      <c r="B41" s="75" t="s">
        <v>88</v>
      </c>
      <c r="C41" s="75" t="s">
        <v>89</v>
      </c>
      <c r="D41" s="50" t="s">
        <v>37</v>
      </c>
      <c r="E41" s="51" t="s">
        <v>27</v>
      </c>
      <c r="F41" s="4"/>
      <c r="G41" s="56">
        <v>190</v>
      </c>
      <c r="H41" s="56">
        <v>315</v>
      </c>
      <c r="I41" s="52" t="s">
        <v>28</v>
      </c>
      <c r="J41" s="58" t="s">
        <v>78</v>
      </c>
      <c r="K41" s="50">
        <v>55</v>
      </c>
      <c r="L41" s="54"/>
      <c r="M41" s="56" t="s">
        <v>39</v>
      </c>
      <c r="N41" s="56" t="s">
        <v>39</v>
      </c>
      <c r="O41" s="56" t="s">
        <v>30</v>
      </c>
      <c r="P41" s="51" t="s">
        <v>78</v>
      </c>
      <c r="Q41" s="50">
        <v>39</v>
      </c>
      <c r="R41" s="54"/>
      <c r="S41" s="56" t="s">
        <v>39</v>
      </c>
      <c r="T41" s="56" t="s">
        <v>39</v>
      </c>
      <c r="U41" s="78" t="s">
        <v>39</v>
      </c>
      <c r="V41" s="78" t="s">
        <v>39</v>
      </c>
      <c r="W41" s="77" t="s">
        <v>39</v>
      </c>
      <c r="X41" s="61"/>
      <c r="Y41" s="56" t="s">
        <v>39</v>
      </c>
      <c r="Z41" s="56" t="s">
        <v>39</v>
      </c>
      <c r="AA41" s="56" t="s">
        <v>30</v>
      </c>
      <c r="AB41" s="51" t="s">
        <v>78</v>
      </c>
      <c r="AC41" s="50">
        <v>42</v>
      </c>
      <c r="AE41" s="50" t="s">
        <v>34</v>
      </c>
      <c r="AF41" s="50"/>
    </row>
    <row r="42" spans="2:32" s="80" customFormat="1" ht="16.5" customHeight="1" x14ac:dyDescent="0.3">
      <c r="B42" s="75" t="s">
        <v>90</v>
      </c>
      <c r="C42" s="75" t="s">
        <v>91</v>
      </c>
      <c r="D42" s="50" t="s">
        <v>37</v>
      </c>
      <c r="E42" s="51" t="s">
        <v>27</v>
      </c>
      <c r="F42" s="4"/>
      <c r="G42" s="56">
        <v>215</v>
      </c>
      <c r="H42" s="56">
        <v>365</v>
      </c>
      <c r="I42" s="52" t="s">
        <v>28</v>
      </c>
      <c r="J42" s="58" t="s">
        <v>46</v>
      </c>
      <c r="K42" s="50">
        <v>67</v>
      </c>
      <c r="L42" s="54"/>
      <c r="M42" s="56">
        <v>215</v>
      </c>
      <c r="N42" s="56">
        <v>365</v>
      </c>
      <c r="O42" s="56" t="s">
        <v>30</v>
      </c>
      <c r="P42" s="51" t="s">
        <v>46</v>
      </c>
      <c r="Q42" s="50">
        <v>44</v>
      </c>
      <c r="R42" s="54"/>
      <c r="S42" s="56">
        <v>215</v>
      </c>
      <c r="T42" s="56">
        <v>365</v>
      </c>
      <c r="U42" s="58" t="s">
        <v>32</v>
      </c>
      <c r="V42" s="59" t="s">
        <v>33</v>
      </c>
      <c r="W42" s="60">
        <v>60</v>
      </c>
      <c r="X42" s="61"/>
      <c r="Y42" s="56">
        <v>495</v>
      </c>
      <c r="Z42" s="56">
        <v>645</v>
      </c>
      <c r="AA42" s="56" t="s">
        <v>30</v>
      </c>
      <c r="AB42" s="51" t="s">
        <v>46</v>
      </c>
      <c r="AC42" s="50">
        <v>47</v>
      </c>
      <c r="AE42" s="50" t="s">
        <v>34</v>
      </c>
      <c r="AF42" s="50"/>
    </row>
    <row r="43" spans="2:32" s="8" customFormat="1" ht="16.5" customHeight="1" x14ac:dyDescent="0.3">
      <c r="B43" s="75" t="s">
        <v>92</v>
      </c>
      <c r="C43" s="75" t="s">
        <v>93</v>
      </c>
      <c r="D43" s="50" t="s">
        <v>37</v>
      </c>
      <c r="E43" s="51" t="s">
        <v>27</v>
      </c>
      <c r="F43" s="4"/>
      <c r="G43" s="56">
        <v>165</v>
      </c>
      <c r="H43" s="56">
        <v>265</v>
      </c>
      <c r="I43" s="52" t="s">
        <v>28</v>
      </c>
      <c r="J43" s="58" t="s">
        <v>38</v>
      </c>
      <c r="K43" s="50">
        <v>70</v>
      </c>
      <c r="L43" s="54"/>
      <c r="M43" s="56">
        <v>165</v>
      </c>
      <c r="N43" s="56">
        <v>265</v>
      </c>
      <c r="O43" s="56" t="s">
        <v>30</v>
      </c>
      <c r="P43" s="51" t="s">
        <v>38</v>
      </c>
      <c r="Q43" s="50">
        <v>48</v>
      </c>
      <c r="R43" s="54"/>
      <c r="S43" s="56">
        <v>165</v>
      </c>
      <c r="T43" s="56">
        <v>265</v>
      </c>
      <c r="U43" s="58" t="s">
        <v>32</v>
      </c>
      <c r="V43" s="59" t="s">
        <v>33</v>
      </c>
      <c r="W43" s="60">
        <v>63</v>
      </c>
      <c r="X43" s="61"/>
      <c r="Y43" s="56">
        <v>445</v>
      </c>
      <c r="Z43" s="56">
        <v>545</v>
      </c>
      <c r="AA43" s="56" t="s">
        <v>30</v>
      </c>
      <c r="AB43" s="51" t="s">
        <v>38</v>
      </c>
      <c r="AC43" s="50">
        <v>51</v>
      </c>
      <c r="AE43" s="50" t="s">
        <v>34</v>
      </c>
      <c r="AF43" s="50"/>
    </row>
    <row r="44" spans="2:32" s="8" customFormat="1" ht="16.5" customHeight="1" x14ac:dyDescent="0.3">
      <c r="B44" s="64" t="s">
        <v>94</v>
      </c>
      <c r="C44" s="64" t="s">
        <v>95</v>
      </c>
      <c r="D44" s="65" t="s">
        <v>54</v>
      </c>
      <c r="E44" s="66" t="s">
        <v>27</v>
      </c>
      <c r="F44" s="4"/>
      <c r="G44" s="67">
        <v>65</v>
      </c>
      <c r="H44" s="67">
        <v>115</v>
      </c>
      <c r="I44" s="68" t="s">
        <v>28</v>
      </c>
      <c r="J44" s="71" t="s">
        <v>56</v>
      </c>
      <c r="K44" s="73">
        <v>66</v>
      </c>
      <c r="L44" s="54"/>
      <c r="M44" s="67">
        <v>65</v>
      </c>
      <c r="N44" s="67">
        <v>115</v>
      </c>
      <c r="O44" s="67" t="s">
        <v>73</v>
      </c>
      <c r="P44" s="72" t="s">
        <v>56</v>
      </c>
      <c r="Q44" s="73">
        <v>56</v>
      </c>
      <c r="R44" s="54"/>
      <c r="S44" s="67">
        <v>65</v>
      </c>
      <c r="T44" s="67">
        <v>115</v>
      </c>
      <c r="U44" s="71" t="s">
        <v>57</v>
      </c>
      <c r="V44" s="72" t="s">
        <v>58</v>
      </c>
      <c r="W44" s="73">
        <v>51</v>
      </c>
      <c r="X44" s="61"/>
      <c r="Y44" s="67">
        <v>345</v>
      </c>
      <c r="Z44" s="67">
        <v>395</v>
      </c>
      <c r="AA44" s="67" t="s">
        <v>73</v>
      </c>
      <c r="AB44" s="72" t="s">
        <v>56</v>
      </c>
      <c r="AC44" s="73">
        <v>59</v>
      </c>
      <c r="AE44" s="70" t="s">
        <v>34</v>
      </c>
      <c r="AF44" s="70"/>
    </row>
    <row r="45" spans="2:32" s="8" customFormat="1" ht="16.5" customHeight="1" x14ac:dyDescent="0.3">
      <c r="B45" s="64" t="s">
        <v>96</v>
      </c>
      <c r="C45" s="64" t="s">
        <v>97</v>
      </c>
      <c r="D45" s="65" t="s">
        <v>54</v>
      </c>
      <c r="E45" s="66" t="s">
        <v>27</v>
      </c>
      <c r="F45" s="4"/>
      <c r="G45" s="67">
        <v>65</v>
      </c>
      <c r="H45" s="67">
        <v>115</v>
      </c>
      <c r="I45" s="68" t="s">
        <v>28</v>
      </c>
      <c r="J45" s="71" t="s">
        <v>29</v>
      </c>
      <c r="K45" s="73">
        <v>61</v>
      </c>
      <c r="L45" s="54"/>
      <c r="M45" s="67">
        <v>65</v>
      </c>
      <c r="N45" s="67">
        <v>115</v>
      </c>
      <c r="O45" s="67" t="s">
        <v>30</v>
      </c>
      <c r="P45" s="72" t="s">
        <v>31</v>
      </c>
      <c r="Q45" s="73">
        <v>46</v>
      </c>
      <c r="R45" s="54"/>
      <c r="S45" s="67">
        <v>65</v>
      </c>
      <c r="T45" s="67">
        <v>115</v>
      </c>
      <c r="U45" s="71" t="s">
        <v>32</v>
      </c>
      <c r="V45" s="72" t="s">
        <v>33</v>
      </c>
      <c r="W45" s="73">
        <v>56</v>
      </c>
      <c r="X45" s="61"/>
      <c r="Y45" s="67">
        <v>345</v>
      </c>
      <c r="Z45" s="67">
        <v>395</v>
      </c>
      <c r="AA45" s="67" t="s">
        <v>30</v>
      </c>
      <c r="AB45" s="72" t="s">
        <v>31</v>
      </c>
      <c r="AC45" s="73">
        <v>49</v>
      </c>
      <c r="AE45" s="70" t="s">
        <v>34</v>
      </c>
      <c r="AF45" s="70"/>
    </row>
    <row r="46" spans="2:32" s="55" customFormat="1" ht="16.5" customHeight="1" x14ac:dyDescent="0.3">
      <c r="B46" s="81" t="s">
        <v>98</v>
      </c>
      <c r="C46" s="81" t="s">
        <v>99</v>
      </c>
      <c r="D46" s="82" t="s">
        <v>54</v>
      </c>
      <c r="E46" s="72" t="s">
        <v>27</v>
      </c>
      <c r="F46" s="4"/>
      <c r="G46" s="67" t="s">
        <v>39</v>
      </c>
      <c r="H46" s="67" t="s">
        <v>39</v>
      </c>
      <c r="I46" s="83" t="s">
        <v>39</v>
      </c>
      <c r="J46" s="71" t="s">
        <v>39</v>
      </c>
      <c r="K46" s="73" t="s">
        <v>39</v>
      </c>
      <c r="L46" s="54"/>
      <c r="M46" s="67">
        <v>65</v>
      </c>
      <c r="N46" s="67">
        <v>115</v>
      </c>
      <c r="O46" s="67" t="s">
        <v>30</v>
      </c>
      <c r="P46" s="66" t="s">
        <v>56</v>
      </c>
      <c r="Q46" s="70">
        <v>47</v>
      </c>
      <c r="R46" s="54"/>
      <c r="S46" s="67">
        <v>65</v>
      </c>
      <c r="T46" s="67">
        <v>115</v>
      </c>
      <c r="U46" s="71" t="s">
        <v>57</v>
      </c>
      <c r="V46" s="72" t="s">
        <v>58</v>
      </c>
      <c r="W46" s="73">
        <v>55</v>
      </c>
      <c r="X46" s="61"/>
      <c r="Y46" s="67">
        <v>345</v>
      </c>
      <c r="Z46" s="67">
        <v>395</v>
      </c>
      <c r="AA46" s="67" t="s">
        <v>30</v>
      </c>
      <c r="AB46" s="66" t="s">
        <v>56</v>
      </c>
      <c r="AC46" s="70">
        <v>50</v>
      </c>
      <c r="AE46" s="70" t="s">
        <v>34</v>
      </c>
      <c r="AF46" s="70"/>
    </row>
    <row r="47" spans="2:32" s="55" customFormat="1" ht="16.5" customHeight="1" x14ac:dyDescent="0.3">
      <c r="B47" s="49" t="s">
        <v>100</v>
      </c>
      <c r="C47" s="49" t="s">
        <v>101</v>
      </c>
      <c r="D47" s="50" t="s">
        <v>37</v>
      </c>
      <c r="E47" s="51" t="s">
        <v>27</v>
      </c>
      <c r="F47" s="4"/>
      <c r="G47" s="56">
        <v>165</v>
      </c>
      <c r="H47" s="56">
        <v>265</v>
      </c>
      <c r="I47" s="52" t="s">
        <v>28</v>
      </c>
      <c r="J47" s="58" t="s">
        <v>50</v>
      </c>
      <c r="K47" s="50">
        <v>76</v>
      </c>
      <c r="L47" s="54"/>
      <c r="M47" s="56">
        <v>165</v>
      </c>
      <c r="N47" s="56">
        <v>265</v>
      </c>
      <c r="O47" s="56" t="s">
        <v>30</v>
      </c>
      <c r="P47" s="51" t="s">
        <v>51</v>
      </c>
      <c r="Q47" s="50">
        <v>52</v>
      </c>
      <c r="R47" s="54"/>
      <c r="S47" s="56">
        <v>165</v>
      </c>
      <c r="T47" s="56">
        <v>265</v>
      </c>
      <c r="U47" s="78" t="s">
        <v>32</v>
      </c>
      <c r="V47" s="59" t="s">
        <v>33</v>
      </c>
      <c r="W47" s="60">
        <v>66</v>
      </c>
      <c r="X47" s="61"/>
      <c r="Y47" s="56">
        <v>445</v>
      </c>
      <c r="Z47" s="56">
        <v>545</v>
      </c>
      <c r="AA47" s="56" t="s">
        <v>30</v>
      </c>
      <c r="AB47" s="51" t="s">
        <v>51</v>
      </c>
      <c r="AC47" s="50">
        <v>55</v>
      </c>
      <c r="AE47" s="50" t="s">
        <v>34</v>
      </c>
      <c r="AF47" s="50"/>
    </row>
    <row r="48" spans="2:32" s="55" customFormat="1" ht="16.5" customHeight="1" x14ac:dyDescent="0.3">
      <c r="B48" s="49" t="s">
        <v>102</v>
      </c>
      <c r="C48" s="49" t="s">
        <v>103</v>
      </c>
      <c r="D48" s="50" t="s">
        <v>37</v>
      </c>
      <c r="E48" s="51" t="s">
        <v>27</v>
      </c>
      <c r="F48" s="4"/>
      <c r="G48" s="56">
        <v>190</v>
      </c>
      <c r="H48" s="56">
        <v>365</v>
      </c>
      <c r="I48" s="52" t="s">
        <v>28</v>
      </c>
      <c r="J48" s="58" t="s">
        <v>78</v>
      </c>
      <c r="K48" s="50">
        <v>59</v>
      </c>
      <c r="L48" s="54"/>
      <c r="M48" s="56">
        <v>190</v>
      </c>
      <c r="N48" s="56">
        <v>365</v>
      </c>
      <c r="O48" s="56" t="s">
        <v>30</v>
      </c>
      <c r="P48" s="51" t="s">
        <v>78</v>
      </c>
      <c r="Q48" s="50">
        <v>43</v>
      </c>
      <c r="R48" s="54"/>
      <c r="S48" s="56" t="s">
        <v>39</v>
      </c>
      <c r="T48" s="56" t="s">
        <v>39</v>
      </c>
      <c r="U48" s="78" t="s">
        <v>39</v>
      </c>
      <c r="V48" s="58" t="s">
        <v>39</v>
      </c>
      <c r="W48" s="50" t="s">
        <v>39</v>
      </c>
      <c r="X48" s="61"/>
      <c r="Y48" s="56">
        <v>470</v>
      </c>
      <c r="Z48" s="56">
        <v>645</v>
      </c>
      <c r="AA48" s="56" t="s">
        <v>30</v>
      </c>
      <c r="AB48" s="51" t="s">
        <v>78</v>
      </c>
      <c r="AC48" s="50">
        <v>46</v>
      </c>
      <c r="AE48" s="50" t="s">
        <v>34</v>
      </c>
      <c r="AF48" s="50"/>
    </row>
    <row r="49" spans="2:32" s="55" customFormat="1" ht="16.5" customHeight="1" x14ac:dyDescent="0.3">
      <c r="B49" s="49" t="s">
        <v>104</v>
      </c>
      <c r="C49" s="49" t="s">
        <v>105</v>
      </c>
      <c r="D49" s="50" t="s">
        <v>37</v>
      </c>
      <c r="E49" s="51" t="s">
        <v>27</v>
      </c>
      <c r="F49" s="4"/>
      <c r="G49" s="56">
        <v>165</v>
      </c>
      <c r="H49" s="56">
        <v>265</v>
      </c>
      <c r="I49" s="52" t="s">
        <v>28</v>
      </c>
      <c r="J49" s="58" t="s">
        <v>50</v>
      </c>
      <c r="K49" s="50">
        <v>73</v>
      </c>
      <c r="L49" s="4"/>
      <c r="M49" s="56">
        <v>165</v>
      </c>
      <c r="N49" s="56">
        <v>265</v>
      </c>
      <c r="O49" s="56" t="s">
        <v>30</v>
      </c>
      <c r="P49" s="51" t="s">
        <v>51</v>
      </c>
      <c r="Q49" s="50">
        <v>48</v>
      </c>
      <c r="R49" s="4"/>
      <c r="S49" s="56">
        <v>165</v>
      </c>
      <c r="T49" s="56">
        <v>265</v>
      </c>
      <c r="U49" s="58" t="s">
        <v>32</v>
      </c>
      <c r="V49" s="59" t="s">
        <v>33</v>
      </c>
      <c r="W49" s="60">
        <v>65</v>
      </c>
      <c r="X49" s="44"/>
      <c r="Y49" s="56">
        <v>445</v>
      </c>
      <c r="Z49" s="56">
        <v>545</v>
      </c>
      <c r="AA49" s="56" t="s">
        <v>30</v>
      </c>
      <c r="AB49" s="51" t="s">
        <v>51</v>
      </c>
      <c r="AC49" s="50">
        <v>51</v>
      </c>
      <c r="AE49" s="50" t="s">
        <v>34</v>
      </c>
      <c r="AF49" s="50"/>
    </row>
    <row r="50" spans="2:32" s="55" customFormat="1" ht="16.5" customHeight="1" x14ac:dyDescent="0.3">
      <c r="B50" s="75" t="s">
        <v>106</v>
      </c>
      <c r="C50" s="75" t="s">
        <v>107</v>
      </c>
      <c r="D50" s="50" t="s">
        <v>37</v>
      </c>
      <c r="E50" s="51" t="s">
        <v>27</v>
      </c>
      <c r="F50" s="4"/>
      <c r="G50" s="56">
        <v>115</v>
      </c>
      <c r="H50" s="56">
        <v>215</v>
      </c>
      <c r="I50" s="52" t="s">
        <v>28</v>
      </c>
      <c r="J50" s="58" t="s">
        <v>38</v>
      </c>
      <c r="K50" s="50">
        <v>66</v>
      </c>
      <c r="L50" s="54"/>
      <c r="M50" s="56">
        <v>115</v>
      </c>
      <c r="N50" s="56">
        <v>215</v>
      </c>
      <c r="O50" s="56" t="s">
        <v>30</v>
      </c>
      <c r="P50" s="51" t="s">
        <v>38</v>
      </c>
      <c r="Q50" s="50">
        <v>45</v>
      </c>
      <c r="R50" s="54"/>
      <c r="S50" s="56" t="s">
        <v>39</v>
      </c>
      <c r="T50" s="56" t="s">
        <v>39</v>
      </c>
      <c r="U50" s="58" t="s">
        <v>39</v>
      </c>
      <c r="V50" s="59" t="s">
        <v>39</v>
      </c>
      <c r="W50" s="60" t="s">
        <v>39</v>
      </c>
      <c r="X50" s="61"/>
      <c r="Y50" s="56">
        <v>395</v>
      </c>
      <c r="Z50" s="56">
        <v>495</v>
      </c>
      <c r="AA50" s="56" t="s">
        <v>30</v>
      </c>
      <c r="AB50" s="51" t="s">
        <v>38</v>
      </c>
      <c r="AC50" s="50">
        <v>48</v>
      </c>
      <c r="AE50" s="50" t="s">
        <v>34</v>
      </c>
      <c r="AF50" s="50"/>
    </row>
    <row r="51" spans="2:32" s="55" customFormat="1" ht="16.5" customHeight="1" x14ac:dyDescent="0.3">
      <c r="B51" s="49" t="s">
        <v>108</v>
      </c>
      <c r="C51" s="49" t="s">
        <v>109</v>
      </c>
      <c r="D51" s="50" t="s">
        <v>37</v>
      </c>
      <c r="E51" s="51" t="s">
        <v>27</v>
      </c>
      <c r="F51" s="4"/>
      <c r="G51" s="56">
        <v>115</v>
      </c>
      <c r="H51" s="56">
        <v>215</v>
      </c>
      <c r="I51" s="52" t="s">
        <v>28</v>
      </c>
      <c r="J51" s="58" t="s">
        <v>38</v>
      </c>
      <c r="K51" s="50">
        <v>63</v>
      </c>
      <c r="L51" s="54"/>
      <c r="M51" s="56">
        <v>115</v>
      </c>
      <c r="N51" s="56">
        <v>215</v>
      </c>
      <c r="O51" s="56" t="s">
        <v>30</v>
      </c>
      <c r="P51" s="51" t="s">
        <v>38</v>
      </c>
      <c r="Q51" s="50">
        <v>41</v>
      </c>
      <c r="R51" s="54"/>
      <c r="S51" s="56" t="s">
        <v>39</v>
      </c>
      <c r="T51" s="56" t="s">
        <v>39</v>
      </c>
      <c r="U51" s="58" t="s">
        <v>39</v>
      </c>
      <c r="V51" s="59" t="s">
        <v>39</v>
      </c>
      <c r="W51" s="60" t="s">
        <v>39</v>
      </c>
      <c r="X51" s="61"/>
      <c r="Y51" s="56">
        <v>395</v>
      </c>
      <c r="Z51" s="56">
        <v>495</v>
      </c>
      <c r="AA51" s="56" t="s">
        <v>30</v>
      </c>
      <c r="AB51" s="51" t="s">
        <v>38</v>
      </c>
      <c r="AC51" s="50">
        <v>44</v>
      </c>
      <c r="AE51" s="50" t="s">
        <v>34</v>
      </c>
      <c r="AF51" s="50"/>
    </row>
    <row r="52" spans="2:32" s="55" customFormat="1" ht="16.5" customHeight="1" x14ac:dyDescent="0.3">
      <c r="B52" s="49" t="s">
        <v>110</v>
      </c>
      <c r="C52" s="49" t="s">
        <v>111</v>
      </c>
      <c r="D52" s="50" t="s">
        <v>112</v>
      </c>
      <c r="E52" s="51" t="s">
        <v>27</v>
      </c>
      <c r="F52" s="4"/>
      <c r="G52" s="56">
        <v>215</v>
      </c>
      <c r="H52" s="56">
        <v>315</v>
      </c>
      <c r="I52" s="52" t="s">
        <v>28</v>
      </c>
      <c r="J52" s="58" t="s">
        <v>29</v>
      </c>
      <c r="K52" s="50">
        <v>49</v>
      </c>
      <c r="L52" s="4"/>
      <c r="M52" s="56">
        <v>215</v>
      </c>
      <c r="N52" s="56">
        <v>315</v>
      </c>
      <c r="O52" s="56" t="s">
        <v>30</v>
      </c>
      <c r="P52" s="51" t="s">
        <v>31</v>
      </c>
      <c r="Q52" s="50">
        <v>33</v>
      </c>
      <c r="R52" s="4"/>
      <c r="S52" s="56">
        <v>215</v>
      </c>
      <c r="T52" s="56">
        <v>315</v>
      </c>
      <c r="U52" s="78" t="s">
        <v>32</v>
      </c>
      <c r="V52" s="59" t="s">
        <v>33</v>
      </c>
      <c r="W52" s="60">
        <v>49</v>
      </c>
      <c r="X52" s="44"/>
      <c r="Y52" s="56">
        <v>495</v>
      </c>
      <c r="Z52" s="56">
        <v>595</v>
      </c>
      <c r="AA52" s="56" t="s">
        <v>30</v>
      </c>
      <c r="AB52" s="51" t="s">
        <v>31</v>
      </c>
      <c r="AC52" s="50">
        <v>36</v>
      </c>
      <c r="AE52" s="50" t="s">
        <v>34</v>
      </c>
      <c r="AF52" s="50"/>
    </row>
    <row r="53" spans="2:32" s="55" customFormat="1" ht="16.5" customHeight="1" x14ac:dyDescent="0.3">
      <c r="B53" s="49" t="s">
        <v>113</v>
      </c>
      <c r="C53" s="49" t="s">
        <v>114</v>
      </c>
      <c r="D53" s="50" t="s">
        <v>112</v>
      </c>
      <c r="E53" s="51" t="s">
        <v>27</v>
      </c>
      <c r="F53" s="4"/>
      <c r="G53" s="56">
        <v>190</v>
      </c>
      <c r="H53" s="56">
        <v>315</v>
      </c>
      <c r="I53" s="52" t="s">
        <v>28</v>
      </c>
      <c r="J53" s="58" t="s">
        <v>29</v>
      </c>
      <c r="K53" s="50">
        <v>47</v>
      </c>
      <c r="L53" s="4"/>
      <c r="M53" s="56">
        <v>190</v>
      </c>
      <c r="N53" s="56">
        <v>315</v>
      </c>
      <c r="O53" s="56" t="s">
        <v>30</v>
      </c>
      <c r="P53" s="51" t="s">
        <v>31</v>
      </c>
      <c r="Q53" s="50">
        <v>35</v>
      </c>
      <c r="R53" s="4"/>
      <c r="S53" s="56">
        <v>190</v>
      </c>
      <c r="T53" s="56">
        <v>315</v>
      </c>
      <c r="U53" s="58" t="s">
        <v>32</v>
      </c>
      <c r="V53" s="59" t="s">
        <v>33</v>
      </c>
      <c r="W53" s="60">
        <v>47</v>
      </c>
      <c r="X53" s="44"/>
      <c r="Y53" s="56">
        <v>470</v>
      </c>
      <c r="Z53" s="56">
        <v>595</v>
      </c>
      <c r="AA53" s="56" t="s">
        <v>30</v>
      </c>
      <c r="AB53" s="51" t="s">
        <v>31</v>
      </c>
      <c r="AC53" s="50">
        <v>38</v>
      </c>
      <c r="AE53" s="50" t="s">
        <v>34</v>
      </c>
      <c r="AF53" s="50"/>
    </row>
    <row r="54" spans="2:32" s="8" customFormat="1" ht="16.5" customHeight="1" x14ac:dyDescent="0.3">
      <c r="B54" s="75" t="s">
        <v>115</v>
      </c>
      <c r="C54" s="75" t="s">
        <v>116</v>
      </c>
      <c r="D54" s="50" t="s">
        <v>112</v>
      </c>
      <c r="E54" s="51" t="s">
        <v>27</v>
      </c>
      <c r="F54" s="4"/>
      <c r="G54" s="56">
        <v>215</v>
      </c>
      <c r="H54" s="56">
        <v>315</v>
      </c>
      <c r="I54" s="52" t="s">
        <v>28</v>
      </c>
      <c r="J54" s="58" t="s">
        <v>29</v>
      </c>
      <c r="K54" s="50">
        <v>51</v>
      </c>
      <c r="L54" s="54"/>
      <c r="M54" s="56">
        <v>215</v>
      </c>
      <c r="N54" s="56">
        <v>315</v>
      </c>
      <c r="O54" s="56" t="s">
        <v>30</v>
      </c>
      <c r="P54" s="51" t="s">
        <v>31</v>
      </c>
      <c r="Q54" s="50">
        <v>34</v>
      </c>
      <c r="R54" s="54"/>
      <c r="S54" s="56">
        <v>215</v>
      </c>
      <c r="T54" s="56">
        <v>315</v>
      </c>
      <c r="U54" s="58" t="s">
        <v>32</v>
      </c>
      <c r="V54" s="59" t="s">
        <v>33</v>
      </c>
      <c r="W54" s="60">
        <v>51</v>
      </c>
      <c r="X54" s="61"/>
      <c r="Y54" s="56">
        <v>495</v>
      </c>
      <c r="Z54" s="56">
        <v>595</v>
      </c>
      <c r="AA54" s="56" t="s">
        <v>30</v>
      </c>
      <c r="AB54" s="51" t="s">
        <v>31</v>
      </c>
      <c r="AC54" s="50">
        <v>37</v>
      </c>
      <c r="AE54" s="50" t="s">
        <v>34</v>
      </c>
      <c r="AF54" s="50"/>
    </row>
    <row r="55" spans="2:32" s="55" customFormat="1" ht="16.5" customHeight="1" x14ac:dyDescent="0.3">
      <c r="B55" s="49" t="s">
        <v>117</v>
      </c>
      <c r="C55" s="49" t="s">
        <v>118</v>
      </c>
      <c r="D55" s="50" t="s">
        <v>112</v>
      </c>
      <c r="E55" s="51" t="s">
        <v>27</v>
      </c>
      <c r="F55" s="4"/>
      <c r="G55" s="56">
        <v>190</v>
      </c>
      <c r="H55" s="56">
        <v>315</v>
      </c>
      <c r="I55" s="52" t="s">
        <v>28</v>
      </c>
      <c r="J55" s="58" t="s">
        <v>29</v>
      </c>
      <c r="K55" s="50">
        <v>50</v>
      </c>
      <c r="L55" s="54"/>
      <c r="M55" s="56">
        <v>190</v>
      </c>
      <c r="N55" s="56">
        <v>315</v>
      </c>
      <c r="O55" s="56" t="s">
        <v>30</v>
      </c>
      <c r="P55" s="51" t="s">
        <v>31</v>
      </c>
      <c r="Q55" s="50">
        <v>41</v>
      </c>
      <c r="R55" s="54"/>
      <c r="S55" s="56">
        <v>190</v>
      </c>
      <c r="T55" s="56">
        <v>315</v>
      </c>
      <c r="U55" s="78" t="s">
        <v>32</v>
      </c>
      <c r="V55" s="59" t="s">
        <v>33</v>
      </c>
      <c r="W55" s="60">
        <v>50</v>
      </c>
      <c r="X55" s="61"/>
      <c r="Y55" s="56">
        <v>470</v>
      </c>
      <c r="Z55" s="56">
        <v>595</v>
      </c>
      <c r="AA55" s="56" t="s">
        <v>30</v>
      </c>
      <c r="AB55" s="51" t="s">
        <v>31</v>
      </c>
      <c r="AC55" s="50">
        <v>44</v>
      </c>
      <c r="AE55" s="50" t="s">
        <v>34</v>
      </c>
      <c r="AF55" s="50"/>
    </row>
    <row r="56" spans="2:32" s="55" customFormat="1" ht="16.5" customHeight="1" x14ac:dyDescent="0.3">
      <c r="B56" s="49" t="s">
        <v>119</v>
      </c>
      <c r="C56" s="49" t="s">
        <v>120</v>
      </c>
      <c r="D56" s="50" t="s">
        <v>121</v>
      </c>
      <c r="E56" s="51" t="s">
        <v>27</v>
      </c>
      <c r="F56" s="4"/>
      <c r="G56" s="56">
        <v>115</v>
      </c>
      <c r="H56" s="56">
        <v>215</v>
      </c>
      <c r="I56" s="52" t="s">
        <v>28</v>
      </c>
      <c r="J56" s="58" t="s">
        <v>38</v>
      </c>
      <c r="K56" s="50">
        <v>66</v>
      </c>
      <c r="L56" s="54"/>
      <c r="M56" s="56">
        <v>115</v>
      </c>
      <c r="N56" s="56">
        <v>215</v>
      </c>
      <c r="O56" s="56" t="s">
        <v>30</v>
      </c>
      <c r="P56" s="51" t="s">
        <v>38</v>
      </c>
      <c r="Q56" s="50">
        <v>44</v>
      </c>
      <c r="R56" s="54"/>
      <c r="S56" s="56">
        <v>115</v>
      </c>
      <c r="T56" s="56">
        <v>215</v>
      </c>
      <c r="U56" s="58" t="s">
        <v>32</v>
      </c>
      <c r="V56" s="59" t="s">
        <v>33</v>
      </c>
      <c r="W56" s="60">
        <v>59</v>
      </c>
      <c r="X56" s="61"/>
      <c r="Y56" s="56">
        <v>395</v>
      </c>
      <c r="Z56" s="56">
        <v>495</v>
      </c>
      <c r="AA56" s="56" t="s">
        <v>30</v>
      </c>
      <c r="AB56" s="51" t="s">
        <v>38</v>
      </c>
      <c r="AC56" s="50">
        <v>47</v>
      </c>
      <c r="AE56" s="50" t="s">
        <v>34</v>
      </c>
      <c r="AF56" s="50"/>
    </row>
    <row r="57" spans="2:32" s="55" customFormat="1" ht="16.5" customHeight="1" x14ac:dyDescent="0.3">
      <c r="B57" s="49" t="s">
        <v>122</v>
      </c>
      <c r="C57" s="49" t="s">
        <v>123</v>
      </c>
      <c r="D57" s="50" t="s">
        <v>121</v>
      </c>
      <c r="E57" s="51" t="s">
        <v>27</v>
      </c>
      <c r="F57" s="4"/>
      <c r="G57" s="56">
        <v>115</v>
      </c>
      <c r="H57" s="56">
        <v>215</v>
      </c>
      <c r="I57" s="52" t="s">
        <v>28</v>
      </c>
      <c r="J57" s="58" t="s">
        <v>38</v>
      </c>
      <c r="K57" s="50">
        <v>67</v>
      </c>
      <c r="L57" s="4"/>
      <c r="M57" s="56">
        <v>115</v>
      </c>
      <c r="N57" s="56">
        <v>215</v>
      </c>
      <c r="O57" s="56" t="s">
        <v>30</v>
      </c>
      <c r="P57" s="51" t="s">
        <v>38</v>
      </c>
      <c r="Q57" s="50">
        <v>47</v>
      </c>
      <c r="R57" s="4"/>
      <c r="S57" s="56">
        <v>115</v>
      </c>
      <c r="T57" s="56">
        <v>215</v>
      </c>
      <c r="U57" s="58" t="s">
        <v>32</v>
      </c>
      <c r="V57" s="59" t="s">
        <v>33</v>
      </c>
      <c r="W57" s="60">
        <v>60</v>
      </c>
      <c r="X57" s="44"/>
      <c r="Y57" s="56">
        <v>395</v>
      </c>
      <c r="Z57" s="56">
        <v>495</v>
      </c>
      <c r="AA57" s="56" t="s">
        <v>30</v>
      </c>
      <c r="AB57" s="51" t="s">
        <v>38</v>
      </c>
      <c r="AC57" s="50">
        <v>50</v>
      </c>
      <c r="AE57" s="50" t="s">
        <v>34</v>
      </c>
      <c r="AF57" s="50"/>
    </row>
    <row r="58" spans="2:32" s="8" customFormat="1" ht="16.5" customHeight="1" x14ac:dyDescent="0.3">
      <c r="B58" s="49" t="s">
        <v>124</v>
      </c>
      <c r="C58" s="49" t="s">
        <v>125</v>
      </c>
      <c r="D58" s="50" t="s">
        <v>121</v>
      </c>
      <c r="E58" s="51" t="s">
        <v>27</v>
      </c>
      <c r="F58" s="4"/>
      <c r="G58" s="56">
        <v>115</v>
      </c>
      <c r="H58" s="56">
        <v>215</v>
      </c>
      <c r="I58" s="52" t="s">
        <v>28</v>
      </c>
      <c r="J58" s="58" t="s">
        <v>38</v>
      </c>
      <c r="K58" s="50">
        <v>67</v>
      </c>
      <c r="L58" s="4"/>
      <c r="M58" s="56">
        <v>115</v>
      </c>
      <c r="N58" s="56">
        <v>215</v>
      </c>
      <c r="O58" s="56" t="s">
        <v>30</v>
      </c>
      <c r="P58" s="51" t="s">
        <v>38</v>
      </c>
      <c r="Q58" s="50">
        <v>44</v>
      </c>
      <c r="R58" s="4"/>
      <c r="S58" s="56">
        <v>115</v>
      </c>
      <c r="T58" s="56">
        <v>215</v>
      </c>
      <c r="U58" s="58" t="s">
        <v>32</v>
      </c>
      <c r="V58" s="59" t="s">
        <v>33</v>
      </c>
      <c r="W58" s="60">
        <v>60</v>
      </c>
      <c r="X58" s="44"/>
      <c r="Y58" s="56">
        <v>395</v>
      </c>
      <c r="Z58" s="56">
        <v>495</v>
      </c>
      <c r="AA58" s="56" t="s">
        <v>30</v>
      </c>
      <c r="AB58" s="51" t="s">
        <v>38</v>
      </c>
      <c r="AC58" s="50">
        <v>47</v>
      </c>
      <c r="AE58" s="50" t="s">
        <v>34</v>
      </c>
      <c r="AF58" s="50"/>
    </row>
    <row r="59" spans="2:32" s="8" customFormat="1" ht="16.5" customHeight="1" x14ac:dyDescent="0.3">
      <c r="B59" s="49" t="s">
        <v>126</v>
      </c>
      <c r="C59" s="49" t="s">
        <v>127</v>
      </c>
      <c r="D59" s="50" t="s">
        <v>121</v>
      </c>
      <c r="E59" s="51" t="s">
        <v>27</v>
      </c>
      <c r="F59" s="4"/>
      <c r="G59" s="56">
        <v>115</v>
      </c>
      <c r="H59" s="56">
        <v>215</v>
      </c>
      <c r="I59" s="52" t="s">
        <v>28</v>
      </c>
      <c r="J59" s="58" t="s">
        <v>38</v>
      </c>
      <c r="K59" s="50">
        <v>67</v>
      </c>
      <c r="L59" s="4"/>
      <c r="M59" s="56">
        <v>115</v>
      </c>
      <c r="N59" s="56">
        <v>215</v>
      </c>
      <c r="O59" s="56" t="s">
        <v>30</v>
      </c>
      <c r="P59" s="51" t="s">
        <v>38</v>
      </c>
      <c r="Q59" s="50">
        <v>45</v>
      </c>
      <c r="R59" s="4"/>
      <c r="S59" s="56">
        <v>115</v>
      </c>
      <c r="T59" s="56">
        <v>215</v>
      </c>
      <c r="U59" s="58" t="s">
        <v>32</v>
      </c>
      <c r="V59" s="59" t="s">
        <v>33</v>
      </c>
      <c r="W59" s="60">
        <v>58</v>
      </c>
      <c r="X59" s="44"/>
      <c r="Y59" s="56">
        <v>395</v>
      </c>
      <c r="Z59" s="56">
        <v>495</v>
      </c>
      <c r="AA59" s="56" t="s">
        <v>30</v>
      </c>
      <c r="AB59" s="51" t="s">
        <v>38</v>
      </c>
      <c r="AC59" s="50">
        <v>48</v>
      </c>
      <c r="AE59" s="50" t="s">
        <v>34</v>
      </c>
      <c r="AF59" s="50"/>
    </row>
    <row r="60" spans="2:32" s="55" customFormat="1" ht="16.5" customHeight="1" x14ac:dyDescent="0.3">
      <c r="B60" s="49" t="s">
        <v>128</v>
      </c>
      <c r="C60" s="49" t="s">
        <v>129</v>
      </c>
      <c r="D60" s="50" t="s">
        <v>121</v>
      </c>
      <c r="E60" s="51" t="s">
        <v>27</v>
      </c>
      <c r="F60" s="4"/>
      <c r="G60" s="56">
        <v>115</v>
      </c>
      <c r="H60" s="56">
        <v>215</v>
      </c>
      <c r="I60" s="52" t="s">
        <v>28</v>
      </c>
      <c r="J60" s="58" t="s">
        <v>38</v>
      </c>
      <c r="K60" s="50">
        <v>69</v>
      </c>
      <c r="L60" s="4"/>
      <c r="M60" s="56">
        <v>115</v>
      </c>
      <c r="N60" s="56">
        <v>215</v>
      </c>
      <c r="O60" s="56" t="s">
        <v>73</v>
      </c>
      <c r="P60" s="51" t="s">
        <v>83</v>
      </c>
      <c r="Q60" s="50">
        <v>67</v>
      </c>
      <c r="R60" s="4"/>
      <c r="S60" s="56">
        <v>115</v>
      </c>
      <c r="T60" s="56">
        <v>215</v>
      </c>
      <c r="U60" s="58" t="s">
        <v>32</v>
      </c>
      <c r="V60" s="59" t="s">
        <v>33</v>
      </c>
      <c r="W60" s="60">
        <v>67</v>
      </c>
      <c r="X60" s="44"/>
      <c r="Y60" s="56">
        <v>395</v>
      </c>
      <c r="Z60" s="56">
        <v>495</v>
      </c>
      <c r="AA60" s="56" t="s">
        <v>73</v>
      </c>
      <c r="AB60" s="51" t="s">
        <v>83</v>
      </c>
      <c r="AC60" s="50">
        <v>70</v>
      </c>
      <c r="AE60" s="50" t="s">
        <v>34</v>
      </c>
      <c r="AF60" s="50"/>
    </row>
    <row r="61" spans="2:32" s="55" customFormat="1" ht="16.5" customHeight="1" x14ac:dyDescent="0.3">
      <c r="B61" s="49" t="s">
        <v>130</v>
      </c>
      <c r="C61" s="49" t="s">
        <v>131</v>
      </c>
      <c r="D61" s="50" t="s">
        <v>121</v>
      </c>
      <c r="E61" s="51" t="s">
        <v>27</v>
      </c>
      <c r="F61" s="4"/>
      <c r="G61" s="56">
        <v>265</v>
      </c>
      <c r="H61" s="56">
        <v>365</v>
      </c>
      <c r="I61" s="52" t="s">
        <v>28</v>
      </c>
      <c r="J61" s="58" t="s">
        <v>38</v>
      </c>
      <c r="K61" s="50">
        <v>68</v>
      </c>
      <c r="L61" s="54"/>
      <c r="M61" s="56">
        <v>265</v>
      </c>
      <c r="N61" s="56">
        <v>365</v>
      </c>
      <c r="O61" s="56" t="s">
        <v>30</v>
      </c>
      <c r="P61" s="51" t="s">
        <v>38</v>
      </c>
      <c r="Q61" s="50">
        <v>52</v>
      </c>
      <c r="R61" s="54"/>
      <c r="S61" s="56">
        <v>265</v>
      </c>
      <c r="T61" s="56">
        <v>365</v>
      </c>
      <c r="U61" s="58" t="s">
        <v>32</v>
      </c>
      <c r="V61" s="59" t="s">
        <v>33</v>
      </c>
      <c r="W61" s="60">
        <v>61</v>
      </c>
      <c r="X61" s="61"/>
      <c r="Y61" s="56">
        <v>545</v>
      </c>
      <c r="Z61" s="56">
        <v>645</v>
      </c>
      <c r="AA61" s="56" t="s">
        <v>30</v>
      </c>
      <c r="AB61" s="51" t="s">
        <v>38</v>
      </c>
      <c r="AC61" s="50">
        <v>55</v>
      </c>
      <c r="AE61" s="50" t="s">
        <v>34</v>
      </c>
      <c r="AF61" s="50"/>
    </row>
    <row r="62" spans="2:32" s="55" customFormat="1" ht="16.5" customHeight="1" x14ac:dyDescent="0.3">
      <c r="B62" s="49" t="s">
        <v>132</v>
      </c>
      <c r="C62" s="49" t="s">
        <v>133</v>
      </c>
      <c r="D62" s="50" t="s">
        <v>121</v>
      </c>
      <c r="E62" s="51" t="s">
        <v>27</v>
      </c>
      <c r="F62" s="4"/>
      <c r="G62" s="56">
        <v>115</v>
      </c>
      <c r="H62" s="56">
        <v>215</v>
      </c>
      <c r="I62" s="52" t="s">
        <v>28</v>
      </c>
      <c r="J62" s="58" t="s">
        <v>38</v>
      </c>
      <c r="K62" s="50">
        <v>66</v>
      </c>
      <c r="L62" s="54"/>
      <c r="M62" s="56">
        <v>115</v>
      </c>
      <c r="N62" s="56">
        <v>215</v>
      </c>
      <c r="O62" s="56" t="s">
        <v>30</v>
      </c>
      <c r="P62" s="51" t="s">
        <v>38</v>
      </c>
      <c r="Q62" s="50">
        <v>47</v>
      </c>
      <c r="R62" s="54"/>
      <c r="S62" s="56">
        <v>115</v>
      </c>
      <c r="T62" s="56">
        <v>215</v>
      </c>
      <c r="U62" s="58" t="s">
        <v>32</v>
      </c>
      <c r="V62" s="59" t="s">
        <v>33</v>
      </c>
      <c r="W62" s="60">
        <v>59</v>
      </c>
      <c r="X62" s="61"/>
      <c r="Y62" s="56">
        <v>395</v>
      </c>
      <c r="Z62" s="56">
        <v>495</v>
      </c>
      <c r="AA62" s="56" t="s">
        <v>30</v>
      </c>
      <c r="AB62" s="51" t="s">
        <v>38</v>
      </c>
      <c r="AC62" s="50">
        <v>50</v>
      </c>
      <c r="AE62" s="50" t="s">
        <v>34</v>
      </c>
      <c r="AF62" s="50"/>
    </row>
    <row r="63" spans="2:32" s="8" customFormat="1" ht="16.5" customHeight="1" x14ac:dyDescent="0.3">
      <c r="B63" s="49" t="s">
        <v>134</v>
      </c>
      <c r="C63" s="49" t="s">
        <v>135</v>
      </c>
      <c r="D63" s="50" t="s">
        <v>121</v>
      </c>
      <c r="E63" s="51" t="s">
        <v>27</v>
      </c>
      <c r="F63" s="4"/>
      <c r="G63" s="56">
        <v>115</v>
      </c>
      <c r="H63" s="56">
        <v>215</v>
      </c>
      <c r="I63" s="52" t="s">
        <v>28</v>
      </c>
      <c r="J63" s="58" t="s">
        <v>38</v>
      </c>
      <c r="K63" s="50">
        <v>66</v>
      </c>
      <c r="L63" s="4"/>
      <c r="M63" s="56">
        <v>115</v>
      </c>
      <c r="N63" s="56">
        <v>215</v>
      </c>
      <c r="O63" s="56" t="s">
        <v>30</v>
      </c>
      <c r="P63" s="51" t="s">
        <v>38</v>
      </c>
      <c r="Q63" s="50">
        <v>47</v>
      </c>
      <c r="R63" s="4"/>
      <c r="S63" s="56">
        <v>115</v>
      </c>
      <c r="T63" s="56">
        <v>215</v>
      </c>
      <c r="U63" s="58" t="s">
        <v>32</v>
      </c>
      <c r="V63" s="59" t="s">
        <v>33</v>
      </c>
      <c r="W63" s="60">
        <v>58</v>
      </c>
      <c r="X63" s="44"/>
      <c r="Y63" s="56">
        <v>395</v>
      </c>
      <c r="Z63" s="56">
        <v>495</v>
      </c>
      <c r="AA63" s="56" t="s">
        <v>30</v>
      </c>
      <c r="AB63" s="51" t="s">
        <v>38</v>
      </c>
      <c r="AC63" s="50">
        <v>50</v>
      </c>
      <c r="AE63" s="50" t="s">
        <v>34</v>
      </c>
      <c r="AF63" s="50"/>
    </row>
    <row r="64" spans="2:32" s="8" customFormat="1" ht="16.5" customHeight="1" x14ac:dyDescent="0.3">
      <c r="B64" s="49" t="s">
        <v>136</v>
      </c>
      <c r="C64" s="49" t="s">
        <v>137</v>
      </c>
      <c r="D64" s="50" t="s">
        <v>138</v>
      </c>
      <c r="E64" s="51" t="s">
        <v>27</v>
      </c>
      <c r="F64" s="4"/>
      <c r="G64" s="56">
        <v>365</v>
      </c>
      <c r="H64" s="56">
        <v>615</v>
      </c>
      <c r="I64" s="84" t="s">
        <v>28</v>
      </c>
      <c r="J64" s="63" t="s">
        <v>29</v>
      </c>
      <c r="K64" s="60">
        <v>66</v>
      </c>
      <c r="L64" s="54"/>
      <c r="M64" s="56" t="s">
        <v>39</v>
      </c>
      <c r="N64" s="56" t="s">
        <v>39</v>
      </c>
      <c r="O64" s="56" t="s">
        <v>30</v>
      </c>
      <c r="P64" s="51" t="s">
        <v>31</v>
      </c>
      <c r="Q64" s="50">
        <v>43</v>
      </c>
      <c r="R64" s="54"/>
      <c r="S64" s="56" t="s">
        <v>39</v>
      </c>
      <c r="T64" s="56" t="s">
        <v>39</v>
      </c>
      <c r="U64" s="78" t="s">
        <v>39</v>
      </c>
      <c r="V64" s="58" t="s">
        <v>39</v>
      </c>
      <c r="W64" s="50" t="s">
        <v>39</v>
      </c>
      <c r="X64" s="61"/>
      <c r="Y64" s="56" t="s">
        <v>39</v>
      </c>
      <c r="Z64" s="56" t="s">
        <v>39</v>
      </c>
      <c r="AA64" s="56" t="s">
        <v>30</v>
      </c>
      <c r="AB64" s="51" t="s">
        <v>31</v>
      </c>
      <c r="AC64" s="50">
        <v>46</v>
      </c>
      <c r="AE64" s="50" t="s">
        <v>34</v>
      </c>
      <c r="AF64" s="50"/>
    </row>
    <row r="65" spans="2:32" s="8" customFormat="1" ht="16.5" customHeight="1" x14ac:dyDescent="0.3">
      <c r="B65" s="49" t="s">
        <v>139</v>
      </c>
      <c r="C65" s="49" t="s">
        <v>140</v>
      </c>
      <c r="D65" s="50" t="s">
        <v>138</v>
      </c>
      <c r="E65" s="51" t="s">
        <v>27</v>
      </c>
      <c r="F65" s="4"/>
      <c r="G65" s="56">
        <v>485</v>
      </c>
      <c r="H65" s="56">
        <v>895</v>
      </c>
      <c r="I65" s="84" t="s">
        <v>28</v>
      </c>
      <c r="J65" s="63" t="s">
        <v>29</v>
      </c>
      <c r="K65" s="60">
        <v>50</v>
      </c>
      <c r="L65" s="4"/>
      <c r="M65" s="56" t="s">
        <v>39</v>
      </c>
      <c r="N65" s="56" t="s">
        <v>39</v>
      </c>
      <c r="O65" s="56" t="s">
        <v>30</v>
      </c>
      <c r="P65" s="51" t="s">
        <v>31</v>
      </c>
      <c r="Q65" s="50">
        <v>34</v>
      </c>
      <c r="R65" s="4"/>
      <c r="S65" s="56" t="s">
        <v>39</v>
      </c>
      <c r="T65" s="56" t="s">
        <v>39</v>
      </c>
      <c r="U65" s="78" t="s">
        <v>39</v>
      </c>
      <c r="V65" s="58" t="s">
        <v>39</v>
      </c>
      <c r="W65" s="50" t="s">
        <v>39</v>
      </c>
      <c r="X65" s="44"/>
      <c r="Y65" s="56" t="s">
        <v>39</v>
      </c>
      <c r="Z65" s="56" t="s">
        <v>39</v>
      </c>
      <c r="AA65" s="56" t="s">
        <v>30</v>
      </c>
      <c r="AB65" s="51" t="s">
        <v>31</v>
      </c>
      <c r="AC65" s="50">
        <v>37</v>
      </c>
      <c r="AE65" s="50" t="s">
        <v>34</v>
      </c>
      <c r="AF65" s="50"/>
    </row>
    <row r="66" spans="2:32" s="8" customFormat="1" ht="16.5" customHeight="1" x14ac:dyDescent="0.3">
      <c r="B66" s="49" t="s">
        <v>141</v>
      </c>
      <c r="C66" s="49" t="s">
        <v>142</v>
      </c>
      <c r="D66" s="50" t="s">
        <v>138</v>
      </c>
      <c r="E66" s="51" t="s">
        <v>27</v>
      </c>
      <c r="F66" s="4"/>
      <c r="G66" s="56">
        <v>530</v>
      </c>
      <c r="H66" s="56">
        <v>985</v>
      </c>
      <c r="I66" s="84" t="s">
        <v>28</v>
      </c>
      <c r="J66" s="63" t="s">
        <v>29</v>
      </c>
      <c r="K66" s="60">
        <v>61</v>
      </c>
      <c r="L66" s="54"/>
      <c r="M66" s="56">
        <v>530</v>
      </c>
      <c r="N66" s="56">
        <v>985</v>
      </c>
      <c r="O66" s="56" t="s">
        <v>30</v>
      </c>
      <c r="P66" s="51" t="s">
        <v>31</v>
      </c>
      <c r="Q66" s="50">
        <v>38</v>
      </c>
      <c r="R66" s="54"/>
      <c r="S66" s="56" t="s">
        <v>39</v>
      </c>
      <c r="T66" s="56" t="s">
        <v>39</v>
      </c>
      <c r="U66" s="78" t="s">
        <v>39</v>
      </c>
      <c r="V66" s="58" t="s">
        <v>39</v>
      </c>
      <c r="W66" s="50" t="s">
        <v>39</v>
      </c>
      <c r="X66" s="85"/>
      <c r="Y66" s="56">
        <v>810</v>
      </c>
      <c r="Z66" s="56">
        <v>1265</v>
      </c>
      <c r="AA66" s="56" t="s">
        <v>30</v>
      </c>
      <c r="AB66" s="51" t="s">
        <v>31</v>
      </c>
      <c r="AC66" s="50">
        <v>41</v>
      </c>
      <c r="AE66" s="50" t="s">
        <v>34</v>
      </c>
      <c r="AF66" s="50"/>
    </row>
    <row r="67" spans="2:32" s="55" customFormat="1" ht="16.5" customHeight="1" x14ac:dyDescent="0.3">
      <c r="B67" s="49" t="s">
        <v>143</v>
      </c>
      <c r="C67" s="49" t="s">
        <v>144</v>
      </c>
      <c r="D67" s="50" t="s">
        <v>138</v>
      </c>
      <c r="E67" s="51" t="s">
        <v>27</v>
      </c>
      <c r="F67" s="4"/>
      <c r="G67" s="56">
        <v>115</v>
      </c>
      <c r="H67" s="56">
        <v>215</v>
      </c>
      <c r="I67" s="84" t="s">
        <v>28</v>
      </c>
      <c r="J67" s="63" t="s">
        <v>29</v>
      </c>
      <c r="K67" s="60">
        <v>51</v>
      </c>
      <c r="L67" s="4"/>
      <c r="M67" s="56">
        <v>115</v>
      </c>
      <c r="N67" s="56">
        <v>215</v>
      </c>
      <c r="O67" s="56" t="s">
        <v>30</v>
      </c>
      <c r="P67" s="51" t="s">
        <v>31</v>
      </c>
      <c r="Q67" s="50">
        <v>35</v>
      </c>
      <c r="R67" s="4"/>
      <c r="S67" s="56">
        <v>115</v>
      </c>
      <c r="T67" s="56">
        <v>215</v>
      </c>
      <c r="U67" s="86" t="s">
        <v>32</v>
      </c>
      <c r="V67" s="58" t="s">
        <v>33</v>
      </c>
      <c r="W67" s="50">
        <v>58</v>
      </c>
      <c r="X67" s="44"/>
      <c r="Y67" s="56">
        <v>395</v>
      </c>
      <c r="Z67" s="56">
        <v>495</v>
      </c>
      <c r="AA67" s="56" t="s">
        <v>30</v>
      </c>
      <c r="AB67" s="51" t="s">
        <v>31</v>
      </c>
      <c r="AC67" s="50">
        <v>38</v>
      </c>
      <c r="AE67" s="50" t="s">
        <v>34</v>
      </c>
      <c r="AF67" s="50"/>
    </row>
    <row r="68" spans="2:32" s="55" customFormat="1" ht="16.5" customHeight="1" x14ac:dyDescent="0.3">
      <c r="B68" s="49" t="s">
        <v>145</v>
      </c>
      <c r="C68" s="49" t="s">
        <v>146</v>
      </c>
      <c r="D68" s="50" t="s">
        <v>138</v>
      </c>
      <c r="E68" s="51" t="s">
        <v>27</v>
      </c>
      <c r="F68" s="4"/>
      <c r="G68" s="56">
        <v>115</v>
      </c>
      <c r="H68" s="56">
        <v>215</v>
      </c>
      <c r="I68" s="52" t="s">
        <v>28</v>
      </c>
      <c r="J68" s="58" t="s">
        <v>29</v>
      </c>
      <c r="K68" s="50">
        <v>48</v>
      </c>
      <c r="L68" s="4"/>
      <c r="M68" s="56">
        <v>115</v>
      </c>
      <c r="N68" s="56">
        <v>215</v>
      </c>
      <c r="O68" s="56" t="s">
        <v>30</v>
      </c>
      <c r="P68" s="51" t="s">
        <v>31</v>
      </c>
      <c r="Q68" s="50">
        <v>32</v>
      </c>
      <c r="R68" s="4"/>
      <c r="S68" s="56">
        <v>115</v>
      </c>
      <c r="T68" s="56">
        <v>215</v>
      </c>
      <c r="U68" s="78" t="s">
        <v>32</v>
      </c>
      <c r="V68" s="59" t="s">
        <v>33</v>
      </c>
      <c r="W68" s="60">
        <v>48</v>
      </c>
      <c r="X68" s="44"/>
      <c r="Y68" s="56">
        <v>395</v>
      </c>
      <c r="Z68" s="56">
        <v>495</v>
      </c>
      <c r="AA68" s="56" t="s">
        <v>30</v>
      </c>
      <c r="AB68" s="51" t="s">
        <v>31</v>
      </c>
      <c r="AC68" s="50">
        <v>35</v>
      </c>
      <c r="AE68" s="50" t="s">
        <v>34</v>
      </c>
      <c r="AF68" s="50"/>
    </row>
    <row r="69" spans="2:32" s="87" customFormat="1" ht="16.5" customHeight="1" x14ac:dyDescent="0.3">
      <c r="B69" s="64" t="s">
        <v>147</v>
      </c>
      <c r="C69" s="64" t="s">
        <v>29</v>
      </c>
      <c r="D69" s="65" t="s">
        <v>148</v>
      </c>
      <c r="E69" s="66" t="s">
        <v>27</v>
      </c>
      <c r="F69" s="4"/>
      <c r="G69" s="67">
        <v>65</v>
      </c>
      <c r="H69" s="67">
        <v>115</v>
      </c>
      <c r="I69" s="68" t="s">
        <v>28</v>
      </c>
      <c r="J69" s="69" t="s">
        <v>56</v>
      </c>
      <c r="K69" s="70">
        <v>43</v>
      </c>
      <c r="L69" s="4"/>
      <c r="M69" s="67">
        <v>65</v>
      </c>
      <c r="N69" s="67">
        <v>115</v>
      </c>
      <c r="O69" s="67" t="s">
        <v>73</v>
      </c>
      <c r="P69" s="66" t="s">
        <v>56</v>
      </c>
      <c r="Q69" s="70">
        <v>43</v>
      </c>
      <c r="R69" s="4"/>
      <c r="S69" s="67" t="s">
        <v>39</v>
      </c>
      <c r="T69" s="67" t="s">
        <v>39</v>
      </c>
      <c r="U69" s="71" t="s">
        <v>57</v>
      </c>
      <c r="V69" s="72" t="s">
        <v>58</v>
      </c>
      <c r="W69" s="73">
        <v>40</v>
      </c>
      <c r="X69" s="44"/>
      <c r="Y69" s="67">
        <v>345</v>
      </c>
      <c r="Z69" s="67">
        <v>395</v>
      </c>
      <c r="AA69" s="67" t="s">
        <v>73</v>
      </c>
      <c r="AB69" s="66" t="s">
        <v>56</v>
      </c>
      <c r="AC69" s="70">
        <v>46</v>
      </c>
      <c r="AE69" s="70" t="s">
        <v>34</v>
      </c>
      <c r="AF69" s="70"/>
    </row>
    <row r="70" spans="2:32" s="55" customFormat="1" ht="16.5" customHeight="1" x14ac:dyDescent="0.3">
      <c r="B70" s="49" t="s">
        <v>149</v>
      </c>
      <c r="C70" s="49" t="s">
        <v>150</v>
      </c>
      <c r="D70" s="50" t="s">
        <v>151</v>
      </c>
      <c r="E70" s="51" t="s">
        <v>27</v>
      </c>
      <c r="F70" s="4"/>
      <c r="G70" s="56">
        <v>265</v>
      </c>
      <c r="H70" s="56">
        <v>415</v>
      </c>
      <c r="I70" s="52" t="s">
        <v>28</v>
      </c>
      <c r="J70" s="58" t="s">
        <v>29</v>
      </c>
      <c r="K70" s="50">
        <v>58</v>
      </c>
      <c r="L70" s="4"/>
      <c r="M70" s="56">
        <v>265</v>
      </c>
      <c r="N70" s="56">
        <v>415</v>
      </c>
      <c r="O70" s="56" t="s">
        <v>30</v>
      </c>
      <c r="P70" s="51" t="s">
        <v>31</v>
      </c>
      <c r="Q70" s="50">
        <v>35</v>
      </c>
      <c r="R70" s="4"/>
      <c r="S70" s="56">
        <v>265</v>
      </c>
      <c r="T70" s="56">
        <v>415</v>
      </c>
      <c r="U70" s="58" t="s">
        <v>32</v>
      </c>
      <c r="V70" s="59" t="s">
        <v>33</v>
      </c>
      <c r="W70" s="60">
        <v>58</v>
      </c>
      <c r="X70" s="44"/>
      <c r="Y70" s="56">
        <v>545</v>
      </c>
      <c r="Z70" s="56">
        <v>695</v>
      </c>
      <c r="AA70" s="56" t="s">
        <v>30</v>
      </c>
      <c r="AB70" s="51" t="s">
        <v>31</v>
      </c>
      <c r="AC70" s="50">
        <v>38</v>
      </c>
      <c r="AE70" s="50" t="s">
        <v>34</v>
      </c>
      <c r="AF70" s="50"/>
    </row>
    <row r="71" spans="2:32" s="8" customFormat="1" ht="16.5" customHeight="1" x14ac:dyDescent="0.3">
      <c r="B71" s="81" t="s">
        <v>152</v>
      </c>
      <c r="C71" s="81" t="s">
        <v>153</v>
      </c>
      <c r="D71" s="73" t="s">
        <v>154</v>
      </c>
      <c r="E71" s="72" t="s">
        <v>27</v>
      </c>
      <c r="F71" s="43"/>
      <c r="G71" s="67">
        <v>215</v>
      </c>
      <c r="H71" s="67">
        <v>315</v>
      </c>
      <c r="I71" s="68" t="s">
        <v>28</v>
      </c>
      <c r="J71" s="69" t="s">
        <v>29</v>
      </c>
      <c r="K71" s="70">
        <v>52</v>
      </c>
      <c r="L71" s="54"/>
      <c r="M71" s="67">
        <v>215</v>
      </c>
      <c r="N71" s="67">
        <v>315</v>
      </c>
      <c r="O71" s="67" t="s">
        <v>30</v>
      </c>
      <c r="P71" s="66" t="s">
        <v>31</v>
      </c>
      <c r="Q71" s="70">
        <v>36</v>
      </c>
      <c r="R71" s="54"/>
      <c r="S71" s="67">
        <v>215</v>
      </c>
      <c r="T71" s="67">
        <v>315</v>
      </c>
      <c r="U71" s="71" t="s">
        <v>57</v>
      </c>
      <c r="V71" s="72" t="s">
        <v>58</v>
      </c>
      <c r="W71" s="73">
        <v>50</v>
      </c>
      <c r="X71" s="61"/>
      <c r="Y71" s="67">
        <v>495</v>
      </c>
      <c r="Z71" s="67">
        <v>595</v>
      </c>
      <c r="AA71" s="67" t="s">
        <v>30</v>
      </c>
      <c r="AB71" s="66" t="s">
        <v>31</v>
      </c>
      <c r="AC71" s="70">
        <v>39</v>
      </c>
      <c r="AE71" s="70" t="s">
        <v>34</v>
      </c>
      <c r="AF71" s="70"/>
    </row>
    <row r="72" spans="2:32" s="55" customFormat="1" ht="16.5" customHeight="1" x14ac:dyDescent="0.3">
      <c r="B72" s="64" t="s">
        <v>155</v>
      </c>
      <c r="C72" s="64" t="s">
        <v>31</v>
      </c>
      <c r="D72" s="65" t="s">
        <v>156</v>
      </c>
      <c r="E72" s="66" t="s">
        <v>27</v>
      </c>
      <c r="F72" s="4"/>
      <c r="G72" s="67">
        <v>65</v>
      </c>
      <c r="H72" s="67">
        <v>115</v>
      </c>
      <c r="I72" s="68" t="s">
        <v>28</v>
      </c>
      <c r="J72" s="69" t="s">
        <v>29</v>
      </c>
      <c r="K72" s="70">
        <v>48</v>
      </c>
      <c r="L72" s="4"/>
      <c r="M72" s="67">
        <v>65</v>
      </c>
      <c r="N72" s="67">
        <v>115</v>
      </c>
      <c r="O72" s="67" t="s">
        <v>30</v>
      </c>
      <c r="P72" s="66" t="s">
        <v>56</v>
      </c>
      <c r="Q72" s="70">
        <v>28</v>
      </c>
      <c r="R72" s="4"/>
      <c r="S72" s="67">
        <v>65</v>
      </c>
      <c r="T72" s="67">
        <v>115</v>
      </c>
      <c r="U72" s="69" t="s">
        <v>32</v>
      </c>
      <c r="V72" s="72" t="s">
        <v>33</v>
      </c>
      <c r="W72" s="73">
        <v>51</v>
      </c>
      <c r="X72" s="44"/>
      <c r="Y72" s="67">
        <v>345</v>
      </c>
      <c r="Z72" s="67">
        <v>395</v>
      </c>
      <c r="AA72" s="67" t="s">
        <v>30</v>
      </c>
      <c r="AB72" s="66" t="s">
        <v>56</v>
      </c>
      <c r="AC72" s="70">
        <v>31</v>
      </c>
      <c r="AE72" s="70" t="s">
        <v>34</v>
      </c>
      <c r="AF72" s="70"/>
    </row>
    <row r="73" spans="2:32" s="8" customFormat="1" ht="16.5" customHeight="1" x14ac:dyDescent="0.3">
      <c r="B73" s="64" t="s">
        <v>157</v>
      </c>
      <c r="C73" s="64" t="s">
        <v>158</v>
      </c>
      <c r="D73" s="65" t="s">
        <v>159</v>
      </c>
      <c r="E73" s="66" t="s">
        <v>27</v>
      </c>
      <c r="F73" s="4"/>
      <c r="G73" s="71">
        <f>IF(((VLOOKUP($B73,[1]Combinar1!$C:$X,9,FALSE))=0),"no service",VLOOKUP($B73,[1]Combinar1!$C:$X,9,FALSE))</f>
        <v>65</v>
      </c>
      <c r="H73" s="68">
        <f>IF(((VLOOKUP($B73,[1]Combinar1!$C:$X,10,FALSE))=0),"no service",VLOOKUP($B73,[1]Combinar1!$C:$X,10,FALSE))</f>
        <v>115</v>
      </c>
      <c r="I73" s="68" t="str">
        <f>IF(((VLOOKUP($B73,[1]Combinar1!$C:$X,11,FALSE))=0),"no service",VLOOKUP($B73,[1]Combinar1!$C:$X,11,FALSE))</f>
        <v>AEM2</v>
      </c>
      <c r="J73" s="69" t="str">
        <f>IF(((VLOOKUP($B73,[1]Combinar1!$C:$X,12,FALSE))=0),"no service",VLOOKUP($B73,[1]Combinar1!$C:$X,12,FALSE))</f>
        <v>SHA</v>
      </c>
      <c r="K73" s="70">
        <f>IF(((VLOOKUP($B73,[1]Combinar1!$C:$X,13,FALSE))=0),"no service",VLOOKUP($B73,[1]Combinar1!$C:$X,13,FALSE))</f>
        <v>60</v>
      </c>
      <c r="L73" s="4"/>
      <c r="M73" s="67">
        <f>IF(((VLOOKUP($B73,[1]Combinar1!$C:$X,4,FALSE))=0),"no service",VLOOKUP($B73,[1]Combinar1!$C:$X,4,FALSE))</f>
        <v>65</v>
      </c>
      <c r="N73" s="67">
        <f>IF(((VLOOKUP($B73,[1]Combinar1!$C:$X,5,FALSE))=0),"no service",VLOOKUP($B73,[1]Combinar1!$C:$X,5,FALSE))</f>
        <v>115</v>
      </c>
      <c r="O73" s="67" t="str">
        <f>IF(((VLOOKUP($B73,[1]Combinar1!$C:$X,6,FALSE))=0),"no service",VLOOKUP($B73,[1]Combinar1!$C:$X,6,FALSE))</f>
        <v>AEM1</v>
      </c>
      <c r="P73" s="66" t="str">
        <f>IF(((VLOOKUP($B73,[1]Combinar1!$C:$X,7,FALSE))=0),"no service",VLOOKUP($B73,[1]Combinar1!$C:$X,7,FALSE))</f>
        <v>SHA</v>
      </c>
      <c r="Q73" s="70">
        <f>IF(((VLOOKUP($B73,[1]Combinar1!$C:$X,8,FALSE))=0),"no service",VLOOKUP($B73,[1]Combinar1!$C:$X,8,FALSE))</f>
        <v>41</v>
      </c>
      <c r="R73" s="4"/>
      <c r="S73" s="67">
        <v>65</v>
      </c>
      <c r="T73" s="67">
        <v>115</v>
      </c>
      <c r="U73" s="71" t="s">
        <v>57</v>
      </c>
      <c r="V73" s="72" t="s">
        <v>58</v>
      </c>
      <c r="W73" s="73">
        <v>55</v>
      </c>
      <c r="X73" s="44"/>
      <c r="Y73" s="67">
        <v>345</v>
      </c>
      <c r="Z73" s="67">
        <v>395</v>
      </c>
      <c r="AA73" s="67" t="s">
        <v>28</v>
      </c>
      <c r="AB73" s="66" t="s">
        <v>56</v>
      </c>
      <c r="AC73" s="70">
        <v>62</v>
      </c>
      <c r="AE73" s="70" t="s">
        <v>34</v>
      </c>
      <c r="AF73" s="70"/>
    </row>
    <row r="74" spans="2:32" s="8" customFormat="1" ht="16.5" customHeight="1" x14ac:dyDescent="0.3">
      <c r="B74" s="49" t="s">
        <v>160</v>
      </c>
      <c r="C74" s="49" t="s">
        <v>161</v>
      </c>
      <c r="D74" s="50" t="s">
        <v>162</v>
      </c>
      <c r="E74" s="51" t="s">
        <v>27</v>
      </c>
      <c r="F74" s="4"/>
      <c r="G74" s="56">
        <v>315</v>
      </c>
      <c r="H74" s="56">
        <v>615</v>
      </c>
      <c r="I74" s="52" t="s">
        <v>28</v>
      </c>
      <c r="J74" s="58" t="s">
        <v>38</v>
      </c>
      <c r="K74" s="50">
        <v>66</v>
      </c>
      <c r="L74" s="4"/>
      <c r="M74" s="56">
        <v>315</v>
      </c>
      <c r="N74" s="56">
        <v>615</v>
      </c>
      <c r="O74" s="56" t="s">
        <v>30</v>
      </c>
      <c r="P74" s="51" t="s">
        <v>38</v>
      </c>
      <c r="Q74" s="50">
        <v>46</v>
      </c>
      <c r="R74" s="4"/>
      <c r="S74" s="56">
        <v>315</v>
      </c>
      <c r="T74" s="56">
        <v>615</v>
      </c>
      <c r="U74" s="58" t="s">
        <v>32</v>
      </c>
      <c r="V74" s="59" t="s">
        <v>33</v>
      </c>
      <c r="W74" s="60">
        <v>59</v>
      </c>
      <c r="X74" s="44"/>
      <c r="Y74" s="56">
        <v>595</v>
      </c>
      <c r="Z74" s="56">
        <v>895</v>
      </c>
      <c r="AA74" s="56" t="s">
        <v>30</v>
      </c>
      <c r="AB74" s="51" t="s">
        <v>38</v>
      </c>
      <c r="AC74" s="50">
        <v>49</v>
      </c>
      <c r="AE74" s="50" t="s">
        <v>34</v>
      </c>
      <c r="AF74" s="50" t="s">
        <v>163</v>
      </c>
    </row>
    <row r="75" spans="2:32" s="8" customFormat="1" ht="16.5" customHeight="1" x14ac:dyDescent="0.3">
      <c r="B75" s="49" t="s">
        <v>164</v>
      </c>
      <c r="C75" s="49" t="s">
        <v>165</v>
      </c>
      <c r="D75" s="50" t="s">
        <v>162</v>
      </c>
      <c r="E75" s="51" t="s">
        <v>27</v>
      </c>
      <c r="F75" s="4"/>
      <c r="G75" s="56">
        <v>235</v>
      </c>
      <c r="H75" s="56">
        <v>446</v>
      </c>
      <c r="I75" s="52" t="s">
        <v>28</v>
      </c>
      <c r="J75" s="58" t="s">
        <v>38</v>
      </c>
      <c r="K75" s="50">
        <v>67</v>
      </c>
      <c r="L75" s="4"/>
      <c r="M75" s="56">
        <v>235</v>
      </c>
      <c r="N75" s="56">
        <v>446</v>
      </c>
      <c r="O75" s="56" t="s">
        <v>30</v>
      </c>
      <c r="P75" s="51" t="s">
        <v>38</v>
      </c>
      <c r="Q75" s="50">
        <v>51</v>
      </c>
      <c r="R75" s="4"/>
      <c r="S75" s="56" t="s">
        <v>39</v>
      </c>
      <c r="T75" s="56" t="s">
        <v>39</v>
      </c>
      <c r="U75" s="58" t="s">
        <v>39</v>
      </c>
      <c r="V75" s="59" t="s">
        <v>39</v>
      </c>
      <c r="W75" s="60" t="s">
        <v>39</v>
      </c>
      <c r="X75" s="88"/>
      <c r="Y75" s="56">
        <v>515</v>
      </c>
      <c r="Z75" s="56">
        <v>726</v>
      </c>
      <c r="AA75" s="56" t="s">
        <v>30</v>
      </c>
      <c r="AB75" s="51" t="s">
        <v>38</v>
      </c>
      <c r="AC75" s="50">
        <v>54</v>
      </c>
      <c r="AE75" s="50" t="s">
        <v>34</v>
      </c>
      <c r="AF75" s="50" t="s">
        <v>163</v>
      </c>
    </row>
    <row r="76" spans="2:32" s="8" customFormat="1" ht="16.5" customHeight="1" x14ac:dyDescent="0.3">
      <c r="B76" s="49" t="s">
        <v>166</v>
      </c>
      <c r="C76" s="49" t="s">
        <v>167</v>
      </c>
      <c r="D76" s="50" t="s">
        <v>168</v>
      </c>
      <c r="E76" s="51" t="s">
        <v>27</v>
      </c>
      <c r="F76" s="4"/>
      <c r="G76" s="56">
        <v>115</v>
      </c>
      <c r="H76" s="56">
        <v>215</v>
      </c>
      <c r="I76" s="52" t="s">
        <v>28</v>
      </c>
      <c r="J76" s="58" t="s">
        <v>38</v>
      </c>
      <c r="K76" s="50">
        <v>70</v>
      </c>
      <c r="L76" s="54"/>
      <c r="M76" s="56">
        <v>115</v>
      </c>
      <c r="N76" s="56">
        <v>215</v>
      </c>
      <c r="O76" s="56" t="s">
        <v>30</v>
      </c>
      <c r="P76" s="58" t="s">
        <v>38</v>
      </c>
      <c r="Q76" s="50">
        <v>47</v>
      </c>
      <c r="R76" s="54"/>
      <c r="S76" s="56">
        <v>115</v>
      </c>
      <c r="T76" s="56">
        <v>215</v>
      </c>
      <c r="U76" s="84" t="s">
        <v>32</v>
      </c>
      <c r="V76" s="59" t="s">
        <v>33</v>
      </c>
      <c r="W76" s="60">
        <v>63</v>
      </c>
      <c r="X76" s="61"/>
      <c r="Y76" s="56">
        <v>395</v>
      </c>
      <c r="Z76" s="56">
        <v>495</v>
      </c>
      <c r="AA76" s="56" t="s">
        <v>30</v>
      </c>
      <c r="AB76" s="58" t="s">
        <v>38</v>
      </c>
      <c r="AC76" s="50">
        <v>50</v>
      </c>
      <c r="AE76" s="50" t="s">
        <v>34</v>
      </c>
      <c r="AF76" s="50" t="s">
        <v>163</v>
      </c>
    </row>
    <row r="77" spans="2:32" s="8" customFormat="1" ht="16.5" customHeight="1" x14ac:dyDescent="0.3">
      <c r="B77" s="49" t="s">
        <v>169</v>
      </c>
      <c r="C77" s="49" t="s">
        <v>170</v>
      </c>
      <c r="D77" s="50" t="s">
        <v>171</v>
      </c>
      <c r="E77" s="51" t="s">
        <v>27</v>
      </c>
      <c r="F77" s="4"/>
      <c r="G77" s="56">
        <v>145</v>
      </c>
      <c r="H77" s="56">
        <v>235</v>
      </c>
      <c r="I77" s="52" t="s">
        <v>28</v>
      </c>
      <c r="J77" s="58" t="s">
        <v>29</v>
      </c>
      <c r="K77" s="50">
        <v>50</v>
      </c>
      <c r="L77" s="4"/>
      <c r="M77" s="56">
        <v>145</v>
      </c>
      <c r="N77" s="56">
        <v>235</v>
      </c>
      <c r="O77" s="56" t="s">
        <v>30</v>
      </c>
      <c r="P77" s="51" t="s">
        <v>31</v>
      </c>
      <c r="Q77" s="50">
        <v>34</v>
      </c>
      <c r="R77" s="4"/>
      <c r="S77" s="56">
        <v>145</v>
      </c>
      <c r="T77" s="56">
        <v>235</v>
      </c>
      <c r="U77" s="58" t="s">
        <v>32</v>
      </c>
      <c r="V77" s="59" t="s">
        <v>33</v>
      </c>
      <c r="W77" s="60">
        <v>56</v>
      </c>
      <c r="X77" s="44"/>
      <c r="Y77" s="56">
        <v>425</v>
      </c>
      <c r="Z77" s="56">
        <v>515</v>
      </c>
      <c r="AA77" s="56" t="s">
        <v>30</v>
      </c>
      <c r="AB77" s="51" t="s">
        <v>31</v>
      </c>
      <c r="AC77" s="50">
        <v>37</v>
      </c>
      <c r="AE77" s="50" t="s">
        <v>34</v>
      </c>
      <c r="AF77" s="50"/>
    </row>
    <row r="78" spans="2:32" s="55" customFormat="1" ht="16.5" customHeight="1" x14ac:dyDescent="0.3">
      <c r="B78" s="49" t="s">
        <v>172</v>
      </c>
      <c r="C78" s="49" t="s">
        <v>173</v>
      </c>
      <c r="D78" s="50" t="s">
        <v>171</v>
      </c>
      <c r="E78" s="51" t="s">
        <v>27</v>
      </c>
      <c r="F78" s="4"/>
      <c r="G78" s="56">
        <v>115</v>
      </c>
      <c r="H78" s="56">
        <v>215</v>
      </c>
      <c r="I78" s="52" t="s">
        <v>28</v>
      </c>
      <c r="J78" s="58" t="s">
        <v>29</v>
      </c>
      <c r="K78" s="50">
        <v>49</v>
      </c>
      <c r="L78" s="54"/>
      <c r="M78" s="56">
        <v>115</v>
      </c>
      <c r="N78" s="56">
        <v>215</v>
      </c>
      <c r="O78" s="56" t="s">
        <v>30</v>
      </c>
      <c r="P78" s="51" t="s">
        <v>31</v>
      </c>
      <c r="Q78" s="50">
        <v>35</v>
      </c>
      <c r="R78" s="54"/>
      <c r="S78" s="56">
        <v>115</v>
      </c>
      <c r="T78" s="56">
        <v>215</v>
      </c>
      <c r="U78" s="58" t="s">
        <v>32</v>
      </c>
      <c r="V78" s="59" t="s">
        <v>33</v>
      </c>
      <c r="W78" s="60">
        <v>53</v>
      </c>
      <c r="X78" s="61"/>
      <c r="Y78" s="56">
        <v>395</v>
      </c>
      <c r="Z78" s="56">
        <v>495</v>
      </c>
      <c r="AA78" s="56" t="s">
        <v>30</v>
      </c>
      <c r="AB78" s="51" t="s">
        <v>31</v>
      </c>
      <c r="AC78" s="50">
        <v>38</v>
      </c>
      <c r="AE78" s="50" t="s">
        <v>34</v>
      </c>
      <c r="AF78" s="50"/>
    </row>
    <row r="79" spans="2:32" s="55" customFormat="1" ht="16.5" customHeight="1" x14ac:dyDescent="0.3">
      <c r="B79" s="75" t="s">
        <v>174</v>
      </c>
      <c r="C79" s="75" t="s">
        <v>175</v>
      </c>
      <c r="D79" s="60" t="s">
        <v>176</v>
      </c>
      <c r="E79" s="59" t="s">
        <v>27</v>
      </c>
      <c r="F79" s="4"/>
      <c r="G79" s="56">
        <v>140</v>
      </c>
      <c r="H79" s="56">
        <v>235</v>
      </c>
      <c r="I79" s="52" t="s">
        <v>28</v>
      </c>
      <c r="J79" s="58" t="s">
        <v>29</v>
      </c>
      <c r="K79" s="50">
        <v>51</v>
      </c>
      <c r="L79" s="89"/>
      <c r="M79" s="56">
        <v>140</v>
      </c>
      <c r="N79" s="56">
        <v>235</v>
      </c>
      <c r="O79" s="56" t="s">
        <v>30</v>
      </c>
      <c r="P79" s="51" t="s">
        <v>51</v>
      </c>
      <c r="Q79" s="50">
        <v>51</v>
      </c>
      <c r="R79" s="89"/>
      <c r="S79" s="56">
        <v>140</v>
      </c>
      <c r="T79" s="56">
        <v>235</v>
      </c>
      <c r="U79" s="58" t="s">
        <v>32</v>
      </c>
      <c r="V79" s="59" t="s">
        <v>33</v>
      </c>
      <c r="W79" s="60">
        <v>73</v>
      </c>
      <c r="X79" s="90"/>
      <c r="Y79" s="56">
        <v>420</v>
      </c>
      <c r="Z79" s="56">
        <v>515</v>
      </c>
      <c r="AA79" s="56" t="s">
        <v>30</v>
      </c>
      <c r="AB79" s="51" t="s">
        <v>51</v>
      </c>
      <c r="AC79" s="50">
        <v>54</v>
      </c>
      <c r="AE79" s="50" t="s">
        <v>34</v>
      </c>
      <c r="AF79" s="50"/>
    </row>
    <row r="80" spans="2:32" s="8" customFormat="1" ht="16.5" customHeight="1" x14ac:dyDescent="0.3">
      <c r="B80" s="49" t="s">
        <v>177</v>
      </c>
      <c r="C80" s="49" t="s">
        <v>178</v>
      </c>
      <c r="D80" s="50" t="s">
        <v>176</v>
      </c>
      <c r="E80" s="51" t="s">
        <v>27</v>
      </c>
      <c r="F80" s="4"/>
      <c r="G80" s="56">
        <v>145</v>
      </c>
      <c r="H80" s="56">
        <v>235</v>
      </c>
      <c r="I80" s="84" t="s">
        <v>28</v>
      </c>
      <c r="J80" s="63" t="s">
        <v>29</v>
      </c>
      <c r="K80" s="60">
        <v>46</v>
      </c>
      <c r="L80" s="4"/>
      <c r="M80" s="56">
        <v>145</v>
      </c>
      <c r="N80" s="56">
        <v>235</v>
      </c>
      <c r="O80" s="56" t="s">
        <v>30</v>
      </c>
      <c r="P80" s="51" t="s">
        <v>31</v>
      </c>
      <c r="Q80" s="50">
        <v>34</v>
      </c>
      <c r="R80" s="4"/>
      <c r="S80" s="56">
        <v>145</v>
      </c>
      <c r="T80" s="56">
        <v>235</v>
      </c>
      <c r="U80" s="58" t="s">
        <v>32</v>
      </c>
      <c r="V80" s="59" t="s">
        <v>33</v>
      </c>
      <c r="W80" s="60">
        <v>58</v>
      </c>
      <c r="X80" s="44"/>
      <c r="Y80" s="56">
        <v>425</v>
      </c>
      <c r="Z80" s="56">
        <v>515</v>
      </c>
      <c r="AA80" s="56" t="s">
        <v>30</v>
      </c>
      <c r="AB80" s="51" t="s">
        <v>31</v>
      </c>
      <c r="AC80" s="50">
        <v>37</v>
      </c>
      <c r="AE80" s="50" t="s">
        <v>34</v>
      </c>
      <c r="AF80" s="50"/>
    </row>
    <row r="81" spans="2:32" s="8" customFormat="1" ht="16.5" customHeight="1" x14ac:dyDescent="0.3">
      <c r="B81" s="64" t="s">
        <v>179</v>
      </c>
      <c r="C81" s="64" t="s">
        <v>180</v>
      </c>
      <c r="D81" s="65" t="s">
        <v>181</v>
      </c>
      <c r="E81" s="66" t="s">
        <v>27</v>
      </c>
      <c r="F81" s="4"/>
      <c r="G81" s="67">
        <v>65</v>
      </c>
      <c r="H81" s="67">
        <v>115</v>
      </c>
      <c r="I81" s="68" t="s">
        <v>28</v>
      </c>
      <c r="J81" s="73" t="s">
        <v>38</v>
      </c>
      <c r="K81" s="73">
        <v>68</v>
      </c>
      <c r="L81" s="4"/>
      <c r="M81" s="67">
        <v>65</v>
      </c>
      <c r="N81" s="67">
        <v>115</v>
      </c>
      <c r="O81" s="67" t="s">
        <v>30</v>
      </c>
      <c r="P81" s="66" t="s">
        <v>56</v>
      </c>
      <c r="Q81" s="70">
        <v>43</v>
      </c>
      <c r="R81" s="4"/>
      <c r="S81" s="67">
        <v>65</v>
      </c>
      <c r="T81" s="67">
        <v>115</v>
      </c>
      <c r="U81" s="91" t="s">
        <v>32</v>
      </c>
      <c r="V81" s="69" t="s">
        <v>33</v>
      </c>
      <c r="W81" s="70">
        <v>66</v>
      </c>
      <c r="X81" s="44"/>
      <c r="Y81" s="67">
        <v>345</v>
      </c>
      <c r="Z81" s="67">
        <v>395</v>
      </c>
      <c r="AA81" s="67" t="s">
        <v>30</v>
      </c>
      <c r="AB81" s="66" t="s">
        <v>56</v>
      </c>
      <c r="AC81" s="70">
        <v>46</v>
      </c>
      <c r="AE81" s="70" t="s">
        <v>34</v>
      </c>
      <c r="AF81" s="70"/>
    </row>
    <row r="82" spans="2:32" s="55" customFormat="1" ht="16.5" customHeight="1" x14ac:dyDescent="0.3">
      <c r="B82" s="61"/>
      <c r="C82" s="61"/>
      <c r="D82" s="92"/>
      <c r="E82" s="93"/>
      <c r="F82" s="94"/>
      <c r="G82" s="95"/>
      <c r="H82" s="95"/>
      <c r="I82" s="95"/>
      <c r="J82" s="95"/>
      <c r="K82" s="92"/>
      <c r="L82" s="54"/>
      <c r="M82" s="95"/>
      <c r="N82" s="95"/>
      <c r="O82" s="95"/>
      <c r="P82" s="95"/>
      <c r="Q82" s="92"/>
      <c r="R82" s="54"/>
      <c r="S82" s="95"/>
      <c r="T82" s="95"/>
      <c r="U82" s="95"/>
      <c r="V82" s="95"/>
      <c r="W82" s="92"/>
      <c r="X82" s="61"/>
      <c r="Y82" s="61"/>
      <c r="Z82" s="61"/>
      <c r="AA82" s="61"/>
      <c r="AB82" s="61"/>
      <c r="AC82" s="61"/>
      <c r="AD82" s="96"/>
      <c r="AE82" s="97"/>
      <c r="AF82" s="92"/>
    </row>
    <row r="83" spans="2:32" s="8" customFormat="1" ht="16.5" customHeight="1" x14ac:dyDescent="0.3">
      <c r="B83" s="3"/>
      <c r="C83" s="3"/>
      <c r="D83" s="3"/>
      <c r="E83" s="3"/>
      <c r="F83" s="3"/>
      <c r="G83" s="3"/>
      <c r="H83" s="3"/>
      <c r="I83" s="3"/>
      <c r="J83" s="3"/>
      <c r="K83" s="3"/>
      <c r="L83" s="4"/>
      <c r="M83" s="3"/>
      <c r="N83" s="3"/>
      <c r="O83" s="3"/>
      <c r="P83" s="3"/>
      <c r="Q83" s="3"/>
      <c r="R83" s="4"/>
      <c r="S83" s="3"/>
      <c r="T83" s="3"/>
      <c r="U83" s="3"/>
      <c r="V83" s="3"/>
      <c r="W83" s="3"/>
      <c r="X83" s="4"/>
      <c r="Y83" s="4"/>
      <c r="Z83" s="4"/>
      <c r="AA83" s="4"/>
      <c r="AB83" s="4"/>
      <c r="AC83" s="4"/>
      <c r="AD83" s="98"/>
      <c r="AE83" s="3"/>
      <c r="AF83" s="2"/>
    </row>
    <row r="84" spans="2:32" s="8" customFormat="1" ht="16.5" customHeight="1" thickBot="1" x14ac:dyDescent="0.35">
      <c r="B84" s="99" t="s">
        <v>182</v>
      </c>
      <c r="C84" s="100"/>
      <c r="D84" s="99"/>
      <c r="E84" s="100"/>
      <c r="F84" s="101"/>
      <c r="G84" s="100"/>
      <c r="H84" s="100"/>
      <c r="I84" s="100"/>
      <c r="J84" s="100"/>
      <c r="K84" s="100"/>
      <c r="L84" s="102"/>
      <c r="M84" s="100"/>
      <c r="N84" s="100"/>
      <c r="O84" s="100"/>
      <c r="P84" s="100"/>
      <c r="Q84" s="100"/>
      <c r="R84" s="102"/>
      <c r="S84" s="100"/>
      <c r="T84" s="100"/>
      <c r="U84" s="100"/>
      <c r="V84" s="100"/>
      <c r="W84" s="100"/>
      <c r="X84" s="102"/>
      <c r="Y84" s="102"/>
      <c r="Z84" s="102"/>
      <c r="AA84" s="102"/>
      <c r="AB84" s="102"/>
      <c r="AC84" s="102"/>
      <c r="AD84" s="102"/>
      <c r="AE84" s="100"/>
      <c r="AF84" s="103"/>
    </row>
    <row r="85" spans="2:32" s="8" customFormat="1" ht="16.5" customHeight="1" x14ac:dyDescent="0.3">
      <c r="B85" s="104"/>
      <c r="C85" s="104"/>
      <c r="D85" s="3"/>
      <c r="E85" s="3"/>
      <c r="F85" s="105"/>
      <c r="G85" s="3"/>
      <c r="H85" s="3"/>
      <c r="I85" s="3"/>
      <c r="J85" s="3"/>
      <c r="K85" s="3"/>
      <c r="L85" s="4"/>
      <c r="M85" s="3"/>
      <c r="N85" s="3"/>
      <c r="O85" s="3"/>
      <c r="P85" s="3"/>
      <c r="Q85" s="3"/>
      <c r="R85" s="4"/>
      <c r="S85" s="3"/>
      <c r="T85" s="3"/>
      <c r="U85" s="3"/>
      <c r="V85" s="3"/>
      <c r="W85" s="3"/>
      <c r="X85" s="4"/>
      <c r="Y85" s="4"/>
      <c r="Z85" s="4"/>
      <c r="AA85" s="4"/>
      <c r="AB85" s="4"/>
      <c r="AC85" s="4"/>
      <c r="AD85" s="4"/>
      <c r="AE85" s="3"/>
      <c r="AF85" s="2"/>
    </row>
    <row r="86" spans="2:32" s="8" customFormat="1" ht="16.5" customHeight="1" x14ac:dyDescent="0.3">
      <c r="B86" s="106" t="s">
        <v>183</v>
      </c>
      <c r="C86" s="106"/>
      <c r="D86" s="107"/>
      <c r="E86" s="107"/>
      <c r="F86" s="108"/>
      <c r="G86" s="107"/>
      <c r="H86" s="107"/>
      <c r="I86" s="107"/>
      <c r="J86" s="3"/>
      <c r="K86" s="3"/>
      <c r="L86" s="4"/>
      <c r="M86" s="3"/>
      <c r="N86" s="3"/>
      <c r="O86" s="3"/>
      <c r="P86" s="3"/>
      <c r="Q86" s="3"/>
      <c r="R86" s="4"/>
      <c r="S86" s="3"/>
      <c r="T86" s="3"/>
      <c r="U86" s="3"/>
      <c r="V86" s="3"/>
      <c r="W86" s="3"/>
      <c r="X86" s="4"/>
      <c r="Y86" s="4"/>
      <c r="Z86" s="4"/>
      <c r="AA86" s="4"/>
      <c r="AB86" s="4"/>
      <c r="AC86" s="4"/>
      <c r="AD86" s="4"/>
      <c r="AE86" s="3"/>
      <c r="AF86" s="2"/>
    </row>
    <row r="87" spans="2:32" s="8" customFormat="1" ht="16.5" customHeight="1" x14ac:dyDescent="0.3">
      <c r="B87" s="109"/>
      <c r="C87" s="109"/>
      <c r="D87" s="3"/>
      <c r="E87" s="3"/>
      <c r="F87" s="105"/>
      <c r="G87" s="3"/>
      <c r="H87" s="3"/>
      <c r="I87" s="3"/>
      <c r="J87" s="3"/>
      <c r="K87" s="3"/>
      <c r="L87" s="4"/>
      <c r="M87" s="3"/>
      <c r="N87" s="3"/>
      <c r="O87" s="3"/>
      <c r="P87" s="3"/>
      <c r="Q87" s="3"/>
      <c r="R87" s="4"/>
      <c r="S87" s="3"/>
      <c r="T87" s="3"/>
      <c r="U87" s="3"/>
      <c r="V87" s="3"/>
      <c r="W87" s="3"/>
      <c r="X87" s="4"/>
      <c r="Y87" s="4"/>
      <c r="Z87" s="4"/>
      <c r="AA87" s="4"/>
      <c r="AB87" s="4"/>
      <c r="AC87" s="4"/>
      <c r="AD87" s="4"/>
      <c r="AE87" s="3"/>
      <c r="AF87" s="2"/>
    </row>
    <row r="88" spans="2:32" s="8" customFormat="1" ht="16.5" customHeight="1" thickBot="1" x14ac:dyDescent="0.25">
      <c r="B88" s="99" t="s">
        <v>184</v>
      </c>
      <c r="C88" s="10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02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02"/>
      <c r="AE88" s="110"/>
      <c r="AF88" s="111"/>
    </row>
    <row r="89" spans="2:32" s="8" customFormat="1" ht="16.5" customHeight="1" x14ac:dyDescent="0.3">
      <c r="B89" s="112"/>
      <c r="C89" s="112"/>
      <c r="D89" s="3"/>
      <c r="E89" s="3"/>
      <c r="F89" s="105"/>
      <c r="G89" s="3"/>
      <c r="H89" s="3"/>
      <c r="I89" s="3"/>
      <c r="J89" s="3"/>
      <c r="K89" s="3"/>
      <c r="L89" s="43"/>
      <c r="M89" s="3"/>
      <c r="N89" s="3"/>
      <c r="O89" s="3"/>
      <c r="P89" s="3"/>
      <c r="Q89" s="3"/>
      <c r="R89" s="43"/>
      <c r="S89" s="3"/>
      <c r="T89" s="3"/>
      <c r="U89" s="3"/>
      <c r="V89" s="3"/>
      <c r="W89" s="3"/>
      <c r="X89" s="3"/>
      <c r="Y89" s="3"/>
      <c r="Z89" s="2"/>
      <c r="AE89" s="3"/>
      <c r="AF89" s="2"/>
    </row>
    <row r="90" spans="2:32" s="8" customFormat="1" ht="16.5" customHeight="1" x14ac:dyDescent="0.3">
      <c r="B90" s="113" t="s">
        <v>185</v>
      </c>
      <c r="C90" s="113"/>
      <c r="D90" s="114"/>
      <c r="E90" s="114"/>
      <c r="F90" s="115"/>
      <c r="G90" s="114"/>
      <c r="H90" s="114"/>
      <c r="I90" s="114"/>
      <c r="J90" s="116"/>
      <c r="K90" s="116"/>
      <c r="L90" s="116"/>
      <c r="M90" s="116"/>
      <c r="N90" s="116"/>
      <c r="O90" s="3"/>
      <c r="P90" s="3"/>
      <c r="Q90" s="3"/>
      <c r="R90" s="43"/>
      <c r="S90" s="3"/>
      <c r="T90" s="3"/>
      <c r="U90" s="3"/>
      <c r="V90" s="3"/>
      <c r="W90" s="3"/>
      <c r="X90" s="3"/>
      <c r="Y90" s="3"/>
      <c r="Z90" s="2"/>
      <c r="AE90" s="3"/>
      <c r="AF90" s="2"/>
    </row>
    <row r="91" spans="2:32" s="8" customFormat="1" ht="16.5" customHeight="1" x14ac:dyDescent="0.3">
      <c r="B91" s="112"/>
      <c r="C91" s="112"/>
      <c r="D91" s="3"/>
      <c r="E91" s="3"/>
      <c r="F91" s="105"/>
      <c r="G91" s="3"/>
      <c r="H91" s="3"/>
      <c r="I91" s="3"/>
      <c r="J91" s="3"/>
      <c r="K91" s="3"/>
      <c r="L91" s="43"/>
      <c r="M91" s="3"/>
      <c r="N91" s="3"/>
      <c r="O91" s="3"/>
      <c r="P91" s="3"/>
      <c r="Q91" s="3"/>
      <c r="R91" s="43"/>
      <c r="S91" s="3"/>
      <c r="T91" s="3"/>
      <c r="U91" s="3"/>
      <c r="V91" s="3"/>
      <c r="W91" s="3"/>
      <c r="X91" s="3"/>
      <c r="Y91" s="3"/>
      <c r="Z91" s="2"/>
      <c r="AE91" s="3"/>
      <c r="AF91" s="2"/>
    </row>
    <row r="92" spans="2:32" s="8" customFormat="1" ht="16.5" customHeight="1" x14ac:dyDescent="0.3">
      <c r="B92" s="117" t="s">
        <v>186</v>
      </c>
      <c r="C92" s="117"/>
      <c r="D92" s="107"/>
      <c r="E92" s="107"/>
      <c r="F92" s="108"/>
      <c r="G92" s="107"/>
      <c r="H92" s="107"/>
      <c r="I92" s="3"/>
      <c r="J92" s="3"/>
      <c r="K92" s="3"/>
      <c r="L92" s="43"/>
      <c r="M92" s="3"/>
      <c r="N92" s="3"/>
      <c r="O92" s="3"/>
      <c r="P92" s="3"/>
      <c r="Q92" s="3"/>
      <c r="R92" s="43"/>
      <c r="S92" s="3"/>
      <c r="T92" s="3"/>
      <c r="U92" s="3"/>
      <c r="V92" s="3"/>
      <c r="W92" s="3"/>
      <c r="X92" s="3"/>
      <c r="Y92" s="3"/>
      <c r="Z92" s="2"/>
      <c r="AE92" s="3"/>
      <c r="AF92" s="2"/>
    </row>
    <row r="93" spans="2:32" s="8" customFormat="1" ht="16.5" customHeight="1" x14ac:dyDescent="0.3">
      <c r="B93" s="109"/>
      <c r="C93" s="109"/>
      <c r="D93" s="3"/>
      <c r="E93" s="3"/>
      <c r="F93" s="105"/>
      <c r="G93" s="3"/>
      <c r="H93" s="3"/>
      <c r="I93" s="3"/>
      <c r="J93" s="3"/>
      <c r="K93" s="3"/>
      <c r="L93" s="4"/>
      <c r="M93" s="3"/>
      <c r="N93" s="3"/>
      <c r="O93" s="3"/>
      <c r="P93" s="3"/>
      <c r="Q93" s="3"/>
      <c r="R93" s="4"/>
      <c r="S93" s="3"/>
      <c r="T93" s="3"/>
      <c r="U93" s="3"/>
      <c r="V93" s="3"/>
      <c r="W93" s="3"/>
      <c r="X93" s="4"/>
      <c r="Y93" s="3"/>
      <c r="Z93" s="2"/>
      <c r="AE93" s="3"/>
      <c r="AF93" s="2"/>
    </row>
    <row r="94" spans="2:32" s="8" customFormat="1" ht="16.5" customHeight="1" x14ac:dyDescent="0.3">
      <c r="B94" s="118" t="s">
        <v>187</v>
      </c>
      <c r="C94" s="118"/>
      <c r="D94" s="118"/>
      <c r="E94" s="118"/>
      <c r="F94" s="118"/>
      <c r="G94" s="118"/>
      <c r="H94" s="118"/>
      <c r="I94" s="119"/>
      <c r="J94" s="120"/>
      <c r="K94" s="3"/>
      <c r="L94" s="4"/>
      <c r="M94" s="3"/>
      <c r="N94" s="3"/>
      <c r="O94" s="3"/>
      <c r="P94" s="3"/>
      <c r="Q94" s="3"/>
      <c r="R94" s="4"/>
      <c r="S94" s="3"/>
      <c r="T94" s="3"/>
      <c r="U94" s="3"/>
      <c r="V94" s="3"/>
      <c r="W94" s="3"/>
      <c r="X94" s="4"/>
      <c r="Y94" s="3"/>
      <c r="Z94" s="2"/>
      <c r="AE94" s="3"/>
      <c r="AF94" s="2"/>
    </row>
    <row r="95" spans="2:32" s="8" customFormat="1" ht="16.5" customHeight="1" x14ac:dyDescent="0.3">
      <c r="B95" s="121"/>
      <c r="C95" s="3"/>
      <c r="D95" s="3"/>
      <c r="E95" s="3"/>
      <c r="F95" s="105"/>
      <c r="G95" s="3"/>
      <c r="H95" s="3"/>
      <c r="I95" s="3"/>
      <c r="J95" s="3"/>
      <c r="K95" s="4"/>
      <c r="L95"/>
      <c r="M95" s="122"/>
      <c r="N95" s="123"/>
      <c r="O95" s="123"/>
      <c r="P95" s="3"/>
      <c r="Q95" s="3"/>
      <c r="R95"/>
      <c r="S95" s="3"/>
      <c r="T95" s="3"/>
      <c r="U95" s="3"/>
      <c r="V95" s="3"/>
      <c r="W95" s="3"/>
      <c r="X95" s="4"/>
      <c r="Y95" s="3"/>
      <c r="Z95" s="3"/>
      <c r="AE95" s="3"/>
      <c r="AF95" s="3"/>
    </row>
    <row r="96" spans="2:32" s="8" customFormat="1" ht="16.5" customHeight="1" x14ac:dyDescent="0.25">
      <c r="B96" s="124" t="s">
        <v>188</v>
      </c>
      <c r="C96" s="124"/>
      <c r="D96" s="120"/>
      <c r="E96" s="125"/>
      <c r="F96" s="125"/>
      <c r="G96" s="125"/>
      <c r="H96" s="125"/>
      <c r="I96" s="125"/>
      <c r="J96" s="125"/>
      <c r="K96" s="125"/>
      <c r="L96" s="125"/>
      <c r="M96" s="125"/>
      <c r="N96" s="3"/>
      <c r="O96" s="3"/>
      <c r="P96" s="3"/>
      <c r="Q96" s="3"/>
      <c r="R96" s="4"/>
      <c r="S96" s="3"/>
      <c r="T96" s="3"/>
      <c r="U96" s="3"/>
      <c r="V96" s="3"/>
      <c r="W96" s="3"/>
      <c r="X96" s="4"/>
      <c r="Y96" s="3"/>
      <c r="Z96" s="2"/>
      <c r="AE96" s="3"/>
      <c r="AF96" s="2"/>
    </row>
    <row r="97" spans="2:19" ht="16.5" customHeight="1" x14ac:dyDescent="0.2">
      <c r="B97" s="107"/>
      <c r="C97" s="107"/>
      <c r="D97" s="107"/>
      <c r="E97" s="107"/>
      <c r="F97" s="107"/>
      <c r="G97" s="107"/>
    </row>
    <row r="98" spans="2:19" s="8" customFormat="1" ht="16.5" customHeight="1" x14ac:dyDescent="0.25">
      <c r="B98" s="126" t="s">
        <v>189</v>
      </c>
      <c r="C98" s="126"/>
      <c r="D98" s="127"/>
      <c r="E98" s="127"/>
      <c r="F98" s="127"/>
      <c r="G98" s="128"/>
    </row>
    <row r="99" spans="2:19" s="8" customFormat="1" ht="16.5" customHeight="1" x14ac:dyDescent="0.25">
      <c r="B99" s="129"/>
      <c r="C99" s="129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</row>
    <row r="100" spans="2:19" s="8" customFormat="1" ht="16.5" customHeight="1" x14ac:dyDescent="0.3">
      <c r="B100" s="130" t="s">
        <v>190</v>
      </c>
      <c r="C100" s="130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</row>
    <row r="101" spans="2:19" s="8" customFormat="1" ht="16.5" customHeight="1" x14ac:dyDescent="0.3">
      <c r="B101" s="130" t="s">
        <v>191</v>
      </c>
      <c r="C101" s="130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</row>
    <row r="102" spans="2:19" s="8" customFormat="1" ht="16.5" customHeight="1" x14ac:dyDescent="0.3">
      <c r="B102" s="130" t="s">
        <v>192</v>
      </c>
      <c r="C102" s="130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</row>
    <row r="103" spans="2:19" s="8" customFormat="1" ht="16.5" customHeight="1" x14ac:dyDescent="0.3">
      <c r="B103" s="130" t="s">
        <v>193</v>
      </c>
      <c r="C103" s="130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</row>
    <row r="104" spans="2:19" s="8" customFormat="1" ht="16.5" customHeight="1" x14ac:dyDescent="0.3">
      <c r="B104" s="130" t="s">
        <v>194</v>
      </c>
      <c r="C104" s="130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</row>
    <row r="105" spans="2:19" s="8" customFormat="1" ht="16.5" customHeight="1" x14ac:dyDescent="0.3">
      <c r="B105" s="131" t="s">
        <v>195</v>
      </c>
      <c r="C105" s="130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</row>
    <row r="106" spans="2:19" s="8" customFormat="1" ht="16.5" customHeight="1" x14ac:dyDescent="0.3">
      <c r="B106" s="130" t="s">
        <v>196</v>
      </c>
      <c r="C106" s="130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</row>
    <row r="107" spans="2:19" s="8" customFormat="1" ht="16.5" customHeight="1" thickBot="1" x14ac:dyDescent="0.35">
      <c r="B107" s="130"/>
      <c r="C107" s="130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</row>
    <row r="108" spans="2:19" s="8" customFormat="1" ht="16.5" customHeight="1" x14ac:dyDescent="0.3">
      <c r="B108" s="132" t="s">
        <v>197</v>
      </c>
      <c r="C108" s="133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5"/>
      <c r="O108" s="128"/>
      <c r="P108" s="128"/>
      <c r="Q108" s="128"/>
      <c r="R108" s="128"/>
      <c r="S108" s="128"/>
    </row>
    <row r="109" spans="2:19" s="8" customFormat="1" ht="16.5" customHeight="1" x14ac:dyDescent="0.25">
      <c r="B109" s="136" t="s">
        <v>198</v>
      </c>
      <c r="C109" s="137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9"/>
      <c r="O109" s="128"/>
      <c r="P109" s="128"/>
      <c r="Q109" s="128"/>
      <c r="R109" s="128"/>
      <c r="S109" s="128"/>
    </row>
    <row r="110" spans="2:19" s="8" customFormat="1" ht="16.5" customHeight="1" x14ac:dyDescent="0.3">
      <c r="B110" s="136" t="s">
        <v>199</v>
      </c>
      <c r="C110" s="140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9"/>
      <c r="O110" s="128"/>
      <c r="P110" s="128"/>
      <c r="Q110" s="128"/>
      <c r="R110" s="128"/>
      <c r="S110" s="128"/>
    </row>
    <row r="111" spans="2:19" s="8" customFormat="1" ht="16.5" customHeight="1" x14ac:dyDescent="0.3">
      <c r="B111" s="136" t="s">
        <v>200</v>
      </c>
      <c r="C111" s="140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9"/>
      <c r="O111" s="128"/>
      <c r="P111" s="128"/>
      <c r="Q111" s="128"/>
      <c r="R111" s="128"/>
      <c r="S111" s="128"/>
    </row>
    <row r="112" spans="2:19" s="8" customFormat="1" ht="16.5" customHeight="1" x14ac:dyDescent="0.3">
      <c r="B112" s="141" t="s">
        <v>201</v>
      </c>
      <c r="C112" s="131"/>
      <c r="D112" s="124"/>
      <c r="E112" s="124"/>
      <c r="F112" s="124"/>
      <c r="G112" s="124"/>
      <c r="H112" s="124"/>
      <c r="I112" s="138"/>
      <c r="J112" s="138"/>
      <c r="K112" s="138"/>
      <c r="L112" s="138"/>
      <c r="M112" s="138"/>
      <c r="N112" s="139"/>
      <c r="O112" s="128"/>
      <c r="P112" s="128"/>
      <c r="Q112" s="128"/>
      <c r="R112" s="128"/>
      <c r="S112" s="128"/>
    </row>
    <row r="113" spans="2:19" s="8" customFormat="1" ht="16.5" customHeight="1" x14ac:dyDescent="0.25">
      <c r="B113" s="142" t="s">
        <v>202</v>
      </c>
      <c r="C113" s="143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9"/>
      <c r="O113" s="128"/>
      <c r="P113" s="128"/>
      <c r="Q113" s="128"/>
      <c r="R113" s="128"/>
      <c r="S113" s="128"/>
    </row>
    <row r="114" spans="2:19" s="8" customFormat="1" ht="16.5" customHeight="1" x14ac:dyDescent="0.25">
      <c r="B114" s="142" t="s">
        <v>203</v>
      </c>
      <c r="C114" s="143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9"/>
      <c r="O114" s="128"/>
      <c r="P114" s="128"/>
      <c r="Q114" s="128"/>
      <c r="R114" s="128"/>
      <c r="S114" s="128"/>
    </row>
    <row r="115" spans="2:19" s="8" customFormat="1" ht="16.5" customHeight="1" x14ac:dyDescent="0.25">
      <c r="B115" s="144" t="s">
        <v>204</v>
      </c>
      <c r="C115" s="145" t="s">
        <v>205</v>
      </c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9"/>
      <c r="O115" s="128"/>
      <c r="P115" s="128"/>
      <c r="Q115" s="128"/>
      <c r="R115" s="128"/>
      <c r="S115" s="128"/>
    </row>
    <row r="116" spans="2:19" s="8" customFormat="1" ht="16.5" customHeight="1" x14ac:dyDescent="0.25">
      <c r="B116" s="146" t="s">
        <v>206</v>
      </c>
      <c r="C116" s="145" t="s">
        <v>207</v>
      </c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9"/>
      <c r="O116" s="128"/>
      <c r="P116" s="128"/>
      <c r="Q116" s="128"/>
      <c r="R116" s="128"/>
      <c r="S116" s="128"/>
    </row>
    <row r="117" spans="2:19" s="8" customFormat="1" ht="16.5" customHeight="1" x14ac:dyDescent="0.25">
      <c r="B117" s="146" t="s">
        <v>208</v>
      </c>
      <c r="C117" s="145" t="s">
        <v>209</v>
      </c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9"/>
      <c r="O117" s="128"/>
      <c r="P117" s="128"/>
      <c r="Q117" s="128"/>
      <c r="R117" s="128"/>
      <c r="S117" s="128"/>
    </row>
    <row r="118" spans="2:19" s="8" customFormat="1" ht="16.5" customHeight="1" thickBot="1" x14ac:dyDescent="0.3">
      <c r="B118" s="147" t="s">
        <v>210</v>
      </c>
      <c r="C118" s="148" t="s">
        <v>211</v>
      </c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50"/>
      <c r="O118" s="128"/>
      <c r="P118" s="128"/>
      <c r="Q118" s="128"/>
      <c r="R118" s="128"/>
      <c r="S118" s="128"/>
    </row>
    <row r="119" spans="2:19" s="8" customFormat="1" ht="16.5" customHeight="1" x14ac:dyDescent="0.25">
      <c r="B119" s="145"/>
      <c r="C119" s="145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28"/>
      <c r="P119" s="128"/>
      <c r="Q119" s="128"/>
      <c r="R119" s="128"/>
      <c r="S119" s="128"/>
    </row>
    <row r="120" spans="2:19" s="8" customFormat="1" ht="16.5" customHeight="1" x14ac:dyDescent="0.25">
      <c r="B120" s="151" t="s">
        <v>212</v>
      </c>
      <c r="C120" s="152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</row>
    <row r="121" spans="2:19" s="8" customFormat="1" ht="16.5" customHeight="1" x14ac:dyDescent="0.25">
      <c r="B121" s="151"/>
      <c r="C121" s="153" t="s">
        <v>213</v>
      </c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</row>
    <row r="122" spans="2:19" s="8" customFormat="1" ht="16.5" customHeight="1" x14ac:dyDescent="0.25">
      <c r="B122" s="154"/>
      <c r="C122" s="154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</row>
    <row r="123" spans="2:19" s="8" customFormat="1" ht="16.5" customHeight="1" x14ac:dyDescent="0.25">
      <c r="B123" s="152" t="s">
        <v>214</v>
      </c>
      <c r="C123" s="145" t="s">
        <v>215</v>
      </c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</row>
    <row r="124" spans="2:19" s="8" customFormat="1" ht="16.5" customHeight="1" x14ac:dyDescent="0.25">
      <c r="B124" s="152"/>
      <c r="C124" s="145" t="s">
        <v>216</v>
      </c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</row>
    <row r="125" spans="2:19" s="8" customFormat="1" ht="16.5" customHeight="1" x14ac:dyDescent="0.25">
      <c r="B125" s="152"/>
      <c r="C125" s="1" t="s">
        <v>217</v>
      </c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</row>
    <row r="126" spans="2:19" s="8" customFormat="1" ht="16.5" customHeight="1" x14ac:dyDescent="0.25">
      <c r="B126" s="152"/>
      <c r="C126" s="1" t="s">
        <v>218</v>
      </c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</row>
    <row r="127" spans="2:19" s="8" customFormat="1" ht="16.5" customHeight="1" x14ac:dyDescent="0.25">
      <c r="B127" s="152"/>
      <c r="C127" s="145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</row>
    <row r="128" spans="2:19" s="8" customFormat="1" ht="16.5" customHeight="1" x14ac:dyDescent="0.25">
      <c r="B128" s="152"/>
      <c r="C128" s="155" t="s">
        <v>219</v>
      </c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</row>
    <row r="129" spans="2:32" s="8" customFormat="1" ht="16.5" customHeight="1" x14ac:dyDescent="0.25">
      <c r="B129" s="152"/>
      <c r="C129" s="156" t="s">
        <v>220</v>
      </c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</row>
    <row r="130" spans="2:32" s="8" customFormat="1" ht="16.5" customHeight="1" x14ac:dyDescent="0.25">
      <c r="B130" s="152"/>
      <c r="C130" s="157" t="s">
        <v>221</v>
      </c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</row>
    <row r="131" spans="2:32" s="8" customFormat="1" ht="16.5" customHeight="1" x14ac:dyDescent="0.25">
      <c r="B131" s="152"/>
      <c r="C131" s="157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</row>
    <row r="132" spans="2:32" s="8" customFormat="1" ht="16.5" customHeight="1" x14ac:dyDescent="0.25">
      <c r="B132" s="152"/>
      <c r="C132" s="157" t="s">
        <v>222</v>
      </c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</row>
    <row r="133" spans="2:32" s="8" customFormat="1" ht="16.5" customHeight="1" x14ac:dyDescent="0.25">
      <c r="B133" s="152"/>
      <c r="C133" s="157" t="s">
        <v>223</v>
      </c>
      <c r="D133" s="152"/>
      <c r="E133" s="152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</row>
    <row r="134" spans="2:32" s="8" customFormat="1" ht="16.5" customHeight="1" x14ac:dyDescent="0.25">
      <c r="B134" s="152"/>
      <c r="C134" s="157" t="s">
        <v>224</v>
      </c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</row>
    <row r="135" spans="2:32" s="8" customFormat="1" ht="16.5" customHeight="1" x14ac:dyDescent="0.25">
      <c r="B135" s="154"/>
      <c r="C135" s="154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</row>
    <row r="136" spans="2:32" s="8" customFormat="1" ht="16.5" customHeight="1" x14ac:dyDescent="0.25">
      <c r="B136" s="152" t="s">
        <v>225</v>
      </c>
      <c r="C136" s="158" t="s">
        <v>226</v>
      </c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</row>
    <row r="137" spans="2:32" s="8" customFormat="1" ht="16.5" customHeight="1" x14ac:dyDescent="0.25">
      <c r="B137" s="152"/>
      <c r="C137" s="158" t="s">
        <v>227</v>
      </c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</row>
    <row r="138" spans="2:32" s="8" customFormat="1" ht="16.5" customHeight="1" x14ac:dyDescent="0.25">
      <c r="B138" s="152"/>
      <c r="C138" s="158" t="s">
        <v>228</v>
      </c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Y138" s="87"/>
      <c r="Z138" s="87"/>
      <c r="AA138" s="87"/>
      <c r="AB138" s="87"/>
      <c r="AC138" s="87"/>
      <c r="AD138" s="87"/>
      <c r="AE138" s="87"/>
      <c r="AF138" s="87"/>
    </row>
    <row r="139" spans="2:32" s="8" customFormat="1" ht="16.5" customHeight="1" x14ac:dyDescent="0.25">
      <c r="B139" s="152" t="s">
        <v>229</v>
      </c>
      <c r="C139" s="157" t="s">
        <v>230</v>
      </c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Y139" s="87"/>
      <c r="Z139" s="87"/>
      <c r="AA139" s="87"/>
      <c r="AB139" s="87"/>
      <c r="AC139" s="87"/>
      <c r="AD139" s="87"/>
      <c r="AE139" s="87"/>
      <c r="AF139" s="87"/>
    </row>
    <row r="140" spans="2:32" s="87" customFormat="1" ht="16.5" customHeight="1" x14ac:dyDescent="0.25">
      <c r="B140" s="152" t="s">
        <v>231</v>
      </c>
      <c r="C140" s="157" t="s">
        <v>232</v>
      </c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</row>
    <row r="141" spans="2:32" s="87" customFormat="1" ht="16.5" customHeight="1" x14ac:dyDescent="0.25">
      <c r="B141" s="159"/>
      <c r="C141" s="159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</row>
    <row r="142" spans="2:32" s="87" customFormat="1" ht="16.5" customHeight="1" x14ac:dyDescent="0.25">
      <c r="B142" s="160" t="s">
        <v>233</v>
      </c>
      <c r="C142" s="161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</row>
    <row r="143" spans="2:32" s="87" customFormat="1" ht="16.5" customHeight="1" x14ac:dyDescent="0.3">
      <c r="B143" s="162" t="s">
        <v>234</v>
      </c>
      <c r="C143" s="163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</row>
    <row r="144" spans="2:32" s="87" customFormat="1" ht="16.5" customHeight="1" x14ac:dyDescent="0.3">
      <c r="B144" s="164" t="s">
        <v>235</v>
      </c>
      <c r="C144" s="165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</row>
    <row r="145" spans="2:19" s="87" customFormat="1" ht="16.5" customHeight="1" x14ac:dyDescent="0.3">
      <c r="B145" s="166" t="s">
        <v>236</v>
      </c>
      <c r="C145" s="165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</row>
    <row r="146" spans="2:19" s="87" customFormat="1" ht="16.5" customHeight="1" x14ac:dyDescent="0.3">
      <c r="B146" s="162" t="s">
        <v>237</v>
      </c>
      <c r="C146" s="165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</row>
    <row r="147" spans="2:19" s="87" customFormat="1" ht="16.5" customHeight="1" x14ac:dyDescent="0.3">
      <c r="B147" s="162" t="s">
        <v>238</v>
      </c>
      <c r="C147" s="165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</row>
    <row r="148" spans="2:19" s="87" customFormat="1" ht="16.5" customHeight="1" x14ac:dyDescent="0.3">
      <c r="B148" s="167" t="s">
        <v>239</v>
      </c>
      <c r="C148" s="164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</row>
    <row r="149" spans="2:19" s="87" customFormat="1" ht="16.5" customHeight="1" x14ac:dyDescent="0.25">
      <c r="B149" s="168" t="s">
        <v>189</v>
      </c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</row>
    <row r="150" spans="2:19" s="87" customFormat="1" ht="16.5" customHeight="1" x14ac:dyDescent="0.25">
      <c r="B150" s="169" t="s">
        <v>240</v>
      </c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</row>
    <row r="151" spans="2:19" s="87" customFormat="1" ht="16.5" customHeight="1" x14ac:dyDescent="0.3">
      <c r="B151" s="162" t="s">
        <v>241</v>
      </c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</row>
    <row r="152" spans="2:19" s="87" customFormat="1" ht="16.5" customHeight="1" x14ac:dyDescent="0.3">
      <c r="B152" s="162" t="s">
        <v>242</v>
      </c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</row>
    <row r="153" spans="2:19" s="87" customFormat="1" ht="16.5" customHeight="1" x14ac:dyDescent="0.25">
      <c r="B153" s="170" t="s">
        <v>243</v>
      </c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</row>
    <row r="154" spans="2:19" s="87" customFormat="1" ht="16.5" customHeight="1" x14ac:dyDescent="0.25">
      <c r="B154" s="170" t="s">
        <v>244</v>
      </c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</row>
    <row r="155" spans="2:19" s="87" customFormat="1" ht="16.5" customHeight="1" x14ac:dyDescent="0.25">
      <c r="B155" s="170" t="s">
        <v>245</v>
      </c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</row>
    <row r="156" spans="2:19" s="87" customFormat="1" ht="16.5" customHeight="1" x14ac:dyDescent="0.25">
      <c r="B156" s="170" t="s">
        <v>246</v>
      </c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</row>
    <row r="157" spans="2:19" s="87" customFormat="1" ht="16.5" customHeight="1" x14ac:dyDescent="0.3">
      <c r="B157" s="166" t="s">
        <v>247</v>
      </c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</row>
    <row r="158" spans="2:19" s="87" customFormat="1" ht="16.5" customHeight="1" x14ac:dyDescent="0.3">
      <c r="B158" s="162" t="s">
        <v>248</v>
      </c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</row>
    <row r="159" spans="2:19" s="87" customFormat="1" ht="16.5" customHeight="1" x14ac:dyDescent="0.3">
      <c r="B159" s="171" t="s">
        <v>249</v>
      </c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</row>
    <row r="160" spans="2:19" s="87" customFormat="1" ht="16.5" customHeight="1" x14ac:dyDescent="0.3">
      <c r="B160" s="172" t="s">
        <v>250</v>
      </c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</row>
    <row r="161" spans="2:32" s="87" customFormat="1" ht="16.5" customHeight="1" x14ac:dyDescent="0.25">
      <c r="B161" s="173" t="s">
        <v>251</v>
      </c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Y161" s="3"/>
      <c r="Z161" s="5"/>
      <c r="AA161" s="5"/>
      <c r="AB161" s="5"/>
      <c r="AC161" s="5"/>
      <c r="AD161" s="5"/>
      <c r="AE161" s="3"/>
      <c r="AF161" s="5"/>
    </row>
    <row r="162" spans="2:32" s="87" customFormat="1" ht="16.5" customHeight="1" x14ac:dyDescent="0.25">
      <c r="B162" s="174" t="s">
        <v>252</v>
      </c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Y162" s="3"/>
      <c r="Z162" s="5"/>
      <c r="AA162" s="5"/>
      <c r="AB162" s="5"/>
      <c r="AC162" s="5"/>
      <c r="AD162" s="5"/>
      <c r="AE162" s="3"/>
      <c r="AF162" s="5"/>
    </row>
    <row r="163" spans="2:32" ht="16.5" customHeight="1" x14ac:dyDescent="0.2"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75"/>
      <c r="M163" s="107"/>
      <c r="N163" s="107"/>
      <c r="O163" s="107"/>
      <c r="P163" s="107"/>
      <c r="Q163" s="107"/>
      <c r="R163" s="175"/>
      <c r="S163" s="107"/>
      <c r="Y163" s="8"/>
      <c r="Z163" s="8"/>
      <c r="AA163" s="8"/>
      <c r="AB163" s="8"/>
      <c r="AC163" s="8"/>
      <c r="AD163" s="8"/>
      <c r="AE163" s="8"/>
      <c r="AF163" s="8"/>
    </row>
    <row r="164" spans="2:32" ht="16.5" customHeight="1" x14ac:dyDescent="0.2"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75"/>
      <c r="M164" s="107"/>
      <c r="N164" s="107"/>
      <c r="O164" s="107"/>
      <c r="P164" s="107"/>
      <c r="Q164" s="107"/>
      <c r="R164" s="175"/>
      <c r="S164" s="107"/>
    </row>
    <row r="165" spans="2:32" s="8" customFormat="1" ht="16.5" customHeight="1" x14ac:dyDescent="0.2">
      <c r="B165" s="176" t="s">
        <v>253</v>
      </c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28"/>
      <c r="P165" s="128"/>
      <c r="Q165" s="128"/>
      <c r="R165" s="128"/>
      <c r="S165" s="128"/>
      <c r="Y165" s="3"/>
      <c r="Z165" s="5"/>
      <c r="AA165" s="5"/>
      <c r="AB165" s="5"/>
      <c r="AC165" s="5"/>
      <c r="AD165" s="5"/>
      <c r="AE165" s="3"/>
      <c r="AF165" s="5"/>
    </row>
    <row r="166" spans="2:32" ht="16.5" customHeight="1" x14ac:dyDescent="0.2"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2:32" ht="16.5" customHeight="1" x14ac:dyDescent="0.2"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2:32" ht="16.5" customHeight="1" x14ac:dyDescent="0.2">
      <c r="B168" s="177" t="s">
        <v>254</v>
      </c>
      <c r="C168" s="178"/>
      <c r="D168" s="2"/>
      <c r="E168" s="2"/>
      <c r="F168" s="2"/>
      <c r="G168" s="2"/>
      <c r="H168" s="2"/>
      <c r="I168" s="2"/>
      <c r="J168" s="2"/>
      <c r="K168" s="2"/>
    </row>
    <row r="169" spans="2:32" ht="16.5" customHeight="1" x14ac:dyDescent="0.2"/>
    <row r="170" spans="2:32" ht="16.5" customHeight="1" x14ac:dyDescent="0.2"/>
  </sheetData>
  <sortState xmlns:xlrd2="http://schemas.microsoft.com/office/spreadsheetml/2017/richdata2" ref="A2:P71">
    <sortCondition ref="I2:I71"/>
  </sortState>
  <mergeCells count="12">
    <mergeCell ref="M16:Q16"/>
    <mergeCell ref="S16:W16"/>
    <mergeCell ref="Y16:AC16"/>
    <mergeCell ref="B165:N165"/>
    <mergeCell ref="B3:K3"/>
    <mergeCell ref="D4:K4"/>
    <mergeCell ref="D5:K5"/>
    <mergeCell ref="B16:B17"/>
    <mergeCell ref="C16:C17"/>
    <mergeCell ref="D16:D17"/>
    <mergeCell ref="E16:E17"/>
    <mergeCell ref="G16:K16"/>
  </mergeCells>
  <conditionalFormatting sqref="B18:B81">
    <cfRule type="duplicateValues" dxfId="0" priority="1"/>
  </conditionalFormatting>
  <hyperlinks>
    <hyperlink ref="B149" r:id="rId1" xr:uid="{F8CE5128-CB6B-469B-AC8D-000472C7AF85}"/>
    <hyperlink ref="B150:D150" r:id="rId2" display="Local charges/conditions listed on our homepage coscoshipping.es LINK" xr:uid="{2D5FDB2E-C574-43E6-BFC4-CA12D5148FA1}"/>
    <hyperlink ref="B156" r:id="rId3" xr:uid="{F47A69FC-07AA-4706-88FF-3425CB1E7293}"/>
    <hyperlink ref="B155" r:id="rId4" xr:uid="{767B05EE-8A0D-4380-85FB-CE0E3752DF72}"/>
    <hyperlink ref="B154" r:id="rId5" xr:uid="{74D03F3B-0267-4506-AF5C-633BF645397B}"/>
    <hyperlink ref="B151:D151" r:id="rId6" display="Local charges/conditions listed on our homepage coscoshipping.es LINK" xr:uid="{5F32CFE1-53C3-43A2-A05D-92F23DFACD24}"/>
    <hyperlink ref="B148" r:id="rId7" display="   Demurrage/detention does not include storage at terminal, please click here to check our standard free time at destinations LINK" xr:uid="{9003D3B7-756E-44D0-A6D8-3388B0E01CCF}"/>
    <hyperlink ref="B160" r:id="rId8" xr:uid="{C5CDE239-EC42-4520-882F-B9A24C6271BF}"/>
    <hyperlink ref="B162" r:id="rId9" xr:uid="{5E10AC46-A90A-402B-85F4-66CD13BD6E0D}"/>
    <hyperlink ref="C129" r:id="rId10" display="https://apc01.safelinks.protection.outlook.com/?url=http%3A%2F%2Fpkapp.pka.gov.my%2Fdg%2Funno.php%3Funno%3D3462%26Search%3DSearch&amp;data=05%7C01%7Candreas.betzold%40coscoshipping.de%7C354962dd5b0546dcdcc808da546321e5%7Cff308fd09421454ab8b34d36252ab3a3%7C0%7C0%7C637915082001854931%7CUnknown%7CTWFpbGZsb3d8eyJWIjoiMC4wLjAwMDAiLCJQIjoiV2luMzIiLCJBTiI6Ik1haWwiLCJXVCI6Mn0%3D%7C3000%7C%7C%7C&amp;sdata=WAkuVEoe4TB6lA4kKiJ7ga2M1HAePb22ISdBIXuNsKU%3D&amp;reserved=0" xr:uid="{C59B4C97-FF92-4CCA-8BD8-FB42E05DC52E}"/>
    <hyperlink ref="C121" r:id="rId11" xr:uid="{EA84123B-E927-4158-82FE-1CE7D9185E83}"/>
    <hyperlink ref="B98:G98" r:id="rId12" display="8. Please click here to check our standard free time tariff at destinations." xr:uid="{2E211BE8-B1FE-4A14-B7D0-8F68E91CB901}"/>
    <hyperlink ref="N11" r:id="rId13" xr:uid="{8740C551-4502-455F-98FD-985A9C5E9ACA}"/>
    <hyperlink ref="N9" r:id="rId14" xr:uid="{573A0D7B-EEA0-4B7D-A550-A00620CFDDDA}"/>
    <hyperlink ref="B168" location="'Far East '!A1" display="BACK TO TOP" xr:uid="{D6CF4456-5535-4C88-9709-D568A9212187}"/>
  </hyperlinks>
  <pageMargins left="0.7" right="0.7" top="0.75" bottom="0.75" header="0.3" footer="0.3"/>
  <drawing r:id="rId1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D18FB8CC974A458AE8F657C1621835" ma:contentTypeVersion="4" ma:contentTypeDescription="Create a new document." ma:contentTypeScope="" ma:versionID="6c23cb7efe53da62b39ed3b6fe5f536a">
  <xsd:schema xmlns:xsd="http://www.w3.org/2001/XMLSchema" xmlns:xs="http://www.w3.org/2001/XMLSchema" xmlns:p="http://schemas.microsoft.com/office/2006/metadata/properties" xmlns:ns2="f750a4ad-c748-462f-b5c6-dc29aaac9dec" targetNamespace="http://schemas.microsoft.com/office/2006/metadata/properties" ma:root="true" ma:fieldsID="f82f66b6d0e5698acd87d7b8d3c745db" ns2:_="">
    <xsd:import namespace="f750a4ad-c748-462f-b5c6-dc29aaac9d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50a4ad-c748-462f-b5c6-dc29aaac9d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02B0A0-8765-44B0-A79E-86012B0E88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A8D940-8A28-4DFA-9439-A3F2D584464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6103F1F-96B1-4041-B34D-82B14B52C4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50a4ad-c748-462f-b5c6-dc29aaac9d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 East </vt:lpstr>
    </vt:vector>
  </TitlesOfParts>
  <Manager/>
  <Company>Ocean Network Express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Sina Zamzow</dc:creator>
  <cp:keywords/>
  <dc:description/>
  <cp:lastModifiedBy>Axe Bpo New 026</cp:lastModifiedBy>
  <cp:revision/>
  <dcterms:created xsi:type="dcterms:W3CDTF">2025-08-22T07:18:37Z</dcterms:created>
  <dcterms:modified xsi:type="dcterms:W3CDTF">2026-04-16T14:38:38Z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0x010100FDD18FB8CC974A458AE8F657C1621835</vt:lpwstr>
  </property>
</Properties>
</file>